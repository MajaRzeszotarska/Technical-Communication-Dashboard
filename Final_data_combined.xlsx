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jar\OneDrive\Pulpit\school\6th_semester\ITU\Bachelor Thesis\data\"/>
    </mc:Choice>
  </mc:AlternateContent>
  <xr:revisionPtr revIDLastSave="0" documentId="13_ncr:1_{F1143B8D-80BB-4F44-B82F-561883C0B496}" xr6:coauthVersionLast="47" xr6:coauthVersionMax="47" xr10:uidLastSave="{00000000-0000-0000-0000-000000000000}"/>
  <bookViews>
    <workbookView xWindow="-110" yWindow="-110" windowWidth="19420" windowHeight="10300" xr2:uid="{45D752D9-7620-4B9A-9CB0-F79B66F84F1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47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16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184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5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17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382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46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09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71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32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692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51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10" i="1"/>
  <c r="W811" i="1"/>
  <c r="W812" i="1"/>
  <c r="W813" i="1"/>
  <c r="W814" i="1"/>
  <c r="W815" i="1"/>
  <c r="W816" i="1"/>
  <c r="W817" i="1"/>
  <c r="W818" i="1"/>
  <c r="W819" i="1"/>
  <c r="W820" i="1"/>
  <c r="W809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7" i="1"/>
  <c r="W868" i="1"/>
  <c r="W869" i="1"/>
  <c r="W870" i="1"/>
  <c r="W871" i="1"/>
  <c r="W872" i="1"/>
  <c r="W873" i="1"/>
  <c r="W874" i="1"/>
  <c r="W875" i="1"/>
  <c r="W876" i="1"/>
  <c r="W86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3" i="1"/>
  <c r="W924" i="1"/>
  <c r="W925" i="1"/>
  <c r="W926" i="1"/>
  <c r="W927" i="1"/>
  <c r="W928" i="1"/>
  <c r="W929" i="1"/>
  <c r="W930" i="1"/>
  <c r="W931" i="1"/>
  <c r="W922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8" i="1"/>
  <c r="W979" i="1"/>
  <c r="W980" i="1"/>
  <c r="W981" i="1"/>
  <c r="W982" i="1"/>
  <c r="W983" i="1"/>
  <c r="W984" i="1"/>
  <c r="W985" i="1"/>
  <c r="W977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2" i="1"/>
  <c r="W1033" i="1"/>
  <c r="W1034" i="1"/>
  <c r="W1035" i="1"/>
  <c r="W1036" i="1"/>
  <c r="W1037" i="1"/>
  <c r="W1038" i="1"/>
  <c r="W1031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7" i="1"/>
  <c r="W1088" i="1"/>
  <c r="W1089" i="1"/>
  <c r="W1090" i="1"/>
  <c r="W1084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7" i="1"/>
  <c r="W1138" i="1"/>
  <c r="W1139" i="1"/>
  <c r="W1140" i="1"/>
  <c r="W1141" i="1"/>
  <c r="W1136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8" i="1"/>
  <c r="W1189" i="1"/>
  <c r="W1190" i="1"/>
  <c r="W1191" i="1"/>
  <c r="W1187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8" i="1"/>
  <c r="W1239" i="1"/>
  <c r="W1240" i="1"/>
  <c r="W1237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7" i="1"/>
  <c r="W1288" i="1"/>
  <c r="W1286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5" i="1"/>
  <c r="W1334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47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16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184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5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17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382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46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09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71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32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692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51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10" i="1"/>
  <c r="X811" i="1"/>
  <c r="X812" i="1"/>
  <c r="X813" i="1"/>
  <c r="X814" i="1"/>
  <c r="X815" i="1"/>
  <c r="X816" i="1"/>
  <c r="X817" i="1"/>
  <c r="X818" i="1"/>
  <c r="X819" i="1"/>
  <c r="X820" i="1"/>
  <c r="X809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7" i="1"/>
  <c r="X868" i="1"/>
  <c r="X869" i="1"/>
  <c r="X870" i="1"/>
  <c r="X871" i="1"/>
  <c r="X872" i="1"/>
  <c r="X873" i="1"/>
  <c r="X874" i="1"/>
  <c r="X875" i="1"/>
  <c r="X876" i="1"/>
  <c r="X86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3" i="1"/>
  <c r="X924" i="1"/>
  <c r="X925" i="1"/>
  <c r="X926" i="1"/>
  <c r="X927" i="1"/>
  <c r="X928" i="1"/>
  <c r="X929" i="1"/>
  <c r="X930" i="1"/>
  <c r="X931" i="1"/>
  <c r="X922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8" i="1"/>
  <c r="X979" i="1"/>
  <c r="X980" i="1"/>
  <c r="X981" i="1"/>
  <c r="X982" i="1"/>
  <c r="X983" i="1"/>
  <c r="X984" i="1"/>
  <c r="X985" i="1"/>
  <c r="X977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2" i="1"/>
  <c r="X1033" i="1"/>
  <c r="X1034" i="1"/>
  <c r="X1035" i="1"/>
  <c r="X1036" i="1"/>
  <c r="X1037" i="1"/>
  <c r="X1038" i="1"/>
  <c r="X1031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5" i="1"/>
  <c r="X1086" i="1"/>
  <c r="X1087" i="1"/>
  <c r="X1088" i="1"/>
  <c r="X1089" i="1"/>
  <c r="X1090" i="1"/>
  <c r="X1084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7" i="1"/>
  <c r="X1138" i="1"/>
  <c r="X1139" i="1"/>
  <c r="X1140" i="1"/>
  <c r="X1141" i="1"/>
  <c r="X1136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8" i="1"/>
  <c r="X1189" i="1"/>
  <c r="X1190" i="1"/>
  <c r="X1191" i="1"/>
  <c r="X1187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8" i="1"/>
  <c r="X1239" i="1"/>
  <c r="X1240" i="1"/>
  <c r="X1237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7" i="1"/>
  <c r="X1288" i="1"/>
  <c r="X1286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5" i="1"/>
  <c r="X1334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47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16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184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5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17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382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46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09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71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32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692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51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10" i="1"/>
  <c r="Y811" i="1"/>
  <c r="Y812" i="1"/>
  <c r="Y813" i="1"/>
  <c r="Y814" i="1"/>
  <c r="Y815" i="1"/>
  <c r="Y816" i="1"/>
  <c r="Y817" i="1"/>
  <c r="Y818" i="1"/>
  <c r="Y819" i="1"/>
  <c r="Y820" i="1"/>
  <c r="Y809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7" i="1"/>
  <c r="Y868" i="1"/>
  <c r="Y869" i="1"/>
  <c r="Y870" i="1"/>
  <c r="Y871" i="1"/>
  <c r="Y872" i="1"/>
  <c r="Y873" i="1"/>
  <c r="Y874" i="1"/>
  <c r="Y875" i="1"/>
  <c r="Y876" i="1"/>
  <c r="Y86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3" i="1"/>
  <c r="Y924" i="1"/>
  <c r="Y925" i="1"/>
  <c r="Y926" i="1"/>
  <c r="Y927" i="1"/>
  <c r="Y928" i="1"/>
  <c r="Y929" i="1"/>
  <c r="Y930" i="1"/>
  <c r="Y931" i="1"/>
  <c r="Y922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8" i="1"/>
  <c r="Y979" i="1"/>
  <c r="Y980" i="1"/>
  <c r="Y981" i="1"/>
  <c r="Y982" i="1"/>
  <c r="Y983" i="1"/>
  <c r="Y984" i="1"/>
  <c r="Y985" i="1"/>
  <c r="Y977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2" i="1"/>
  <c r="Y1033" i="1"/>
  <c r="Y1034" i="1"/>
  <c r="Y1035" i="1"/>
  <c r="Y1036" i="1"/>
  <c r="Y1037" i="1"/>
  <c r="Y1038" i="1"/>
  <c r="Y1031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5" i="1"/>
  <c r="Y1086" i="1"/>
  <c r="Y1087" i="1"/>
  <c r="Y1088" i="1"/>
  <c r="Y1089" i="1"/>
  <c r="Y1090" i="1"/>
  <c r="Y1084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7" i="1"/>
  <c r="Y1138" i="1"/>
  <c r="Y1139" i="1"/>
  <c r="Y1140" i="1"/>
  <c r="Y1141" i="1"/>
  <c r="Y1136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8" i="1"/>
  <c r="Y1189" i="1"/>
  <c r="Y1190" i="1"/>
  <c r="Y1191" i="1"/>
  <c r="Y1187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8" i="1"/>
  <c r="Y1239" i="1"/>
  <c r="Y1240" i="1"/>
  <c r="Y1237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7" i="1"/>
  <c r="Y1288" i="1"/>
  <c r="Y1286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5" i="1"/>
  <c r="Y1334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" i="1"/>
  <c r="V2416" i="1"/>
  <c r="V2415" i="1"/>
  <c r="V2414" i="1"/>
  <c r="V2413" i="1"/>
  <c r="V2412" i="1"/>
  <c r="V2411" i="1"/>
  <c r="V2410" i="1"/>
  <c r="V2409" i="1"/>
  <c r="V2408" i="1"/>
  <c r="V2407" i="1"/>
  <c r="V2406" i="1"/>
  <c r="V2405" i="1"/>
  <c r="V2404" i="1"/>
  <c r="V2403" i="1"/>
  <c r="V2402" i="1"/>
  <c r="V2401" i="1"/>
  <c r="V2400" i="1"/>
  <c r="V2399" i="1"/>
  <c r="V2398" i="1"/>
  <c r="V2397" i="1"/>
  <c r="V2396" i="1"/>
  <c r="V2395" i="1"/>
  <c r="V2394" i="1"/>
  <c r="V2393" i="1"/>
  <c r="V2392" i="1"/>
  <c r="V2391" i="1"/>
  <c r="V2390" i="1"/>
  <c r="V2389" i="1"/>
  <c r="V2388" i="1"/>
  <c r="V2387" i="1"/>
  <c r="V2386" i="1"/>
  <c r="V2385" i="1"/>
  <c r="V2384" i="1"/>
  <c r="V2383" i="1"/>
  <c r="V2382" i="1"/>
  <c r="V2381" i="1"/>
  <c r="V2380" i="1"/>
  <c r="V2379" i="1"/>
  <c r="V2378" i="1"/>
  <c r="V2377" i="1"/>
  <c r="V2376" i="1"/>
  <c r="V2375" i="1"/>
  <c r="V2374" i="1"/>
  <c r="V2373" i="1"/>
  <c r="V2372" i="1"/>
  <c r="V2371" i="1"/>
  <c r="V2370" i="1"/>
  <c r="V2369" i="1"/>
  <c r="V2368" i="1"/>
  <c r="V2367" i="1"/>
  <c r="V2366" i="1"/>
  <c r="V2365" i="1"/>
  <c r="V2364" i="1"/>
  <c r="V2363" i="1"/>
  <c r="V2362" i="1"/>
  <c r="V2361" i="1"/>
  <c r="V2360" i="1"/>
  <c r="V2359" i="1"/>
  <c r="V2358" i="1"/>
  <c r="V2357" i="1"/>
  <c r="V2356" i="1"/>
  <c r="V2355" i="1"/>
  <c r="V2354" i="1"/>
  <c r="V2353" i="1"/>
  <c r="V2352" i="1"/>
  <c r="V2351" i="1"/>
  <c r="V2350" i="1"/>
  <c r="V2349" i="1"/>
  <c r="V2348" i="1"/>
  <c r="V2347" i="1"/>
  <c r="V2346" i="1"/>
  <c r="V2345" i="1"/>
  <c r="V2344" i="1"/>
  <c r="V2343" i="1"/>
  <c r="V2342" i="1"/>
  <c r="V2341" i="1"/>
  <c r="V2340" i="1"/>
  <c r="V2339" i="1"/>
  <c r="V2338" i="1"/>
  <c r="V2337" i="1"/>
  <c r="V2336" i="1"/>
  <c r="V2335" i="1"/>
  <c r="V2334" i="1"/>
  <c r="V2333" i="1"/>
  <c r="V2332" i="1"/>
  <c r="V2331" i="1"/>
  <c r="V2330" i="1"/>
  <c r="V2329" i="1"/>
  <c r="V2328" i="1"/>
  <c r="V2327" i="1"/>
  <c r="V2326" i="1"/>
  <c r="V2325" i="1"/>
  <c r="V2324" i="1"/>
  <c r="V2323" i="1"/>
  <c r="V2322" i="1"/>
  <c r="V2321" i="1"/>
  <c r="V2320" i="1"/>
  <c r="V2319" i="1"/>
  <c r="V2318" i="1"/>
  <c r="V2317" i="1"/>
  <c r="V2316" i="1"/>
  <c r="V2315" i="1"/>
  <c r="V2314" i="1"/>
  <c r="V2313" i="1"/>
  <c r="V2312" i="1"/>
  <c r="V2311" i="1"/>
  <c r="V2310" i="1"/>
  <c r="V2309" i="1"/>
  <c r="V2308" i="1"/>
  <c r="V2307" i="1"/>
  <c r="V2306" i="1"/>
  <c r="V2305" i="1"/>
  <c r="V2304" i="1"/>
  <c r="V2303" i="1"/>
  <c r="V2302" i="1"/>
  <c r="V2301" i="1"/>
  <c r="V2300" i="1"/>
  <c r="V2299" i="1"/>
  <c r="V2298" i="1"/>
  <c r="V2297" i="1"/>
  <c r="V2296" i="1"/>
  <c r="V2295" i="1"/>
  <c r="V2294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2277" i="1"/>
  <c r="V2276" i="1"/>
  <c r="V2275" i="1"/>
  <c r="V2274" i="1"/>
  <c r="V2273" i="1"/>
  <c r="V2272" i="1"/>
  <c r="V2271" i="1"/>
  <c r="V2270" i="1"/>
  <c r="V2269" i="1"/>
  <c r="V2268" i="1"/>
  <c r="V2267" i="1"/>
  <c r="V2266" i="1"/>
  <c r="V2265" i="1"/>
  <c r="V2264" i="1"/>
  <c r="V2263" i="1"/>
  <c r="V2262" i="1"/>
  <c r="V2261" i="1"/>
  <c r="V2260" i="1"/>
  <c r="V2259" i="1"/>
  <c r="V2258" i="1"/>
  <c r="V2257" i="1"/>
  <c r="V2256" i="1"/>
  <c r="V2255" i="1"/>
  <c r="V2254" i="1"/>
  <c r="V2253" i="1"/>
  <c r="V2252" i="1"/>
  <c r="V2251" i="1"/>
  <c r="V2250" i="1"/>
  <c r="V2249" i="1"/>
  <c r="V2248" i="1"/>
  <c r="V2247" i="1"/>
  <c r="V2246" i="1"/>
  <c r="V2245" i="1"/>
  <c r="V2244" i="1"/>
  <c r="V2243" i="1"/>
  <c r="V2242" i="1"/>
  <c r="V2241" i="1"/>
  <c r="V2240" i="1"/>
  <c r="V2239" i="1"/>
  <c r="V2238" i="1"/>
  <c r="V2237" i="1"/>
  <c r="V2236" i="1"/>
  <c r="V2235" i="1"/>
  <c r="V2234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8" i="1"/>
  <c r="V2217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5" i="1"/>
  <c r="V2194" i="1"/>
  <c r="V2193" i="1"/>
  <c r="V2192" i="1"/>
  <c r="V2191" i="1"/>
  <c r="V2190" i="1"/>
  <c r="V2189" i="1"/>
  <c r="V2188" i="1"/>
  <c r="V2187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8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1" i="1"/>
  <c r="V2130" i="1"/>
  <c r="V2129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2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5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60" i="1"/>
  <c r="V2059" i="1"/>
  <c r="V2058" i="1"/>
  <c r="V2057" i="1"/>
  <c r="V2056" i="1"/>
  <c r="V2055" i="1"/>
  <c r="V2054" i="1"/>
  <c r="V2053" i="1"/>
  <c r="V2052" i="1"/>
  <c r="V2051" i="1"/>
  <c r="V2050" i="1"/>
  <c r="V2049" i="1"/>
  <c r="V2048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2033" i="1"/>
  <c r="V2032" i="1"/>
  <c r="V2031" i="1"/>
  <c r="V2030" i="1"/>
  <c r="V2029" i="1"/>
  <c r="V2028" i="1"/>
  <c r="V2027" i="1"/>
  <c r="V2026" i="1"/>
  <c r="V2025" i="1"/>
  <c r="V2024" i="1"/>
  <c r="V2023" i="1"/>
  <c r="V2022" i="1"/>
  <c r="V2021" i="1"/>
  <c r="V2020" i="1"/>
  <c r="V2019" i="1"/>
  <c r="V2018" i="1"/>
  <c r="V2017" i="1"/>
  <c r="V2016" i="1"/>
  <c r="V2015" i="1"/>
  <c r="V2014" i="1"/>
  <c r="V2013" i="1"/>
  <c r="V2012" i="1"/>
  <c r="V2011" i="1"/>
  <c r="V2010" i="1"/>
  <c r="V2009" i="1"/>
  <c r="V2008" i="1"/>
  <c r="V2007" i="1"/>
  <c r="V2006" i="1"/>
  <c r="V2005" i="1"/>
  <c r="V2004" i="1"/>
  <c r="V2003" i="1"/>
  <c r="V2002" i="1"/>
  <c r="V2001" i="1"/>
  <c r="V2000" i="1"/>
  <c r="V1999" i="1"/>
  <c r="V1998" i="1"/>
  <c r="V1997" i="1"/>
  <c r="V1996" i="1"/>
  <c r="V1995" i="1"/>
  <c r="V1994" i="1"/>
  <c r="V1993" i="1"/>
  <c r="V1992" i="1"/>
  <c r="V1991" i="1"/>
  <c r="V1990" i="1"/>
  <c r="V1989" i="1"/>
  <c r="V1988" i="1"/>
  <c r="V1987" i="1"/>
  <c r="V1986" i="1"/>
  <c r="V1985" i="1"/>
  <c r="V1984" i="1"/>
  <c r="V1983" i="1"/>
  <c r="V1982" i="1"/>
  <c r="V1981" i="1"/>
  <c r="V1980" i="1"/>
  <c r="V1979" i="1"/>
  <c r="V1978" i="1"/>
  <c r="V1977" i="1"/>
  <c r="V1976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60" i="1"/>
  <c r="V1959" i="1"/>
  <c r="V1958" i="1"/>
  <c r="V1957" i="1"/>
  <c r="V1956" i="1"/>
  <c r="V1955" i="1"/>
  <c r="V1954" i="1"/>
  <c r="V1953" i="1"/>
  <c r="V1952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10" i="1"/>
  <c r="V1909" i="1"/>
  <c r="V1908" i="1"/>
  <c r="V1907" i="1"/>
  <c r="V1906" i="1"/>
  <c r="V1905" i="1"/>
  <c r="V1904" i="1"/>
  <c r="V1903" i="1"/>
  <c r="V1902" i="1"/>
  <c r="V1901" i="1"/>
  <c r="V1900" i="1"/>
  <c r="V1899" i="1"/>
  <c r="V1898" i="1"/>
  <c r="V1897" i="1"/>
  <c r="V1896" i="1"/>
  <c r="V1895" i="1"/>
  <c r="V1894" i="1"/>
  <c r="V1893" i="1"/>
  <c r="V1892" i="1"/>
  <c r="V1891" i="1"/>
  <c r="V1890" i="1"/>
  <c r="V1889" i="1"/>
  <c r="V1888" i="1"/>
  <c r="V1887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70" i="1"/>
  <c r="V1869" i="1"/>
  <c r="V1868" i="1"/>
  <c r="V1867" i="1"/>
  <c r="V1866" i="1"/>
  <c r="V1865" i="1"/>
  <c r="V1864" i="1"/>
  <c r="V1863" i="1"/>
  <c r="V1862" i="1"/>
  <c r="V1861" i="1"/>
  <c r="V1860" i="1"/>
  <c r="V1859" i="1"/>
  <c r="V1858" i="1"/>
  <c r="V1857" i="1"/>
  <c r="V1856" i="1"/>
  <c r="V1855" i="1"/>
  <c r="V1854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41" i="1"/>
  <c r="V1840" i="1"/>
  <c r="V1839" i="1"/>
  <c r="V1838" i="1"/>
  <c r="V1837" i="1"/>
  <c r="V1836" i="1"/>
  <c r="V1835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9" i="1"/>
  <c r="V1808" i="1"/>
  <c r="V1807" i="1"/>
  <c r="V1806" i="1"/>
  <c r="V1805" i="1"/>
  <c r="V1804" i="1"/>
  <c r="V1803" i="1"/>
  <c r="V1802" i="1"/>
  <c r="V1801" i="1"/>
  <c r="V1800" i="1"/>
  <c r="V1799" i="1"/>
  <c r="V1798" i="1"/>
  <c r="V1797" i="1"/>
  <c r="V1796" i="1"/>
  <c r="V1795" i="1"/>
  <c r="V1794" i="1"/>
  <c r="V1793" i="1"/>
  <c r="V1792" i="1"/>
  <c r="V1791" i="1"/>
  <c r="V1790" i="1"/>
  <c r="V1789" i="1"/>
  <c r="V1788" i="1"/>
  <c r="V1787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1" i="1"/>
  <c r="V1770" i="1"/>
  <c r="V1769" i="1"/>
  <c r="V1768" i="1"/>
  <c r="V1767" i="1"/>
  <c r="V1766" i="1"/>
  <c r="V1765" i="1"/>
  <c r="V1764" i="1"/>
  <c r="V1763" i="1"/>
  <c r="V1762" i="1"/>
  <c r="V1761" i="1"/>
  <c r="V1760" i="1"/>
  <c r="V1759" i="1"/>
  <c r="V1758" i="1"/>
  <c r="V1757" i="1"/>
  <c r="V1756" i="1"/>
  <c r="V1755" i="1"/>
  <c r="V1754" i="1"/>
  <c r="V1753" i="1"/>
  <c r="V1752" i="1"/>
  <c r="V1751" i="1"/>
  <c r="V1750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5" i="1"/>
  <c r="V1694" i="1"/>
  <c r="V1693" i="1"/>
  <c r="V1692" i="1"/>
  <c r="V1691" i="1"/>
  <c r="V1690" i="1"/>
  <c r="V1689" i="1"/>
  <c r="V1688" i="1"/>
  <c r="V1687" i="1"/>
  <c r="V1686" i="1"/>
  <c r="V1685" i="1"/>
  <c r="V1684" i="1"/>
  <c r="V1683" i="1"/>
  <c r="V1682" i="1"/>
  <c r="V1681" i="1"/>
  <c r="V1680" i="1"/>
  <c r="V1679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50" i="1"/>
  <c r="V1649" i="1"/>
  <c r="V1648" i="1"/>
  <c r="V1647" i="1"/>
  <c r="V1646" i="1"/>
  <c r="V1645" i="1"/>
  <c r="V1644" i="1"/>
  <c r="V1643" i="1"/>
  <c r="V1642" i="1"/>
  <c r="V1641" i="1"/>
  <c r="V1640" i="1"/>
  <c r="V1639" i="1"/>
  <c r="V1638" i="1"/>
  <c r="V1637" i="1"/>
  <c r="V1636" i="1"/>
  <c r="V1635" i="1"/>
  <c r="V1634" i="1"/>
  <c r="V1633" i="1"/>
  <c r="V1632" i="1"/>
  <c r="V1631" i="1"/>
  <c r="V1630" i="1"/>
  <c r="V1629" i="1"/>
  <c r="V1628" i="1"/>
  <c r="V1627" i="1"/>
  <c r="V1626" i="1"/>
  <c r="V1625" i="1"/>
  <c r="V1624" i="1"/>
  <c r="V1623" i="1"/>
  <c r="V1622" i="1"/>
  <c r="V1621" i="1"/>
  <c r="V1620" i="1"/>
  <c r="V1619" i="1"/>
  <c r="V1618" i="1"/>
  <c r="V1617" i="1"/>
  <c r="V1616" i="1"/>
  <c r="V1615" i="1"/>
  <c r="V1614" i="1"/>
  <c r="V1613" i="1"/>
  <c r="V1612" i="1"/>
  <c r="V1611" i="1"/>
  <c r="V1610" i="1"/>
  <c r="V1609" i="1"/>
  <c r="V1608" i="1"/>
  <c r="V1607" i="1"/>
  <c r="V1606" i="1"/>
  <c r="V1605" i="1"/>
  <c r="V1604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4" i="1"/>
  <c r="V1563" i="1"/>
  <c r="V1562" i="1"/>
  <c r="V1561" i="1"/>
  <c r="V1560" i="1"/>
  <c r="V1559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7" i="1"/>
  <c r="V1486" i="1"/>
  <c r="V1485" i="1"/>
  <c r="V1484" i="1"/>
  <c r="V1483" i="1"/>
  <c r="V1482" i="1"/>
  <c r="V1481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4" i="1"/>
  <c r="V1463" i="1"/>
  <c r="V1462" i="1"/>
  <c r="V1461" i="1"/>
  <c r="V1460" i="1"/>
  <c r="V1459" i="1"/>
  <c r="V1458" i="1"/>
  <c r="V1457" i="1"/>
  <c r="V1456" i="1"/>
  <c r="V1455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1426" i="1"/>
  <c r="V1425" i="1"/>
  <c r="V1424" i="1"/>
  <c r="V1423" i="1"/>
  <c r="V1422" i="1"/>
  <c r="V1421" i="1"/>
  <c r="V1420" i="1"/>
  <c r="V1419" i="1"/>
  <c r="V1418" i="1"/>
  <c r="V1417" i="1"/>
  <c r="V1416" i="1"/>
  <c r="V1415" i="1"/>
  <c r="V1414" i="1"/>
  <c r="V1413" i="1"/>
  <c r="V1412" i="1"/>
  <c r="V1411" i="1"/>
  <c r="V1410" i="1"/>
  <c r="V1409" i="1"/>
  <c r="V1408" i="1"/>
  <c r="V1407" i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4" i="1"/>
  <c r="V1335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6" i="1"/>
  <c r="V1288" i="1"/>
  <c r="V1287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37" i="1"/>
  <c r="V1240" i="1"/>
  <c r="V1239" i="1"/>
  <c r="V1238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87" i="1"/>
  <c r="V1191" i="1"/>
  <c r="V1190" i="1"/>
  <c r="V1189" i="1"/>
  <c r="V1188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36" i="1"/>
  <c r="V1141" i="1"/>
  <c r="V1140" i="1"/>
  <c r="V1139" i="1"/>
  <c r="V1138" i="1"/>
  <c r="V1137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84" i="1"/>
  <c r="V1090" i="1"/>
  <c r="V1089" i="1"/>
  <c r="V1088" i="1"/>
  <c r="V1087" i="1"/>
  <c r="V1086" i="1"/>
  <c r="V1085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1" i="1"/>
  <c r="V1038" i="1"/>
  <c r="V1037" i="1"/>
  <c r="V1036" i="1"/>
  <c r="V1035" i="1"/>
  <c r="V1034" i="1"/>
  <c r="V1033" i="1"/>
  <c r="V1032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V993" i="1"/>
  <c r="V992" i="1"/>
  <c r="V991" i="1"/>
  <c r="V990" i="1"/>
  <c r="V989" i="1"/>
  <c r="V988" i="1"/>
  <c r="V987" i="1"/>
  <c r="V986" i="1"/>
  <c r="V977" i="1"/>
  <c r="V985" i="1"/>
  <c r="V984" i="1"/>
  <c r="V983" i="1"/>
  <c r="V982" i="1"/>
  <c r="V981" i="1"/>
  <c r="V980" i="1"/>
  <c r="V979" i="1"/>
  <c r="V978" i="1"/>
  <c r="V976" i="1"/>
  <c r="V975" i="1"/>
  <c r="V974" i="1"/>
  <c r="V973" i="1"/>
  <c r="V972" i="1"/>
  <c r="V971" i="1"/>
  <c r="V970" i="1"/>
  <c r="V969" i="1"/>
  <c r="V968" i="1"/>
  <c r="V967" i="1"/>
  <c r="V966" i="1"/>
  <c r="V965" i="1"/>
  <c r="V964" i="1"/>
  <c r="V963" i="1"/>
  <c r="V962" i="1"/>
  <c r="V961" i="1"/>
  <c r="V960" i="1"/>
  <c r="V959" i="1"/>
  <c r="V958" i="1"/>
  <c r="V957" i="1"/>
  <c r="V956" i="1"/>
  <c r="V955" i="1"/>
  <c r="V954" i="1"/>
  <c r="V953" i="1"/>
  <c r="V952" i="1"/>
  <c r="V951" i="1"/>
  <c r="V950" i="1"/>
  <c r="V949" i="1"/>
  <c r="V948" i="1"/>
  <c r="V947" i="1"/>
  <c r="V946" i="1"/>
  <c r="V945" i="1"/>
  <c r="V944" i="1"/>
  <c r="V943" i="1"/>
  <c r="V942" i="1"/>
  <c r="V941" i="1"/>
  <c r="V940" i="1"/>
  <c r="V939" i="1"/>
  <c r="V938" i="1"/>
  <c r="V937" i="1"/>
  <c r="V936" i="1"/>
  <c r="V935" i="1"/>
  <c r="V934" i="1"/>
  <c r="V933" i="1"/>
  <c r="V932" i="1"/>
  <c r="V922" i="1"/>
  <c r="V931" i="1"/>
  <c r="V930" i="1"/>
  <c r="V929" i="1"/>
  <c r="V928" i="1"/>
  <c r="V927" i="1"/>
  <c r="V926" i="1"/>
  <c r="V925" i="1"/>
  <c r="V924" i="1"/>
  <c r="V923" i="1"/>
  <c r="V921" i="1"/>
  <c r="V920" i="1"/>
  <c r="V919" i="1"/>
  <c r="V918" i="1"/>
  <c r="V917" i="1"/>
  <c r="V916" i="1"/>
  <c r="V915" i="1"/>
  <c r="V914" i="1"/>
  <c r="V913" i="1"/>
  <c r="V912" i="1"/>
  <c r="V911" i="1"/>
  <c r="V910" i="1"/>
  <c r="V909" i="1"/>
  <c r="V908" i="1"/>
  <c r="V907" i="1"/>
  <c r="V906" i="1"/>
  <c r="V905" i="1"/>
  <c r="V904" i="1"/>
  <c r="V903" i="1"/>
  <c r="V902" i="1"/>
  <c r="V901" i="1"/>
  <c r="V900" i="1"/>
  <c r="V899" i="1"/>
  <c r="V898" i="1"/>
  <c r="V897" i="1"/>
  <c r="V896" i="1"/>
  <c r="V895" i="1"/>
  <c r="V894" i="1"/>
  <c r="V893" i="1"/>
  <c r="V892" i="1"/>
  <c r="V891" i="1"/>
  <c r="V890" i="1"/>
  <c r="V889" i="1"/>
  <c r="V888" i="1"/>
  <c r="V887" i="1"/>
  <c r="V886" i="1"/>
  <c r="V885" i="1"/>
  <c r="V884" i="1"/>
  <c r="V883" i="1"/>
  <c r="V882" i="1"/>
  <c r="V881" i="1"/>
  <c r="V880" i="1"/>
  <c r="V879" i="1"/>
  <c r="V878" i="1"/>
  <c r="V877" i="1"/>
  <c r="V866" i="1"/>
  <c r="V876" i="1"/>
  <c r="V875" i="1"/>
  <c r="V874" i="1"/>
  <c r="V873" i="1"/>
  <c r="V872" i="1"/>
  <c r="V871" i="1"/>
  <c r="V870" i="1"/>
  <c r="V869" i="1"/>
  <c r="V868" i="1"/>
  <c r="V867" i="1"/>
  <c r="V865" i="1"/>
  <c r="V864" i="1"/>
  <c r="V863" i="1"/>
  <c r="V862" i="1"/>
  <c r="V861" i="1"/>
  <c r="V860" i="1"/>
  <c r="V859" i="1"/>
  <c r="V858" i="1"/>
  <c r="V857" i="1"/>
  <c r="V856" i="1"/>
  <c r="V855" i="1"/>
  <c r="V854" i="1"/>
  <c r="V853" i="1"/>
  <c r="V852" i="1"/>
  <c r="V851" i="1"/>
  <c r="V850" i="1"/>
  <c r="V849" i="1"/>
  <c r="V848" i="1"/>
  <c r="V847" i="1"/>
  <c r="V846" i="1"/>
  <c r="V845" i="1"/>
  <c r="V844" i="1"/>
  <c r="V843" i="1"/>
  <c r="V842" i="1"/>
  <c r="V841" i="1"/>
  <c r="V840" i="1"/>
  <c r="V839" i="1"/>
  <c r="V838" i="1"/>
  <c r="V837" i="1"/>
  <c r="V836" i="1"/>
  <c r="V835" i="1"/>
  <c r="V834" i="1"/>
  <c r="V833" i="1"/>
  <c r="V832" i="1"/>
  <c r="V831" i="1"/>
  <c r="V830" i="1"/>
  <c r="V829" i="1"/>
  <c r="V828" i="1"/>
  <c r="V827" i="1"/>
  <c r="V826" i="1"/>
  <c r="V825" i="1"/>
  <c r="V824" i="1"/>
  <c r="V823" i="1"/>
  <c r="V822" i="1"/>
  <c r="V821" i="1"/>
  <c r="V809" i="1"/>
  <c r="V820" i="1"/>
  <c r="V819" i="1"/>
  <c r="V818" i="1"/>
  <c r="V817" i="1"/>
  <c r="V816" i="1"/>
  <c r="V815" i="1"/>
  <c r="V814" i="1"/>
  <c r="V813" i="1"/>
  <c r="V812" i="1"/>
  <c r="V811" i="1"/>
  <c r="V810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V773" i="1"/>
  <c r="V772" i="1"/>
  <c r="V771" i="1"/>
  <c r="V770" i="1"/>
  <c r="V769" i="1"/>
  <c r="V768" i="1"/>
  <c r="V767" i="1"/>
  <c r="V766" i="1"/>
  <c r="V765" i="1"/>
  <c r="V764" i="1"/>
  <c r="V751" i="1"/>
  <c r="V763" i="1"/>
  <c r="V762" i="1"/>
  <c r="V761" i="1"/>
  <c r="V760" i="1"/>
  <c r="V759" i="1"/>
  <c r="V758" i="1"/>
  <c r="V757" i="1"/>
  <c r="V756" i="1"/>
  <c r="V755" i="1"/>
  <c r="V754" i="1"/>
  <c r="V753" i="1"/>
  <c r="V752" i="1"/>
  <c r="V750" i="1"/>
  <c r="V749" i="1"/>
  <c r="V748" i="1"/>
  <c r="V747" i="1"/>
  <c r="V746" i="1"/>
  <c r="V745" i="1"/>
  <c r="V744" i="1"/>
  <c r="V743" i="1"/>
  <c r="V742" i="1"/>
  <c r="V741" i="1"/>
  <c r="V740" i="1"/>
  <c r="V739" i="1"/>
  <c r="V738" i="1"/>
  <c r="V737" i="1"/>
  <c r="V736" i="1"/>
  <c r="V735" i="1"/>
  <c r="V734" i="1"/>
  <c r="V733" i="1"/>
  <c r="V732" i="1"/>
  <c r="V731" i="1"/>
  <c r="V730" i="1"/>
  <c r="V729" i="1"/>
  <c r="V728" i="1"/>
  <c r="V727" i="1"/>
  <c r="V726" i="1"/>
  <c r="V725" i="1"/>
  <c r="V724" i="1"/>
  <c r="V723" i="1"/>
  <c r="V722" i="1"/>
  <c r="V721" i="1"/>
  <c r="V720" i="1"/>
  <c r="V719" i="1"/>
  <c r="V718" i="1"/>
  <c r="V717" i="1"/>
  <c r="V716" i="1"/>
  <c r="V715" i="1"/>
  <c r="V714" i="1"/>
  <c r="V713" i="1"/>
  <c r="V712" i="1"/>
  <c r="V711" i="1"/>
  <c r="V710" i="1"/>
  <c r="V709" i="1"/>
  <c r="V708" i="1"/>
  <c r="V707" i="1"/>
  <c r="V706" i="1"/>
  <c r="V692" i="1"/>
  <c r="V705" i="1"/>
  <c r="V704" i="1"/>
  <c r="V703" i="1"/>
  <c r="V702" i="1"/>
  <c r="V701" i="1"/>
  <c r="V700" i="1"/>
  <c r="V699" i="1"/>
  <c r="V698" i="1"/>
  <c r="V697" i="1"/>
  <c r="V696" i="1"/>
  <c r="V695" i="1"/>
  <c r="V694" i="1"/>
  <c r="V693" i="1"/>
  <c r="V691" i="1"/>
  <c r="V690" i="1"/>
  <c r="V689" i="1"/>
  <c r="V688" i="1"/>
  <c r="V687" i="1"/>
  <c r="V686" i="1"/>
  <c r="V685" i="1"/>
  <c r="V684" i="1"/>
  <c r="V683" i="1"/>
  <c r="V682" i="1"/>
  <c r="V681" i="1"/>
  <c r="V680" i="1"/>
  <c r="V679" i="1"/>
  <c r="V678" i="1"/>
  <c r="V677" i="1"/>
  <c r="V676" i="1"/>
  <c r="V675" i="1"/>
  <c r="V674" i="1"/>
  <c r="V673" i="1"/>
  <c r="V672" i="1"/>
  <c r="V671" i="1"/>
  <c r="V670" i="1"/>
  <c r="V669" i="1"/>
  <c r="V668" i="1"/>
  <c r="V667" i="1"/>
  <c r="V666" i="1"/>
  <c r="V665" i="1"/>
  <c r="V664" i="1"/>
  <c r="V663" i="1"/>
  <c r="V662" i="1"/>
  <c r="V661" i="1"/>
  <c r="V660" i="1"/>
  <c r="V659" i="1"/>
  <c r="V658" i="1"/>
  <c r="V657" i="1"/>
  <c r="V656" i="1"/>
  <c r="V655" i="1"/>
  <c r="V654" i="1"/>
  <c r="V653" i="1"/>
  <c r="V652" i="1"/>
  <c r="V651" i="1"/>
  <c r="V650" i="1"/>
  <c r="V649" i="1"/>
  <c r="V648" i="1"/>
  <c r="V647" i="1"/>
  <c r="V632" i="1"/>
  <c r="V646" i="1"/>
  <c r="V645" i="1"/>
  <c r="V644" i="1"/>
  <c r="V643" i="1"/>
  <c r="V642" i="1"/>
  <c r="V641" i="1"/>
  <c r="V640" i="1"/>
  <c r="V639" i="1"/>
  <c r="V638" i="1"/>
  <c r="V637" i="1"/>
  <c r="V636" i="1"/>
  <c r="V635" i="1"/>
  <c r="V634" i="1"/>
  <c r="V633" i="1"/>
  <c r="V631" i="1"/>
  <c r="V630" i="1"/>
  <c r="V629" i="1"/>
  <c r="V628" i="1"/>
  <c r="V627" i="1"/>
  <c r="V626" i="1"/>
  <c r="V625" i="1"/>
  <c r="V624" i="1"/>
  <c r="V623" i="1"/>
  <c r="V622" i="1"/>
  <c r="V621" i="1"/>
  <c r="V620" i="1"/>
  <c r="V619" i="1"/>
  <c r="V618" i="1"/>
  <c r="V617" i="1"/>
  <c r="V616" i="1"/>
  <c r="V615" i="1"/>
  <c r="V614" i="1"/>
  <c r="V613" i="1"/>
  <c r="V612" i="1"/>
  <c r="V611" i="1"/>
  <c r="V610" i="1"/>
  <c r="V609" i="1"/>
  <c r="V608" i="1"/>
  <c r="V607" i="1"/>
  <c r="V606" i="1"/>
  <c r="V605" i="1"/>
  <c r="V604" i="1"/>
  <c r="V603" i="1"/>
  <c r="V602" i="1"/>
  <c r="V601" i="1"/>
  <c r="V600" i="1"/>
  <c r="V599" i="1"/>
  <c r="V598" i="1"/>
  <c r="V597" i="1"/>
  <c r="V596" i="1"/>
  <c r="V595" i="1"/>
  <c r="V594" i="1"/>
  <c r="V593" i="1"/>
  <c r="V592" i="1"/>
  <c r="V591" i="1"/>
  <c r="V590" i="1"/>
  <c r="V589" i="1"/>
  <c r="V588" i="1"/>
  <c r="V587" i="1"/>
  <c r="V571" i="1"/>
  <c r="V586" i="1"/>
  <c r="V585" i="1"/>
  <c r="V584" i="1"/>
  <c r="V583" i="1"/>
  <c r="V582" i="1"/>
  <c r="V581" i="1"/>
  <c r="V580" i="1"/>
  <c r="V579" i="1"/>
  <c r="V578" i="1"/>
  <c r="V577" i="1"/>
  <c r="V576" i="1"/>
  <c r="V575" i="1"/>
  <c r="V574" i="1"/>
  <c r="V573" i="1"/>
  <c r="V572" i="1"/>
  <c r="V570" i="1"/>
  <c r="V569" i="1"/>
  <c r="V568" i="1"/>
  <c r="V567" i="1"/>
  <c r="V566" i="1"/>
  <c r="V565" i="1"/>
  <c r="V564" i="1"/>
  <c r="V563" i="1"/>
  <c r="V562" i="1"/>
  <c r="V561" i="1"/>
  <c r="V560" i="1"/>
  <c r="V559" i="1"/>
  <c r="V558" i="1"/>
  <c r="V557" i="1"/>
  <c r="V556" i="1"/>
  <c r="V555" i="1"/>
  <c r="V554" i="1"/>
  <c r="V553" i="1"/>
  <c r="V552" i="1"/>
  <c r="V551" i="1"/>
  <c r="V550" i="1"/>
  <c r="V549" i="1"/>
  <c r="V548" i="1"/>
  <c r="V547" i="1"/>
  <c r="V546" i="1"/>
  <c r="V545" i="1"/>
  <c r="V544" i="1"/>
  <c r="V543" i="1"/>
  <c r="V542" i="1"/>
  <c r="V541" i="1"/>
  <c r="V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V526" i="1"/>
  <c r="V509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46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382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1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51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184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16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47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7D2D-6B49-402F-9AD2-43BE9602857E}" keepAlive="1" name="Zapytanie — universal_top_spotify_songs" description="Połączenie z zapytaniem „universal_top_spotify_songs” w skoroszycie." type="5" refreshedVersion="0" background="1">
    <dbPr connection="Provider=Microsoft.Mashup.OleDb.1;Data Source=$Workbook$;Location=universal_top_spotify_songs;Extended Properties=&quot;&quot;" command="SELECT * FROM [universal_top_spotify_songs]"/>
  </connection>
</connections>
</file>

<file path=xl/sharedStrings.xml><?xml version="1.0" encoding="utf-8"?>
<sst xmlns="http://schemas.openxmlformats.org/spreadsheetml/2006/main" count="16938" uniqueCount="2595">
  <si>
    <t>Valence_A</t>
  </si>
  <si>
    <t>Energy_A</t>
  </si>
  <si>
    <t>Danceability_A</t>
  </si>
  <si>
    <t>Valence_B</t>
  </si>
  <si>
    <t>Energy_B</t>
  </si>
  <si>
    <t>Danceability_B</t>
  </si>
  <si>
    <t>Music_Distance</t>
  </si>
  <si>
    <t>country_pairs</t>
  </si>
  <si>
    <t>SCI_Score</t>
  </si>
  <si>
    <t>AE</t>
  </si>
  <si>
    <t>ZA</t>
  </si>
  <si>
    <t>AEZA</t>
  </si>
  <si>
    <t>119.7402003</t>
  </si>
  <si>
    <t>VN</t>
  </si>
  <si>
    <t>124.6140245</t>
  </si>
  <si>
    <t>VE</t>
  </si>
  <si>
    <t>115.9464612</t>
  </si>
  <si>
    <t>UY</t>
  </si>
  <si>
    <t>115.6585122</t>
  </si>
  <si>
    <t>US</t>
  </si>
  <si>
    <t>123.356256</t>
  </si>
  <si>
    <t>UA</t>
  </si>
  <si>
    <t>119.3923238</t>
  </si>
  <si>
    <t>TW</t>
  </si>
  <si>
    <t>125.4103878</t>
  </si>
  <si>
    <t>TR</t>
  </si>
  <si>
    <t>118.3546899</t>
  </si>
  <si>
    <t>TH</t>
  </si>
  <si>
    <t>124.3579807</t>
  </si>
  <si>
    <t>SV</t>
  </si>
  <si>
    <t>119.0429158</t>
  </si>
  <si>
    <t>SK</t>
  </si>
  <si>
    <t>127.5264947</t>
  </si>
  <si>
    <t>SG</t>
  </si>
  <si>
    <t>123.6292206</t>
  </si>
  <si>
    <t>SE</t>
  </si>
  <si>
    <t>125.1671858</t>
  </si>
  <si>
    <t>SA</t>
  </si>
  <si>
    <t>119.7958108</t>
  </si>
  <si>
    <t>RO</t>
  </si>
  <si>
    <t>130.2080891</t>
  </si>
  <si>
    <t>PY</t>
  </si>
  <si>
    <t>122.5557672</t>
  </si>
  <si>
    <t>PT</t>
  </si>
  <si>
    <t>121.0875369</t>
  </si>
  <si>
    <t>PL</t>
  </si>
  <si>
    <t>124.979587</t>
  </si>
  <si>
    <t>PK</t>
  </si>
  <si>
    <t>108.3113009</t>
  </si>
  <si>
    <t>PH</t>
  </si>
  <si>
    <t>120.5630909</t>
  </si>
  <si>
    <t>PE</t>
  </si>
  <si>
    <t>116.641046</t>
  </si>
  <si>
    <t>PA</t>
  </si>
  <si>
    <t>118.2038945</t>
  </si>
  <si>
    <t>NZ</t>
  </si>
  <si>
    <t>125.1625096</t>
  </si>
  <si>
    <t>NO</t>
  </si>
  <si>
    <t>122.5309735</t>
  </si>
  <si>
    <t>NL</t>
  </si>
  <si>
    <t>126.2162511</t>
  </si>
  <si>
    <t>NG</t>
  </si>
  <si>
    <t>116.114332</t>
  </si>
  <si>
    <t>MY</t>
  </si>
  <si>
    <t>123.2059166</t>
  </si>
  <si>
    <t>MX</t>
  </si>
  <si>
    <t>122.7299246</t>
  </si>
  <si>
    <t>MA</t>
  </si>
  <si>
    <t>121.1605162</t>
  </si>
  <si>
    <t>LV</t>
  </si>
  <si>
    <t>123.4107356</t>
  </si>
  <si>
    <t>LU</t>
  </si>
  <si>
    <t>124.4926688</t>
  </si>
  <si>
    <t>LT</t>
  </si>
  <si>
    <t>122.9137214</t>
  </si>
  <si>
    <t>KZ</t>
  </si>
  <si>
    <t>116.044285</t>
  </si>
  <si>
    <t>KR</t>
  </si>
  <si>
    <t>119.9445841</t>
  </si>
  <si>
    <t>JP</t>
  </si>
  <si>
    <t>129.0688603</t>
  </si>
  <si>
    <t>IT</t>
  </si>
  <si>
    <t>119.4052</t>
  </si>
  <si>
    <t>IS</t>
  </si>
  <si>
    <t>120.6831389</t>
  </si>
  <si>
    <t>IN</t>
  </si>
  <si>
    <t>108.2813401</t>
  </si>
  <si>
    <t>IL</t>
  </si>
  <si>
    <t>124.2650316</t>
  </si>
  <si>
    <t>IE</t>
  </si>
  <si>
    <t>124.2284441</t>
  </si>
  <si>
    <t>ID</t>
  </si>
  <si>
    <t>121.9880334</t>
  </si>
  <si>
    <t>HU</t>
  </si>
  <si>
    <t>117.908241</t>
  </si>
  <si>
    <t>HN</t>
  </si>
  <si>
    <t>119.2543222</t>
  </si>
  <si>
    <t>GT</t>
  </si>
  <si>
    <t>121.5932478</t>
  </si>
  <si>
    <t>GR</t>
  </si>
  <si>
    <t>119.7721397</t>
  </si>
  <si>
    <t>FR</t>
  </si>
  <si>
    <t>121.6094469</t>
  </si>
  <si>
    <t>FI</t>
  </si>
  <si>
    <t>126.8431327</t>
  </si>
  <si>
    <t>ES</t>
  </si>
  <si>
    <t>119.20236</t>
  </si>
  <si>
    <t>EG</t>
  </si>
  <si>
    <t>118.9710055</t>
  </si>
  <si>
    <t>EE</t>
  </si>
  <si>
    <t>128.2303766</t>
  </si>
  <si>
    <t>EC</t>
  </si>
  <si>
    <t>119.1258294</t>
  </si>
  <si>
    <t>DO</t>
  </si>
  <si>
    <t>122.0982859</t>
  </si>
  <si>
    <t>DK</t>
  </si>
  <si>
    <t>123.4788435</t>
  </si>
  <si>
    <t>DE</t>
  </si>
  <si>
    <t>126.9459287</t>
  </si>
  <si>
    <t>CZ</t>
  </si>
  <si>
    <t>128.6209911</t>
  </si>
  <si>
    <t>CR</t>
  </si>
  <si>
    <t>120.2032677</t>
  </si>
  <si>
    <t>CO</t>
  </si>
  <si>
    <t>119.3573068</t>
  </si>
  <si>
    <t>CL</t>
  </si>
  <si>
    <t>112.3599924</t>
  </si>
  <si>
    <t>CH</t>
  </si>
  <si>
    <t>124.5748291</t>
  </si>
  <si>
    <t>CA</t>
  </si>
  <si>
    <t>124.3597491</t>
  </si>
  <si>
    <t>BY</t>
  </si>
  <si>
    <t>121.9064714</t>
  </si>
  <si>
    <t>BR</t>
  </si>
  <si>
    <t>127.2529677</t>
  </si>
  <si>
    <t>BO</t>
  </si>
  <si>
    <t>121.8996023</t>
  </si>
  <si>
    <t>BG</t>
  </si>
  <si>
    <t>135.4075734</t>
  </si>
  <si>
    <t>BE</t>
  </si>
  <si>
    <t>125.3137195</t>
  </si>
  <si>
    <t>AU</t>
  </si>
  <si>
    <t>125.3136574</t>
  </si>
  <si>
    <t>AT</t>
  </si>
  <si>
    <t>127.412335</t>
  </si>
  <si>
    <t>AR</t>
  </si>
  <si>
    <t>117.3365866</t>
  </si>
  <si>
    <t>122.2790398</t>
  </si>
  <si>
    <t>GB</t>
  </si>
  <si>
    <t>125.4906363</t>
  </si>
  <si>
    <t>AEVN</t>
  </si>
  <si>
    <t>AEVE</t>
  </si>
  <si>
    <t>AEUY</t>
  </si>
  <si>
    <t>AEUS</t>
  </si>
  <si>
    <t>AEUA</t>
  </si>
  <si>
    <t>AETW</t>
  </si>
  <si>
    <t>AETR</t>
  </si>
  <si>
    <t>AETH</t>
  </si>
  <si>
    <t>AESV</t>
  </si>
  <si>
    <t>AESK</t>
  </si>
  <si>
    <t>AESG</t>
  </si>
  <si>
    <t>AESE</t>
  </si>
  <si>
    <t>AESA</t>
  </si>
  <si>
    <t>AERO</t>
  </si>
  <si>
    <t>AEPY</t>
  </si>
  <si>
    <t>AEPT</t>
  </si>
  <si>
    <t>AEPL</t>
  </si>
  <si>
    <t>AEPK</t>
  </si>
  <si>
    <t>AEPH</t>
  </si>
  <si>
    <t>AEPE</t>
  </si>
  <si>
    <t>AEPA</t>
  </si>
  <si>
    <t>AENZ</t>
  </si>
  <si>
    <t>AENO</t>
  </si>
  <si>
    <t>AENL</t>
  </si>
  <si>
    <t>AENG</t>
  </si>
  <si>
    <t>AEMY</t>
  </si>
  <si>
    <t>AEMX</t>
  </si>
  <si>
    <t>AEMA</t>
  </si>
  <si>
    <t>AELV</t>
  </si>
  <si>
    <t>AELU</t>
  </si>
  <si>
    <t>AELT</t>
  </si>
  <si>
    <t>AEKZ</t>
  </si>
  <si>
    <t>AEKR</t>
  </si>
  <si>
    <t>AEJP</t>
  </si>
  <si>
    <t>AEIT</t>
  </si>
  <si>
    <t>AEIS</t>
  </si>
  <si>
    <t>AEIN</t>
  </si>
  <si>
    <t>AEIL</t>
  </si>
  <si>
    <t>AEIE</t>
  </si>
  <si>
    <t>AEID</t>
  </si>
  <si>
    <t>AEHU</t>
  </si>
  <si>
    <t>AEHN</t>
  </si>
  <si>
    <t>AEGT</t>
  </si>
  <si>
    <t>AEGR</t>
  </si>
  <si>
    <t>AEFR</t>
  </si>
  <si>
    <t>AEFI</t>
  </si>
  <si>
    <t>AEES</t>
  </si>
  <si>
    <t>AEEG</t>
  </si>
  <si>
    <t>AEEE</t>
  </si>
  <si>
    <t>AEEC</t>
  </si>
  <si>
    <t>AEDO</t>
  </si>
  <si>
    <t>AEDK</t>
  </si>
  <si>
    <t>AEDE</t>
  </si>
  <si>
    <t>AECZ</t>
  </si>
  <si>
    <t>AECR</t>
  </si>
  <si>
    <t>AECO</t>
  </si>
  <si>
    <t>AECL</t>
  </si>
  <si>
    <t>AECH</t>
  </si>
  <si>
    <t>AECA</t>
  </si>
  <si>
    <t>AEBY</t>
  </si>
  <si>
    <t>AEBR</t>
  </si>
  <si>
    <t>AEBO</t>
  </si>
  <si>
    <t>AEBG</t>
  </si>
  <si>
    <t>AEBE</t>
  </si>
  <si>
    <t>AEAU</t>
  </si>
  <si>
    <t>AEAT</t>
  </si>
  <si>
    <t>AEAR</t>
  </si>
  <si>
    <t>AEGB</t>
  </si>
  <si>
    <t>ARZA</t>
  </si>
  <si>
    <t>ARVN</t>
  </si>
  <si>
    <t>ARVE</t>
  </si>
  <si>
    <t>ARUY</t>
  </si>
  <si>
    <t>ARUS</t>
  </si>
  <si>
    <t>ARUA</t>
  </si>
  <si>
    <t>ARTW</t>
  </si>
  <si>
    <t>ARTR</t>
  </si>
  <si>
    <t>ARTH</t>
  </si>
  <si>
    <t>ARSV</t>
  </si>
  <si>
    <t>ARSK</t>
  </si>
  <si>
    <t>ARSG</t>
  </si>
  <si>
    <t>ARSE</t>
  </si>
  <si>
    <t>ARSA</t>
  </si>
  <si>
    <t>ARRO</t>
  </si>
  <si>
    <t>ARPY</t>
  </si>
  <si>
    <t>ARPT</t>
  </si>
  <si>
    <t>ARPL</t>
  </si>
  <si>
    <t>ARPK</t>
  </si>
  <si>
    <t>ARPH</t>
  </si>
  <si>
    <t>ARPE</t>
  </si>
  <si>
    <t>ARPA</t>
  </si>
  <si>
    <t>ARNZ</t>
  </si>
  <si>
    <t>ARNO</t>
  </si>
  <si>
    <t>ARNL</t>
  </si>
  <si>
    <t>ARNG</t>
  </si>
  <si>
    <t>ARMY</t>
  </si>
  <si>
    <t>ARMX</t>
  </si>
  <si>
    <t>ARMA</t>
  </si>
  <si>
    <t>ARLV</t>
  </si>
  <si>
    <t>ARLU</t>
  </si>
  <si>
    <t>ARLT</t>
  </si>
  <si>
    <t>ARKZ</t>
  </si>
  <si>
    <t>ARKR</t>
  </si>
  <si>
    <t>ARJP</t>
  </si>
  <si>
    <t>ARIT</t>
  </si>
  <si>
    <t>ARIS</t>
  </si>
  <si>
    <t>ARIN</t>
  </si>
  <si>
    <t>ARIL</t>
  </si>
  <si>
    <t>ARIE</t>
  </si>
  <si>
    <t>ARID</t>
  </si>
  <si>
    <t>ARHU</t>
  </si>
  <si>
    <t>ARHN</t>
  </si>
  <si>
    <t>ARGT</t>
  </si>
  <si>
    <t>ARGR</t>
  </si>
  <si>
    <t>ARFR</t>
  </si>
  <si>
    <t>ARFI</t>
  </si>
  <si>
    <t>ARES</t>
  </si>
  <si>
    <t>AREG</t>
  </si>
  <si>
    <t>AREE</t>
  </si>
  <si>
    <t>AREC</t>
  </si>
  <si>
    <t>ARDO</t>
  </si>
  <si>
    <t>ARDK</t>
  </si>
  <si>
    <t>ARDE</t>
  </si>
  <si>
    <t>ARCZ</t>
  </si>
  <si>
    <t>ARCR</t>
  </si>
  <si>
    <t>ARCO</t>
  </si>
  <si>
    <t>ARCL</t>
  </si>
  <si>
    <t>ARCH</t>
  </si>
  <si>
    <t>ARCA</t>
  </si>
  <si>
    <t>ARBY</t>
  </si>
  <si>
    <t>ARBR</t>
  </si>
  <si>
    <t>ARBO</t>
  </si>
  <si>
    <t>ARBG</t>
  </si>
  <si>
    <t>ARBE</t>
  </si>
  <si>
    <t>ARAU</t>
  </si>
  <si>
    <t>ARAT</t>
  </si>
  <si>
    <t>ARGB</t>
  </si>
  <si>
    <t>ATZA</t>
  </si>
  <si>
    <t>ATVN</t>
  </si>
  <si>
    <t>ATVE</t>
  </si>
  <si>
    <t>ATUY</t>
  </si>
  <si>
    <t>ATUS</t>
  </si>
  <si>
    <t>ATUA</t>
  </si>
  <si>
    <t>ATTW</t>
  </si>
  <si>
    <t>ATTR</t>
  </si>
  <si>
    <t>ATTH</t>
  </si>
  <si>
    <t>ATSV</t>
  </si>
  <si>
    <t>ATSK</t>
  </si>
  <si>
    <t>ATSG</t>
  </si>
  <si>
    <t>ATSE</t>
  </si>
  <si>
    <t>ATSA</t>
  </si>
  <si>
    <t>ATRO</t>
  </si>
  <si>
    <t>ATPY</t>
  </si>
  <si>
    <t>ATPT</t>
  </si>
  <si>
    <t>ATPL</t>
  </si>
  <si>
    <t>ATPK</t>
  </si>
  <si>
    <t>ATPH</t>
  </si>
  <si>
    <t>ATPE</t>
  </si>
  <si>
    <t>ATPA</t>
  </si>
  <si>
    <t>ATNZ</t>
  </si>
  <si>
    <t>ATNO</t>
  </si>
  <si>
    <t>ATNL</t>
  </si>
  <si>
    <t>ATNG</t>
  </si>
  <si>
    <t>ATMY</t>
  </si>
  <si>
    <t>ATMX</t>
  </si>
  <si>
    <t>ATMA</t>
  </si>
  <si>
    <t>ATLV</t>
  </si>
  <si>
    <t>ATLU</t>
  </si>
  <si>
    <t>ATLT</t>
  </si>
  <si>
    <t>ATKZ</t>
  </si>
  <si>
    <t>ATKR</t>
  </si>
  <si>
    <t>ATJP</t>
  </si>
  <si>
    <t>ATIT</t>
  </si>
  <si>
    <t>ATIS</t>
  </si>
  <si>
    <t>ATIN</t>
  </si>
  <si>
    <t>ATIL</t>
  </si>
  <si>
    <t>ATIE</t>
  </si>
  <si>
    <t>ATID</t>
  </si>
  <si>
    <t>ATHU</t>
  </si>
  <si>
    <t>ATHN</t>
  </si>
  <si>
    <t>ATGT</t>
  </si>
  <si>
    <t>ATGR</t>
  </si>
  <si>
    <t>ATFR</t>
  </si>
  <si>
    <t>ATFI</t>
  </si>
  <si>
    <t>ATES</t>
  </si>
  <si>
    <t>ATEG</t>
  </si>
  <si>
    <t>ATEE</t>
  </si>
  <si>
    <t>ATEC</t>
  </si>
  <si>
    <t>ATDO</t>
  </si>
  <si>
    <t>ATDK</t>
  </si>
  <si>
    <t>ATDE</t>
  </si>
  <si>
    <t>ATCZ</t>
  </si>
  <si>
    <t>ATCR</t>
  </si>
  <si>
    <t>ATCO</t>
  </si>
  <si>
    <t>ATCL</t>
  </si>
  <si>
    <t>ATCH</t>
  </si>
  <si>
    <t>ATCA</t>
  </si>
  <si>
    <t>ATBY</t>
  </si>
  <si>
    <t>ATBR</t>
  </si>
  <si>
    <t>ATBO</t>
  </si>
  <si>
    <t>ATBG</t>
  </si>
  <si>
    <t>ATBE</t>
  </si>
  <si>
    <t>ATAU</t>
  </si>
  <si>
    <t>ATGB</t>
  </si>
  <si>
    <t>AUZA</t>
  </si>
  <si>
    <t>AUVN</t>
  </si>
  <si>
    <t>AUVE</t>
  </si>
  <si>
    <t>AUUY</t>
  </si>
  <si>
    <t>AUUS</t>
  </si>
  <si>
    <t>AUUA</t>
  </si>
  <si>
    <t>AUTW</t>
  </si>
  <si>
    <t>AUTR</t>
  </si>
  <si>
    <t>AUTH</t>
  </si>
  <si>
    <t>AUSV</t>
  </si>
  <si>
    <t>AUSK</t>
  </si>
  <si>
    <t>AUSG</t>
  </si>
  <si>
    <t>AUSE</t>
  </si>
  <si>
    <t>AUSA</t>
  </si>
  <si>
    <t>AURO</t>
  </si>
  <si>
    <t>AUPY</t>
  </si>
  <si>
    <t>AUPT</t>
  </si>
  <si>
    <t>AUPL</t>
  </si>
  <si>
    <t>AUPK</t>
  </si>
  <si>
    <t>AUPH</t>
  </si>
  <si>
    <t>AUPE</t>
  </si>
  <si>
    <t>AUPA</t>
  </si>
  <si>
    <t>AUNZ</t>
  </si>
  <si>
    <t>AUNO</t>
  </si>
  <si>
    <t>AUNL</t>
  </si>
  <si>
    <t>AUNG</t>
  </si>
  <si>
    <t>AUMY</t>
  </si>
  <si>
    <t>AUMX</t>
  </si>
  <si>
    <t>AUMA</t>
  </si>
  <si>
    <t>AULV</t>
  </si>
  <si>
    <t>AULU</t>
  </si>
  <si>
    <t>AULT</t>
  </si>
  <si>
    <t>AUKZ</t>
  </si>
  <si>
    <t>AUKR</t>
  </si>
  <si>
    <t>AUJP</t>
  </si>
  <si>
    <t>AUIT</t>
  </si>
  <si>
    <t>AUIS</t>
  </si>
  <si>
    <t>AUIN</t>
  </si>
  <si>
    <t>AUIL</t>
  </si>
  <si>
    <t>AUIE</t>
  </si>
  <si>
    <t>AUID</t>
  </si>
  <si>
    <t>AUHU</t>
  </si>
  <si>
    <t>AUHN</t>
  </si>
  <si>
    <t>AUGT</t>
  </si>
  <si>
    <t>AUGR</t>
  </si>
  <si>
    <t>AUFR</t>
  </si>
  <si>
    <t>AUFI</t>
  </si>
  <si>
    <t>AUES</t>
  </si>
  <si>
    <t>AUEG</t>
  </si>
  <si>
    <t>AUEE</t>
  </si>
  <si>
    <t>AUEC</t>
  </si>
  <si>
    <t>AUDO</t>
  </si>
  <si>
    <t>AUDK</t>
  </si>
  <si>
    <t>AUDE</t>
  </si>
  <si>
    <t>AUCZ</t>
  </si>
  <si>
    <t>AUCR</t>
  </si>
  <si>
    <t>AUCO</t>
  </si>
  <si>
    <t>AUCL</t>
  </si>
  <si>
    <t>AUCH</t>
  </si>
  <si>
    <t>AUCA</t>
  </si>
  <si>
    <t>AUBY</t>
  </si>
  <si>
    <t>AUBR</t>
  </si>
  <si>
    <t>AUBO</t>
  </si>
  <si>
    <t>AUBG</t>
  </si>
  <si>
    <t>AUBE</t>
  </si>
  <si>
    <t>AUGB</t>
  </si>
  <si>
    <t>BEZA</t>
  </si>
  <si>
    <t>BEVN</t>
  </si>
  <si>
    <t>BEVE</t>
  </si>
  <si>
    <t>BEUY</t>
  </si>
  <si>
    <t>BEUS</t>
  </si>
  <si>
    <t>BEUA</t>
  </si>
  <si>
    <t>BETW</t>
  </si>
  <si>
    <t>BETR</t>
  </si>
  <si>
    <t>BETH</t>
  </si>
  <si>
    <t>BESV</t>
  </si>
  <si>
    <t>BESK</t>
  </si>
  <si>
    <t>BESG</t>
  </si>
  <si>
    <t>BESE</t>
  </si>
  <si>
    <t>BESA</t>
  </si>
  <si>
    <t>BERO</t>
  </si>
  <si>
    <t>BEPY</t>
  </si>
  <si>
    <t>BEPT</t>
  </si>
  <si>
    <t>BEPL</t>
  </si>
  <si>
    <t>BEPK</t>
  </si>
  <si>
    <t>BEPH</t>
  </si>
  <si>
    <t>BEPE</t>
  </si>
  <si>
    <t>BEPA</t>
  </si>
  <si>
    <t>BENZ</t>
  </si>
  <si>
    <t>BENO</t>
  </si>
  <si>
    <t>BENL</t>
  </si>
  <si>
    <t>BENG</t>
  </si>
  <si>
    <t>BEMY</t>
  </si>
  <si>
    <t>BEMX</t>
  </si>
  <si>
    <t>BEMA</t>
  </si>
  <si>
    <t>BELV</t>
  </si>
  <si>
    <t>BELU</t>
  </si>
  <si>
    <t>BELT</t>
  </si>
  <si>
    <t>BEKZ</t>
  </si>
  <si>
    <t>BEKR</t>
  </si>
  <si>
    <t>BEJP</t>
  </si>
  <si>
    <t>BEIT</t>
  </si>
  <si>
    <t>BEIS</t>
  </si>
  <si>
    <t>BEIN</t>
  </si>
  <si>
    <t>BEIL</t>
  </si>
  <si>
    <t>BEIE</t>
  </si>
  <si>
    <t>BEID</t>
  </si>
  <si>
    <t>BEHU</t>
  </si>
  <si>
    <t>BEHN</t>
  </si>
  <si>
    <t>BEGT</t>
  </si>
  <si>
    <t>BEGR</t>
  </si>
  <si>
    <t>BEFR</t>
  </si>
  <si>
    <t>BEFI</t>
  </si>
  <si>
    <t>BEES</t>
  </si>
  <si>
    <t>BEEG</t>
  </si>
  <si>
    <t>BEEE</t>
  </si>
  <si>
    <t>BEEC</t>
  </si>
  <si>
    <t>BEDO</t>
  </si>
  <si>
    <t>BEDK</t>
  </si>
  <si>
    <t>BEDE</t>
  </si>
  <si>
    <t>BECZ</t>
  </si>
  <si>
    <t>BECR</t>
  </si>
  <si>
    <t>BECO</t>
  </si>
  <si>
    <t>BECL</t>
  </si>
  <si>
    <t>BECH</t>
  </si>
  <si>
    <t>BECA</t>
  </si>
  <si>
    <t>BEBY</t>
  </si>
  <si>
    <t>BEBR</t>
  </si>
  <si>
    <t>BEBO</t>
  </si>
  <si>
    <t>BEBG</t>
  </si>
  <si>
    <t>BEGB</t>
  </si>
  <si>
    <t>BGZA</t>
  </si>
  <si>
    <t>BGVN</t>
  </si>
  <si>
    <t>BGVE</t>
  </si>
  <si>
    <t>BGUY</t>
  </si>
  <si>
    <t>BGUS</t>
  </si>
  <si>
    <t>BGUA</t>
  </si>
  <si>
    <t>BGTW</t>
  </si>
  <si>
    <t>BGTR</t>
  </si>
  <si>
    <t>BGTH</t>
  </si>
  <si>
    <t>BGSV</t>
  </si>
  <si>
    <t>BGSK</t>
  </si>
  <si>
    <t>BGSG</t>
  </si>
  <si>
    <t>BGSE</t>
  </si>
  <si>
    <t>BGSA</t>
  </si>
  <si>
    <t>BGRO</t>
  </si>
  <si>
    <t>BGPY</t>
  </si>
  <si>
    <t>BGPT</t>
  </si>
  <si>
    <t>BGPL</t>
  </si>
  <si>
    <t>BGPK</t>
  </si>
  <si>
    <t>BGPH</t>
  </si>
  <si>
    <t>BGPE</t>
  </si>
  <si>
    <t>BGPA</t>
  </si>
  <si>
    <t>BGNZ</t>
  </si>
  <si>
    <t>BGNO</t>
  </si>
  <si>
    <t>BGNL</t>
  </si>
  <si>
    <t>BGNG</t>
  </si>
  <si>
    <t>BGMY</t>
  </si>
  <si>
    <t>BGMX</t>
  </si>
  <si>
    <t>BGMA</t>
  </si>
  <si>
    <t>BGLV</t>
  </si>
  <si>
    <t>BGLU</t>
  </si>
  <si>
    <t>BGLT</t>
  </si>
  <si>
    <t>BGKZ</t>
  </si>
  <si>
    <t>BGKR</t>
  </si>
  <si>
    <t>BGJP</t>
  </si>
  <si>
    <t>BGIT</t>
  </si>
  <si>
    <t>BGIS</t>
  </si>
  <si>
    <t>BGIN</t>
  </si>
  <si>
    <t>BGIL</t>
  </si>
  <si>
    <t>BGIE</t>
  </si>
  <si>
    <t>BGID</t>
  </si>
  <si>
    <t>BGHU</t>
  </si>
  <si>
    <t>BGHN</t>
  </si>
  <si>
    <t>BGGT</t>
  </si>
  <si>
    <t>BGGR</t>
  </si>
  <si>
    <t>BGFR</t>
  </si>
  <si>
    <t>BGFI</t>
  </si>
  <si>
    <t>BGES</t>
  </si>
  <si>
    <t>BGEG</t>
  </si>
  <si>
    <t>BGEE</t>
  </si>
  <si>
    <t>BGEC</t>
  </si>
  <si>
    <t>BGDO</t>
  </si>
  <si>
    <t>BGDK</t>
  </si>
  <si>
    <t>BGDE</t>
  </si>
  <si>
    <t>BGCZ</t>
  </si>
  <si>
    <t>BGCR</t>
  </si>
  <si>
    <t>BGCO</t>
  </si>
  <si>
    <t>BGCL</t>
  </si>
  <si>
    <t>BGCH</t>
  </si>
  <si>
    <t>BGCA</t>
  </si>
  <si>
    <t>BGBY</t>
  </si>
  <si>
    <t>BGBR</t>
  </si>
  <si>
    <t>BGBO</t>
  </si>
  <si>
    <t>BGGB</t>
  </si>
  <si>
    <t>BOZA</t>
  </si>
  <si>
    <t>BOVN</t>
  </si>
  <si>
    <t>BOVE</t>
  </si>
  <si>
    <t>BOUY</t>
  </si>
  <si>
    <t>BOUS</t>
  </si>
  <si>
    <t>BOUA</t>
  </si>
  <si>
    <t>BOTW</t>
  </si>
  <si>
    <t>BOTR</t>
  </si>
  <si>
    <t>BOTH</t>
  </si>
  <si>
    <t>BOSV</t>
  </si>
  <si>
    <t>BOSK</t>
  </si>
  <si>
    <t>BOSG</t>
  </si>
  <si>
    <t>BOSE</t>
  </si>
  <si>
    <t>BOSA</t>
  </si>
  <si>
    <t>BORO</t>
  </si>
  <si>
    <t>BOPY</t>
  </si>
  <si>
    <t>BOPT</t>
  </si>
  <si>
    <t>BOPL</t>
  </si>
  <si>
    <t>BOPK</t>
  </si>
  <si>
    <t>BOPH</t>
  </si>
  <si>
    <t>BOPE</t>
  </si>
  <si>
    <t>BOPA</t>
  </si>
  <si>
    <t>BONZ</t>
  </si>
  <si>
    <t>BONO</t>
  </si>
  <si>
    <t>BONL</t>
  </si>
  <si>
    <t>BONG</t>
  </si>
  <si>
    <t>BOMY</t>
  </si>
  <si>
    <t>BOMX</t>
  </si>
  <si>
    <t>BOMA</t>
  </si>
  <si>
    <t>BOLV</t>
  </si>
  <si>
    <t>BOLU</t>
  </si>
  <si>
    <t>BOLT</t>
  </si>
  <si>
    <t>BOKZ</t>
  </si>
  <si>
    <t>BOKR</t>
  </si>
  <si>
    <t>BOJP</t>
  </si>
  <si>
    <t>BOIT</t>
  </si>
  <si>
    <t>BOIS</t>
  </si>
  <si>
    <t>BOIN</t>
  </si>
  <si>
    <t>BOIL</t>
  </si>
  <si>
    <t>BOIE</t>
  </si>
  <si>
    <t>BOID</t>
  </si>
  <si>
    <t>BOHU</t>
  </si>
  <si>
    <t>BOHN</t>
  </si>
  <si>
    <t>BOGT</t>
  </si>
  <si>
    <t>BOGR</t>
  </si>
  <si>
    <t>BOFR</t>
  </si>
  <si>
    <t>BOFI</t>
  </si>
  <si>
    <t>BOES</t>
  </si>
  <si>
    <t>BOEG</t>
  </si>
  <si>
    <t>BOEE</t>
  </si>
  <si>
    <t>BOEC</t>
  </si>
  <si>
    <t>BODO</t>
  </si>
  <si>
    <t>BODK</t>
  </si>
  <si>
    <t>BODE</t>
  </si>
  <si>
    <t>BOCZ</t>
  </si>
  <si>
    <t>BOCR</t>
  </si>
  <si>
    <t>BOCO</t>
  </si>
  <si>
    <t>BOCL</t>
  </si>
  <si>
    <t>BOCH</t>
  </si>
  <si>
    <t>BOCA</t>
  </si>
  <si>
    <t>BOBY</t>
  </si>
  <si>
    <t>BOBR</t>
  </si>
  <si>
    <t>BOGB</t>
  </si>
  <si>
    <t>BRZA</t>
  </si>
  <si>
    <t>BRVN</t>
  </si>
  <si>
    <t>BRVE</t>
  </si>
  <si>
    <t>BRUY</t>
  </si>
  <si>
    <t>BRUS</t>
  </si>
  <si>
    <t>BRUA</t>
  </si>
  <si>
    <t>BRTW</t>
  </si>
  <si>
    <t>BRTR</t>
  </si>
  <si>
    <t>BRTH</t>
  </si>
  <si>
    <t>BRSV</t>
  </si>
  <si>
    <t>BRSK</t>
  </si>
  <si>
    <t>BRSG</t>
  </si>
  <si>
    <t>BRSE</t>
  </si>
  <si>
    <t>BRSA</t>
  </si>
  <si>
    <t>BRRO</t>
  </si>
  <si>
    <t>BRPY</t>
  </si>
  <si>
    <t>BRPT</t>
  </si>
  <si>
    <t>BRPL</t>
  </si>
  <si>
    <t>BRPK</t>
  </si>
  <si>
    <t>BRPH</t>
  </si>
  <si>
    <t>BRPE</t>
  </si>
  <si>
    <t>BRPA</t>
  </si>
  <si>
    <t>BRNZ</t>
  </si>
  <si>
    <t>BRNO</t>
  </si>
  <si>
    <t>BRNL</t>
  </si>
  <si>
    <t>BRNG</t>
  </si>
  <si>
    <t>BRMY</t>
  </si>
  <si>
    <t>BRMX</t>
  </si>
  <si>
    <t>BRMA</t>
  </si>
  <si>
    <t>BRLV</t>
  </si>
  <si>
    <t>BRLU</t>
  </si>
  <si>
    <t>BRLT</t>
  </si>
  <si>
    <t>BRKZ</t>
  </si>
  <si>
    <t>BRKR</t>
  </si>
  <si>
    <t>BRJP</t>
  </si>
  <si>
    <t>BRIT</t>
  </si>
  <si>
    <t>BRIS</t>
  </si>
  <si>
    <t>BRIN</t>
  </si>
  <si>
    <t>BRIL</t>
  </si>
  <si>
    <t>BRIE</t>
  </si>
  <si>
    <t>BRID</t>
  </si>
  <si>
    <t>BRHU</t>
  </si>
  <si>
    <t>BRHN</t>
  </si>
  <si>
    <t>BRGT</t>
  </si>
  <si>
    <t>BRGR</t>
  </si>
  <si>
    <t>BRFR</t>
  </si>
  <si>
    <t>BRFI</t>
  </si>
  <si>
    <t>BRES</t>
  </si>
  <si>
    <t>BREG</t>
  </si>
  <si>
    <t>BREE</t>
  </si>
  <si>
    <t>BREC</t>
  </si>
  <si>
    <t>BRDO</t>
  </si>
  <si>
    <t>BRDK</t>
  </si>
  <si>
    <t>BRDE</t>
  </si>
  <si>
    <t>BRCZ</t>
  </si>
  <si>
    <t>BRCR</t>
  </si>
  <si>
    <t>BRCO</t>
  </si>
  <si>
    <t>BRCL</t>
  </si>
  <si>
    <t>BRCH</t>
  </si>
  <si>
    <t>BRCA</t>
  </si>
  <si>
    <t>BRBY</t>
  </si>
  <si>
    <t>BRGB</t>
  </si>
  <si>
    <t>BYZA</t>
  </si>
  <si>
    <t>BYVN</t>
  </si>
  <si>
    <t>BYVE</t>
  </si>
  <si>
    <t>BYUY</t>
  </si>
  <si>
    <t>BYUS</t>
  </si>
  <si>
    <t>BYUA</t>
  </si>
  <si>
    <t>BYTW</t>
  </si>
  <si>
    <t>BYTR</t>
  </si>
  <si>
    <t>BYTH</t>
  </si>
  <si>
    <t>BYSV</t>
  </si>
  <si>
    <t>BYSK</t>
  </si>
  <si>
    <t>BYSG</t>
  </si>
  <si>
    <t>BYSE</t>
  </si>
  <si>
    <t>BYSA</t>
  </si>
  <si>
    <t>BYRO</t>
  </si>
  <si>
    <t>BYPY</t>
  </si>
  <si>
    <t>BYPT</t>
  </si>
  <si>
    <t>BYPL</t>
  </si>
  <si>
    <t>BYPK</t>
  </si>
  <si>
    <t>BYPH</t>
  </si>
  <si>
    <t>BYPE</t>
  </si>
  <si>
    <t>BYPA</t>
  </si>
  <si>
    <t>BYNZ</t>
  </si>
  <si>
    <t>BYNO</t>
  </si>
  <si>
    <t>BYNL</t>
  </si>
  <si>
    <t>BYNG</t>
  </si>
  <si>
    <t>BYMY</t>
  </si>
  <si>
    <t>BYMX</t>
  </si>
  <si>
    <t>BYMA</t>
  </si>
  <si>
    <t>BYLV</t>
  </si>
  <si>
    <t>BYLU</t>
  </si>
  <si>
    <t>BYLT</t>
  </si>
  <si>
    <t>BYKZ</t>
  </si>
  <si>
    <t>BYKR</t>
  </si>
  <si>
    <t>BYJP</t>
  </si>
  <si>
    <t>BYIT</t>
  </si>
  <si>
    <t>BYIS</t>
  </si>
  <si>
    <t>BYIN</t>
  </si>
  <si>
    <t>BYIL</t>
  </si>
  <si>
    <t>BYIE</t>
  </si>
  <si>
    <t>BYID</t>
  </si>
  <si>
    <t>BYHU</t>
  </si>
  <si>
    <t>BYHN</t>
  </si>
  <si>
    <t>BYGT</t>
  </si>
  <si>
    <t>BYGR</t>
  </si>
  <si>
    <t>BYFR</t>
  </si>
  <si>
    <t>BYFI</t>
  </si>
  <si>
    <t>BYES</t>
  </si>
  <si>
    <t>BYEG</t>
  </si>
  <si>
    <t>BYEE</t>
  </si>
  <si>
    <t>BYEC</t>
  </si>
  <si>
    <t>BYDO</t>
  </si>
  <si>
    <t>BYDK</t>
  </si>
  <si>
    <t>BYDE</t>
  </si>
  <si>
    <t>BYCZ</t>
  </si>
  <si>
    <t>BYCR</t>
  </si>
  <si>
    <t>BYCO</t>
  </si>
  <si>
    <t>BYCL</t>
  </si>
  <si>
    <t>BYCH</t>
  </si>
  <si>
    <t>BYCA</t>
  </si>
  <si>
    <t>BYGB</t>
  </si>
  <si>
    <t>CAZA</t>
  </si>
  <si>
    <t>CAVN</t>
  </si>
  <si>
    <t>CAVE</t>
  </si>
  <si>
    <t>CAUY</t>
  </si>
  <si>
    <t>CAUS</t>
  </si>
  <si>
    <t>CAUA</t>
  </si>
  <si>
    <t>CATW</t>
  </si>
  <si>
    <t>CATR</t>
  </si>
  <si>
    <t>CATH</t>
  </si>
  <si>
    <t>CASV</t>
  </si>
  <si>
    <t>CASK</t>
  </si>
  <si>
    <t>CASG</t>
  </si>
  <si>
    <t>CASE</t>
  </si>
  <si>
    <t>CASA</t>
  </si>
  <si>
    <t>CARO</t>
  </si>
  <si>
    <t>CAPY</t>
  </si>
  <si>
    <t>CAPT</t>
  </si>
  <si>
    <t>CAPL</t>
  </si>
  <si>
    <t>CAPK</t>
  </si>
  <si>
    <t>CAPH</t>
  </si>
  <si>
    <t>CAPE</t>
  </si>
  <si>
    <t>CAPA</t>
  </si>
  <si>
    <t>CANZ</t>
  </si>
  <si>
    <t>CANO</t>
  </si>
  <si>
    <t>CANL</t>
  </si>
  <si>
    <t>CANG</t>
  </si>
  <si>
    <t>CAMY</t>
  </si>
  <si>
    <t>CAMX</t>
  </si>
  <si>
    <t>CAMA</t>
  </si>
  <si>
    <t>CALV</t>
  </si>
  <si>
    <t>CALU</t>
  </si>
  <si>
    <t>CALT</t>
  </si>
  <si>
    <t>CAKZ</t>
  </si>
  <si>
    <t>CAKR</t>
  </si>
  <si>
    <t>CAJP</t>
  </si>
  <si>
    <t>CAIT</t>
  </si>
  <si>
    <t>CAIS</t>
  </si>
  <si>
    <t>CAIN</t>
  </si>
  <si>
    <t>CAIL</t>
  </si>
  <si>
    <t>CAIE</t>
  </si>
  <si>
    <t>CAID</t>
  </si>
  <si>
    <t>CAHU</t>
  </si>
  <si>
    <t>CAHN</t>
  </si>
  <si>
    <t>CAGT</t>
  </si>
  <si>
    <t>CAGR</t>
  </si>
  <si>
    <t>CAFR</t>
  </si>
  <si>
    <t>CAFI</t>
  </si>
  <si>
    <t>CAES</t>
  </si>
  <si>
    <t>CAEG</t>
  </si>
  <si>
    <t>CAEE</t>
  </si>
  <si>
    <t>CAEC</t>
  </si>
  <si>
    <t>CADO</t>
  </si>
  <si>
    <t>CADK</t>
  </si>
  <si>
    <t>CADE</t>
  </si>
  <si>
    <t>CACZ</t>
  </si>
  <si>
    <t>CACR</t>
  </si>
  <si>
    <t>CACO</t>
  </si>
  <si>
    <t>CACL</t>
  </si>
  <si>
    <t>CACH</t>
  </si>
  <si>
    <t>CAGB</t>
  </si>
  <si>
    <t>CHZA</t>
  </si>
  <si>
    <t>CHVN</t>
  </si>
  <si>
    <t>CHVE</t>
  </si>
  <si>
    <t>CHUY</t>
  </si>
  <si>
    <t>CHUS</t>
  </si>
  <si>
    <t>CHUA</t>
  </si>
  <si>
    <t>CHTW</t>
  </si>
  <si>
    <t>CHTR</t>
  </si>
  <si>
    <t>CHTH</t>
  </si>
  <si>
    <t>CHSV</t>
  </si>
  <si>
    <t>CHSK</t>
  </si>
  <si>
    <t>CHSG</t>
  </si>
  <si>
    <t>CHSE</t>
  </si>
  <si>
    <t>CHSA</t>
  </si>
  <si>
    <t>CHRO</t>
  </si>
  <si>
    <t>CHPY</t>
  </si>
  <si>
    <t>CHPT</t>
  </si>
  <si>
    <t>CHPL</t>
  </si>
  <si>
    <t>CHPK</t>
  </si>
  <si>
    <t>CHPH</t>
  </si>
  <si>
    <t>CHPE</t>
  </si>
  <si>
    <t>CHPA</t>
  </si>
  <si>
    <t>CHNZ</t>
  </si>
  <si>
    <t>CHNO</t>
  </si>
  <si>
    <t>CHNL</t>
  </si>
  <si>
    <t>CHNG</t>
  </si>
  <si>
    <t>CHMY</t>
  </si>
  <si>
    <t>CHMX</t>
  </si>
  <si>
    <t>CHMA</t>
  </si>
  <si>
    <t>CHLV</t>
  </si>
  <si>
    <t>CHLU</t>
  </si>
  <si>
    <t>CHLT</t>
  </si>
  <si>
    <t>CHKZ</t>
  </si>
  <si>
    <t>CHKR</t>
  </si>
  <si>
    <t>CHJP</t>
  </si>
  <si>
    <t>CHIT</t>
  </si>
  <si>
    <t>CHIS</t>
  </si>
  <si>
    <t>CHIN</t>
  </si>
  <si>
    <t>CHIL</t>
  </si>
  <si>
    <t>CHIE</t>
  </si>
  <si>
    <t>CHID</t>
  </si>
  <si>
    <t>CHHU</t>
  </si>
  <si>
    <t>CHHN</t>
  </si>
  <si>
    <t>CHGT</t>
  </si>
  <si>
    <t>CHGR</t>
  </si>
  <si>
    <t>CHFR</t>
  </si>
  <si>
    <t>CHFI</t>
  </si>
  <si>
    <t>CHES</t>
  </si>
  <si>
    <t>CHEG</t>
  </si>
  <si>
    <t>CHEE</t>
  </si>
  <si>
    <t>CHEC</t>
  </si>
  <si>
    <t>CHDO</t>
  </si>
  <si>
    <t>CHDK</t>
  </si>
  <si>
    <t>CHDE</t>
  </si>
  <si>
    <t>CHCZ</t>
  </si>
  <si>
    <t>CHCR</t>
  </si>
  <si>
    <t>CHCO</t>
  </si>
  <si>
    <t>CHCL</t>
  </si>
  <si>
    <t>CHGB</t>
  </si>
  <si>
    <t>CLZA</t>
  </si>
  <si>
    <t>CLVN</t>
  </si>
  <si>
    <t>CLVE</t>
  </si>
  <si>
    <t>CLUY</t>
  </si>
  <si>
    <t>CLUS</t>
  </si>
  <si>
    <t>CLUA</t>
  </si>
  <si>
    <t>CLTW</t>
  </si>
  <si>
    <t>CLTR</t>
  </si>
  <si>
    <t>CLTH</t>
  </si>
  <si>
    <t>CLSV</t>
  </si>
  <si>
    <t>CLSK</t>
  </si>
  <si>
    <t>CLSG</t>
  </si>
  <si>
    <t>CLSE</t>
  </si>
  <si>
    <t>CLSA</t>
  </si>
  <si>
    <t>CLRO</t>
  </si>
  <si>
    <t>CLPY</t>
  </si>
  <si>
    <t>CLPT</t>
  </si>
  <si>
    <t>CLPL</t>
  </si>
  <si>
    <t>CLPK</t>
  </si>
  <si>
    <t>CLPH</t>
  </si>
  <si>
    <t>CLPE</t>
  </si>
  <si>
    <t>CLPA</t>
  </si>
  <si>
    <t>CLNZ</t>
  </si>
  <si>
    <t>CLNO</t>
  </si>
  <si>
    <t>CLNL</t>
  </si>
  <si>
    <t>CLNG</t>
  </si>
  <si>
    <t>CLMY</t>
  </si>
  <si>
    <t>CLMX</t>
  </si>
  <si>
    <t>CLMA</t>
  </si>
  <si>
    <t>CLLV</t>
  </si>
  <si>
    <t>CLLU</t>
  </si>
  <si>
    <t>CLLT</t>
  </si>
  <si>
    <t>CLKZ</t>
  </si>
  <si>
    <t>CLKR</t>
  </si>
  <si>
    <t>CLJP</t>
  </si>
  <si>
    <t>CLIT</t>
  </si>
  <si>
    <t>CLIS</t>
  </si>
  <si>
    <t>CLIN</t>
  </si>
  <si>
    <t>CLIL</t>
  </si>
  <si>
    <t>CLIE</t>
  </si>
  <si>
    <t>CLID</t>
  </si>
  <si>
    <t>CLHU</t>
  </si>
  <si>
    <t>CLHN</t>
  </si>
  <si>
    <t>CLGT</t>
  </si>
  <si>
    <t>CLGR</t>
  </si>
  <si>
    <t>CLFR</t>
  </si>
  <si>
    <t>CLFI</t>
  </si>
  <si>
    <t>CLES</t>
  </si>
  <si>
    <t>CLEG</t>
  </si>
  <si>
    <t>CLEE</t>
  </si>
  <si>
    <t>CLEC</t>
  </si>
  <si>
    <t>CLDO</t>
  </si>
  <si>
    <t>CLDK</t>
  </si>
  <si>
    <t>CLDE</t>
  </si>
  <si>
    <t>CLCZ</t>
  </si>
  <si>
    <t>CLCR</t>
  </si>
  <si>
    <t>CLCO</t>
  </si>
  <si>
    <t>CLGB</t>
  </si>
  <si>
    <t>COZA</t>
  </si>
  <si>
    <t>COVN</t>
  </si>
  <si>
    <t>COVE</t>
  </si>
  <si>
    <t>COUY</t>
  </si>
  <si>
    <t>COUS</t>
  </si>
  <si>
    <t>COUA</t>
  </si>
  <si>
    <t>COTW</t>
  </si>
  <si>
    <t>COTR</t>
  </si>
  <si>
    <t>COTH</t>
  </si>
  <si>
    <t>COSV</t>
  </si>
  <si>
    <t>COSK</t>
  </si>
  <si>
    <t>COSG</t>
  </si>
  <si>
    <t>COSE</t>
  </si>
  <si>
    <t>COSA</t>
  </si>
  <si>
    <t>CORO</t>
  </si>
  <si>
    <t>COPY</t>
  </si>
  <si>
    <t>COPT</t>
  </si>
  <si>
    <t>COPL</t>
  </si>
  <si>
    <t>COPK</t>
  </si>
  <si>
    <t>COPH</t>
  </si>
  <si>
    <t>COPE</t>
  </si>
  <si>
    <t>COPA</t>
  </si>
  <si>
    <t>CONZ</t>
  </si>
  <si>
    <t>CONO</t>
  </si>
  <si>
    <t>CONL</t>
  </si>
  <si>
    <t>CONG</t>
  </si>
  <si>
    <t>COMY</t>
  </si>
  <si>
    <t>COMX</t>
  </si>
  <si>
    <t>COMA</t>
  </si>
  <si>
    <t>COLV</t>
  </si>
  <si>
    <t>COLU</t>
  </si>
  <si>
    <t>COLT</t>
  </si>
  <si>
    <t>COKZ</t>
  </si>
  <si>
    <t>COKR</t>
  </si>
  <si>
    <t>COJP</t>
  </si>
  <si>
    <t>COIT</t>
  </si>
  <si>
    <t>COIS</t>
  </si>
  <si>
    <t>COIN</t>
  </si>
  <si>
    <t>COIL</t>
  </si>
  <si>
    <t>COIE</t>
  </si>
  <si>
    <t>COID</t>
  </si>
  <si>
    <t>COHU</t>
  </si>
  <si>
    <t>COHN</t>
  </si>
  <si>
    <t>COGT</t>
  </si>
  <si>
    <t>COGR</t>
  </si>
  <si>
    <t>COFR</t>
  </si>
  <si>
    <t>COFI</t>
  </si>
  <si>
    <t>COES</t>
  </si>
  <si>
    <t>COEG</t>
  </si>
  <si>
    <t>COEE</t>
  </si>
  <si>
    <t>COEC</t>
  </si>
  <si>
    <t>CODO</t>
  </si>
  <si>
    <t>CODK</t>
  </si>
  <si>
    <t>CODE</t>
  </si>
  <si>
    <t>COCZ</t>
  </si>
  <si>
    <t>COCR</t>
  </si>
  <si>
    <t>COGB</t>
  </si>
  <si>
    <t>CRZA</t>
  </si>
  <si>
    <t>CRVN</t>
  </si>
  <si>
    <t>CRVE</t>
  </si>
  <si>
    <t>CRUY</t>
  </si>
  <si>
    <t>CRUS</t>
  </si>
  <si>
    <t>CRUA</t>
  </si>
  <si>
    <t>CRTW</t>
  </si>
  <si>
    <t>CRTR</t>
  </si>
  <si>
    <t>CRTH</t>
  </si>
  <si>
    <t>CRSV</t>
  </si>
  <si>
    <t>CRSK</t>
  </si>
  <si>
    <t>CRSG</t>
  </si>
  <si>
    <t>CRSE</t>
  </si>
  <si>
    <t>CRSA</t>
  </si>
  <si>
    <t>CRRO</t>
  </si>
  <si>
    <t>CRPY</t>
  </si>
  <si>
    <t>CRPT</t>
  </si>
  <si>
    <t>CRPL</t>
  </si>
  <si>
    <t>CRPK</t>
  </si>
  <si>
    <t>CRPH</t>
  </si>
  <si>
    <t>CRPE</t>
  </si>
  <si>
    <t>CRPA</t>
  </si>
  <si>
    <t>CRNZ</t>
  </si>
  <si>
    <t>CRNO</t>
  </si>
  <si>
    <t>CRNL</t>
  </si>
  <si>
    <t>CRNG</t>
  </si>
  <si>
    <t>CRMY</t>
  </si>
  <si>
    <t>CRMX</t>
  </si>
  <si>
    <t>CRMA</t>
  </si>
  <si>
    <t>CRLV</t>
  </si>
  <si>
    <t>CRLU</t>
  </si>
  <si>
    <t>CRLT</t>
  </si>
  <si>
    <t>CRKZ</t>
  </si>
  <si>
    <t>CRKR</t>
  </si>
  <si>
    <t>CRJP</t>
  </si>
  <si>
    <t>CRIT</t>
  </si>
  <si>
    <t>CRIS</t>
  </si>
  <si>
    <t>CRIN</t>
  </si>
  <si>
    <t>CRIL</t>
  </si>
  <si>
    <t>CRIE</t>
  </si>
  <si>
    <t>CRID</t>
  </si>
  <si>
    <t>CRHU</t>
  </si>
  <si>
    <t>CRHN</t>
  </si>
  <si>
    <t>CRGT</t>
  </si>
  <si>
    <t>CRGR</t>
  </si>
  <si>
    <t>CRFR</t>
  </si>
  <si>
    <t>CRFI</t>
  </si>
  <si>
    <t>CRES</t>
  </si>
  <si>
    <t>CREG</t>
  </si>
  <si>
    <t>CREE</t>
  </si>
  <si>
    <t>CREC</t>
  </si>
  <si>
    <t>CRDO</t>
  </si>
  <si>
    <t>CRDK</t>
  </si>
  <si>
    <t>CRDE</t>
  </si>
  <si>
    <t>CRCZ</t>
  </si>
  <si>
    <t>CRGB</t>
  </si>
  <si>
    <t>CZZA</t>
  </si>
  <si>
    <t>CZVN</t>
  </si>
  <si>
    <t>CZVE</t>
  </si>
  <si>
    <t>CZUY</t>
  </si>
  <si>
    <t>CZUS</t>
  </si>
  <si>
    <t>CZUA</t>
  </si>
  <si>
    <t>CZTW</t>
  </si>
  <si>
    <t>CZTR</t>
  </si>
  <si>
    <t>CZTH</t>
  </si>
  <si>
    <t>CZSV</t>
  </si>
  <si>
    <t>CZSK</t>
  </si>
  <si>
    <t>CZSG</t>
  </si>
  <si>
    <t>CZSE</t>
  </si>
  <si>
    <t>CZSA</t>
  </si>
  <si>
    <t>CZRO</t>
  </si>
  <si>
    <t>CZPY</t>
  </si>
  <si>
    <t>CZPT</t>
  </si>
  <si>
    <t>CZPL</t>
  </si>
  <si>
    <t>CZPK</t>
  </si>
  <si>
    <t>CZPH</t>
  </si>
  <si>
    <t>CZPE</t>
  </si>
  <si>
    <t>CZPA</t>
  </si>
  <si>
    <t>CZNZ</t>
  </si>
  <si>
    <t>CZNO</t>
  </si>
  <si>
    <t>CZNL</t>
  </si>
  <si>
    <t>CZNG</t>
  </si>
  <si>
    <t>CZMY</t>
  </si>
  <si>
    <t>CZMX</t>
  </si>
  <si>
    <t>CZMA</t>
  </si>
  <si>
    <t>CZLV</t>
  </si>
  <si>
    <t>CZLU</t>
  </si>
  <si>
    <t>CZLT</t>
  </si>
  <si>
    <t>CZKZ</t>
  </si>
  <si>
    <t>CZKR</t>
  </si>
  <si>
    <t>CZJP</t>
  </si>
  <si>
    <t>CZIT</t>
  </si>
  <si>
    <t>CZIS</t>
  </si>
  <si>
    <t>CZIN</t>
  </si>
  <si>
    <t>CZIL</t>
  </si>
  <si>
    <t>CZIE</t>
  </si>
  <si>
    <t>CZID</t>
  </si>
  <si>
    <t>CZHU</t>
  </si>
  <si>
    <t>CZHN</t>
  </si>
  <si>
    <t>CZGT</t>
  </si>
  <si>
    <t>CZGR</t>
  </si>
  <si>
    <t>CZFR</t>
  </si>
  <si>
    <t>CZFI</t>
  </si>
  <si>
    <t>CZES</t>
  </si>
  <si>
    <t>CZEG</t>
  </si>
  <si>
    <t>CZEE</t>
  </si>
  <si>
    <t>CZEC</t>
  </si>
  <si>
    <t>CZDO</t>
  </si>
  <si>
    <t>CZDK</t>
  </si>
  <si>
    <t>CZDE</t>
  </si>
  <si>
    <t>CZGB</t>
  </si>
  <si>
    <t>DEZA</t>
  </si>
  <si>
    <t>DEVN</t>
  </si>
  <si>
    <t>DEVE</t>
  </si>
  <si>
    <t>DEUY</t>
  </si>
  <si>
    <t>DEUS</t>
  </si>
  <si>
    <t>DEUA</t>
  </si>
  <si>
    <t>DETW</t>
  </si>
  <si>
    <t>DETR</t>
  </si>
  <si>
    <t>DETH</t>
  </si>
  <si>
    <t>DESV</t>
  </si>
  <si>
    <t>DESK</t>
  </si>
  <si>
    <t>DESG</t>
  </si>
  <si>
    <t>DESE</t>
  </si>
  <si>
    <t>DESA</t>
  </si>
  <si>
    <t>DERO</t>
  </si>
  <si>
    <t>DEPY</t>
  </si>
  <si>
    <t>DEPT</t>
  </si>
  <si>
    <t>DEPL</t>
  </si>
  <si>
    <t>DEPK</t>
  </si>
  <si>
    <t>DEPH</t>
  </si>
  <si>
    <t>DEPE</t>
  </si>
  <si>
    <t>DEPA</t>
  </si>
  <si>
    <t>DENZ</t>
  </si>
  <si>
    <t>DENO</t>
  </si>
  <si>
    <t>DENL</t>
  </si>
  <si>
    <t>DENG</t>
  </si>
  <si>
    <t>DEMY</t>
  </si>
  <si>
    <t>DEMX</t>
  </si>
  <si>
    <t>DEMA</t>
  </si>
  <si>
    <t>DELV</t>
  </si>
  <si>
    <t>DELU</t>
  </si>
  <si>
    <t>DELT</t>
  </si>
  <si>
    <t>DEKZ</t>
  </si>
  <si>
    <t>DEKR</t>
  </si>
  <si>
    <t>DEJP</t>
  </si>
  <si>
    <t>DEIT</t>
  </si>
  <si>
    <t>DEIS</t>
  </si>
  <si>
    <t>DEIN</t>
  </si>
  <si>
    <t>DEIL</t>
  </si>
  <si>
    <t>DEIE</t>
  </si>
  <si>
    <t>DEID</t>
  </si>
  <si>
    <t>DEHU</t>
  </si>
  <si>
    <t>DEHN</t>
  </si>
  <si>
    <t>DEGT</t>
  </si>
  <si>
    <t>DEGR</t>
  </si>
  <si>
    <t>DEFR</t>
  </si>
  <si>
    <t>DEFI</t>
  </si>
  <si>
    <t>DEES</t>
  </si>
  <si>
    <t>DEEG</t>
  </si>
  <si>
    <t>DEEE</t>
  </si>
  <si>
    <t>DEEC</t>
  </si>
  <si>
    <t>DEDO</t>
  </si>
  <si>
    <t>DEDK</t>
  </si>
  <si>
    <t>DEGB</t>
  </si>
  <si>
    <t>DKZA</t>
  </si>
  <si>
    <t>DKVN</t>
  </si>
  <si>
    <t>DKVE</t>
  </si>
  <si>
    <t>DKUY</t>
  </si>
  <si>
    <t>DKUS</t>
  </si>
  <si>
    <t>DKUA</t>
  </si>
  <si>
    <t>DKTW</t>
  </si>
  <si>
    <t>DKTR</t>
  </si>
  <si>
    <t>DKTH</t>
  </si>
  <si>
    <t>DKSV</t>
  </si>
  <si>
    <t>DKSK</t>
  </si>
  <si>
    <t>DKSG</t>
  </si>
  <si>
    <t>DKSE</t>
  </si>
  <si>
    <t>DKSA</t>
  </si>
  <si>
    <t>DKRO</t>
  </si>
  <si>
    <t>DKPY</t>
  </si>
  <si>
    <t>DKPT</t>
  </si>
  <si>
    <t>DKPL</t>
  </si>
  <si>
    <t>DKPK</t>
  </si>
  <si>
    <t>DKPH</t>
  </si>
  <si>
    <t>DKPE</t>
  </si>
  <si>
    <t>DKPA</t>
  </si>
  <si>
    <t>DKNZ</t>
  </si>
  <si>
    <t>DKNO</t>
  </si>
  <si>
    <t>DKNL</t>
  </si>
  <si>
    <t>DKNG</t>
  </si>
  <si>
    <t>DKMY</t>
  </si>
  <si>
    <t>DKMX</t>
  </si>
  <si>
    <t>DKMA</t>
  </si>
  <si>
    <t>DKLV</t>
  </si>
  <si>
    <t>DKLU</t>
  </si>
  <si>
    <t>DKLT</t>
  </si>
  <si>
    <t>DKKZ</t>
  </si>
  <si>
    <t>DKKR</t>
  </si>
  <si>
    <t>DKJP</t>
  </si>
  <si>
    <t>DKIT</t>
  </si>
  <si>
    <t>DKIS</t>
  </si>
  <si>
    <t>DKIN</t>
  </si>
  <si>
    <t>DKIL</t>
  </si>
  <si>
    <t>DKIE</t>
  </si>
  <si>
    <t>DKID</t>
  </si>
  <si>
    <t>DKHU</t>
  </si>
  <si>
    <t>DKHN</t>
  </si>
  <si>
    <t>DKGT</t>
  </si>
  <si>
    <t>DKGR</t>
  </si>
  <si>
    <t>DKFR</t>
  </si>
  <si>
    <t>DKFI</t>
  </si>
  <si>
    <t>DKES</t>
  </si>
  <si>
    <t>DKEG</t>
  </si>
  <si>
    <t>DKEE</t>
  </si>
  <si>
    <t>DKEC</t>
  </si>
  <si>
    <t>DKDO</t>
  </si>
  <si>
    <t>DKGB</t>
  </si>
  <si>
    <t>DOZA</t>
  </si>
  <si>
    <t>DOVN</t>
  </si>
  <si>
    <t>DOVE</t>
  </si>
  <si>
    <t>DOUY</t>
  </si>
  <si>
    <t>DOUS</t>
  </si>
  <si>
    <t>DOUA</t>
  </si>
  <si>
    <t>DOTW</t>
  </si>
  <si>
    <t>DOTR</t>
  </si>
  <si>
    <t>DOTH</t>
  </si>
  <si>
    <t>DOSV</t>
  </si>
  <si>
    <t>DOSK</t>
  </si>
  <si>
    <t>DOSG</t>
  </si>
  <si>
    <t>DOSE</t>
  </si>
  <si>
    <t>DOSA</t>
  </si>
  <si>
    <t>DORO</t>
  </si>
  <si>
    <t>DOPY</t>
  </si>
  <si>
    <t>DOPT</t>
  </si>
  <si>
    <t>DOPL</t>
  </si>
  <si>
    <t>DOPK</t>
  </si>
  <si>
    <t>DOPH</t>
  </si>
  <si>
    <t>DOPE</t>
  </si>
  <si>
    <t>DOPA</t>
  </si>
  <si>
    <t>DONZ</t>
  </si>
  <si>
    <t>DONO</t>
  </si>
  <si>
    <t>DONL</t>
  </si>
  <si>
    <t>DONG</t>
  </si>
  <si>
    <t>DOMY</t>
  </si>
  <si>
    <t>DOMX</t>
  </si>
  <si>
    <t>DOMA</t>
  </si>
  <si>
    <t>DOLV</t>
  </si>
  <si>
    <t>DOLU</t>
  </si>
  <si>
    <t>DOLT</t>
  </si>
  <si>
    <t>DOKZ</t>
  </si>
  <si>
    <t>DOKR</t>
  </si>
  <si>
    <t>DOJP</t>
  </si>
  <si>
    <t>DOIT</t>
  </si>
  <si>
    <t>DOIS</t>
  </si>
  <si>
    <t>DOIN</t>
  </si>
  <si>
    <t>DOIL</t>
  </si>
  <si>
    <t>DOIE</t>
  </si>
  <si>
    <t>DOID</t>
  </si>
  <si>
    <t>DOHU</t>
  </si>
  <si>
    <t>DOHN</t>
  </si>
  <si>
    <t>DOGT</t>
  </si>
  <si>
    <t>DOGR</t>
  </si>
  <si>
    <t>DOFR</t>
  </si>
  <si>
    <t>DOFI</t>
  </si>
  <si>
    <t>DOES</t>
  </si>
  <si>
    <t>DOEG</t>
  </si>
  <si>
    <t>DOEE</t>
  </si>
  <si>
    <t>DOEC</t>
  </si>
  <si>
    <t>DOGB</t>
  </si>
  <si>
    <t>ECZA</t>
  </si>
  <si>
    <t>ECVN</t>
  </si>
  <si>
    <t>ECVE</t>
  </si>
  <si>
    <t>ECUY</t>
  </si>
  <si>
    <t>ECUS</t>
  </si>
  <si>
    <t>ECUA</t>
  </si>
  <si>
    <t>ECTW</t>
  </si>
  <si>
    <t>ECTR</t>
  </si>
  <si>
    <t>ECTH</t>
  </si>
  <si>
    <t>ECSV</t>
  </si>
  <si>
    <t>ECSK</t>
  </si>
  <si>
    <t>ECSG</t>
  </si>
  <si>
    <t>ECSE</t>
  </si>
  <si>
    <t>ECSA</t>
  </si>
  <si>
    <t>ECRO</t>
  </si>
  <si>
    <t>ECPY</t>
  </si>
  <si>
    <t>ECPT</t>
  </si>
  <si>
    <t>ECPL</t>
  </si>
  <si>
    <t>ECPK</t>
  </si>
  <si>
    <t>ECPH</t>
  </si>
  <si>
    <t>ECPE</t>
  </si>
  <si>
    <t>ECPA</t>
  </si>
  <si>
    <t>ECNZ</t>
  </si>
  <si>
    <t>ECNO</t>
  </si>
  <si>
    <t>ECNL</t>
  </si>
  <si>
    <t>ECNG</t>
  </si>
  <si>
    <t>ECMY</t>
  </si>
  <si>
    <t>ECMX</t>
  </si>
  <si>
    <t>ECMA</t>
  </si>
  <si>
    <t>ECLV</t>
  </si>
  <si>
    <t>ECLU</t>
  </si>
  <si>
    <t>ECLT</t>
  </si>
  <si>
    <t>ECKZ</t>
  </si>
  <si>
    <t>ECKR</t>
  </si>
  <si>
    <t>ECJP</t>
  </si>
  <si>
    <t>ECIT</t>
  </si>
  <si>
    <t>ECIS</t>
  </si>
  <si>
    <t>ECIN</t>
  </si>
  <si>
    <t>ECIL</t>
  </si>
  <si>
    <t>ECIE</t>
  </si>
  <si>
    <t>ECID</t>
  </si>
  <si>
    <t>ECHU</t>
  </si>
  <si>
    <t>ECHN</t>
  </si>
  <si>
    <t>ECGT</t>
  </si>
  <si>
    <t>ECGR</t>
  </si>
  <si>
    <t>ECFR</t>
  </si>
  <si>
    <t>ECFI</t>
  </si>
  <si>
    <t>ECES</t>
  </si>
  <si>
    <t>ECEG</t>
  </si>
  <si>
    <t>ECEE</t>
  </si>
  <si>
    <t>ECGB</t>
  </si>
  <si>
    <t>EEZA</t>
  </si>
  <si>
    <t>EEVN</t>
  </si>
  <si>
    <t>EEVE</t>
  </si>
  <si>
    <t>EEUY</t>
  </si>
  <si>
    <t>EEUS</t>
  </si>
  <si>
    <t>EEUA</t>
  </si>
  <si>
    <t>EETW</t>
  </si>
  <si>
    <t>EETR</t>
  </si>
  <si>
    <t>EETH</t>
  </si>
  <si>
    <t>EESV</t>
  </si>
  <si>
    <t>EESK</t>
  </si>
  <si>
    <t>EESG</t>
  </si>
  <si>
    <t>EESE</t>
  </si>
  <si>
    <t>EESA</t>
  </si>
  <si>
    <t>EERO</t>
  </si>
  <si>
    <t>EEPY</t>
  </si>
  <si>
    <t>EEPT</t>
  </si>
  <si>
    <t>EEPL</t>
  </si>
  <si>
    <t>EEPK</t>
  </si>
  <si>
    <t>EEPH</t>
  </si>
  <si>
    <t>EEPE</t>
  </si>
  <si>
    <t>EEPA</t>
  </si>
  <si>
    <t>EENZ</t>
  </si>
  <si>
    <t>EENO</t>
  </si>
  <si>
    <t>EENL</t>
  </si>
  <si>
    <t>EENG</t>
  </si>
  <si>
    <t>EEMY</t>
  </si>
  <si>
    <t>EEMX</t>
  </si>
  <si>
    <t>EEMA</t>
  </si>
  <si>
    <t>EELV</t>
  </si>
  <si>
    <t>EELU</t>
  </si>
  <si>
    <t>EELT</t>
  </si>
  <si>
    <t>EEKZ</t>
  </si>
  <si>
    <t>EEKR</t>
  </si>
  <si>
    <t>EEJP</t>
  </si>
  <si>
    <t>EEIT</t>
  </si>
  <si>
    <t>EEIS</t>
  </si>
  <si>
    <t>EEIN</t>
  </si>
  <si>
    <t>EEIL</t>
  </si>
  <si>
    <t>EEIE</t>
  </si>
  <si>
    <t>EEID</t>
  </si>
  <si>
    <t>EEHU</t>
  </si>
  <si>
    <t>EEHN</t>
  </si>
  <si>
    <t>EEGT</t>
  </si>
  <si>
    <t>EEGR</t>
  </si>
  <si>
    <t>EEFR</t>
  </si>
  <si>
    <t>EEFI</t>
  </si>
  <si>
    <t>EEES</t>
  </si>
  <si>
    <t>EEEG</t>
  </si>
  <si>
    <t>EEGB</t>
  </si>
  <si>
    <t>EGZA</t>
  </si>
  <si>
    <t>EGVN</t>
  </si>
  <si>
    <t>EGVE</t>
  </si>
  <si>
    <t>EGUY</t>
  </si>
  <si>
    <t>EGUS</t>
  </si>
  <si>
    <t>EGUA</t>
  </si>
  <si>
    <t>EGTW</t>
  </si>
  <si>
    <t>EGTR</t>
  </si>
  <si>
    <t>EGTH</t>
  </si>
  <si>
    <t>EGSV</t>
  </si>
  <si>
    <t>EGSK</t>
  </si>
  <si>
    <t>EGSG</t>
  </si>
  <si>
    <t>EGSE</t>
  </si>
  <si>
    <t>EGSA</t>
  </si>
  <si>
    <t>EGRO</t>
  </si>
  <si>
    <t>EGPY</t>
  </si>
  <si>
    <t>EGPT</t>
  </si>
  <si>
    <t>EGPL</t>
  </si>
  <si>
    <t>EGPK</t>
  </si>
  <si>
    <t>EGPH</t>
  </si>
  <si>
    <t>EGPE</t>
  </si>
  <si>
    <t>EGPA</t>
  </si>
  <si>
    <t>EGNZ</t>
  </si>
  <si>
    <t>EGNO</t>
  </si>
  <si>
    <t>EGNL</t>
  </si>
  <si>
    <t>EGNG</t>
  </si>
  <si>
    <t>EGMY</t>
  </si>
  <si>
    <t>EGMX</t>
  </si>
  <si>
    <t>EGMA</t>
  </si>
  <si>
    <t>EGLV</t>
  </si>
  <si>
    <t>EGLU</t>
  </si>
  <si>
    <t>EGLT</t>
  </si>
  <si>
    <t>EGKZ</t>
  </si>
  <si>
    <t>EGKR</t>
  </si>
  <si>
    <t>EGJP</t>
  </si>
  <si>
    <t>EGIT</t>
  </si>
  <si>
    <t>EGIS</t>
  </si>
  <si>
    <t>EGIN</t>
  </si>
  <si>
    <t>EGIL</t>
  </si>
  <si>
    <t>EGIE</t>
  </si>
  <si>
    <t>EGID</t>
  </si>
  <si>
    <t>EGHU</t>
  </si>
  <si>
    <t>EGHN</t>
  </si>
  <si>
    <t>EGGT</t>
  </si>
  <si>
    <t>EGGR</t>
  </si>
  <si>
    <t>EGFR</t>
  </si>
  <si>
    <t>EGFI</t>
  </si>
  <si>
    <t>EGES</t>
  </si>
  <si>
    <t>EGGB</t>
  </si>
  <si>
    <t>ESZA</t>
  </si>
  <si>
    <t>ESVN</t>
  </si>
  <si>
    <t>ESVE</t>
  </si>
  <si>
    <t>ESUY</t>
  </si>
  <si>
    <t>ESUS</t>
  </si>
  <si>
    <t>ESUA</t>
  </si>
  <si>
    <t>ESTW</t>
  </si>
  <si>
    <t>ESTR</t>
  </si>
  <si>
    <t>ESTH</t>
  </si>
  <si>
    <t>ESSV</t>
  </si>
  <si>
    <t>ESSK</t>
  </si>
  <si>
    <t>ESSG</t>
  </si>
  <si>
    <t>ESSE</t>
  </si>
  <si>
    <t>ESSA</t>
  </si>
  <si>
    <t>ESRO</t>
  </si>
  <si>
    <t>ESPY</t>
  </si>
  <si>
    <t>ESPT</t>
  </si>
  <si>
    <t>ESPL</t>
  </si>
  <si>
    <t>ESPK</t>
  </si>
  <si>
    <t>ESPH</t>
  </si>
  <si>
    <t>ESPE</t>
  </si>
  <si>
    <t>ESPA</t>
  </si>
  <si>
    <t>ESNZ</t>
  </si>
  <si>
    <t>ESNO</t>
  </si>
  <si>
    <t>ESNL</t>
  </si>
  <si>
    <t>ESNG</t>
  </si>
  <si>
    <t>ESMY</t>
  </si>
  <si>
    <t>ESMX</t>
  </si>
  <si>
    <t>ESMA</t>
  </si>
  <si>
    <t>ESLV</t>
  </si>
  <si>
    <t>ESLU</t>
  </si>
  <si>
    <t>ESLT</t>
  </si>
  <si>
    <t>ESKZ</t>
  </si>
  <si>
    <t>ESKR</t>
  </si>
  <si>
    <t>ESJP</t>
  </si>
  <si>
    <t>ESIT</t>
  </si>
  <si>
    <t>ESIS</t>
  </si>
  <si>
    <t>ESIN</t>
  </si>
  <si>
    <t>ESIL</t>
  </si>
  <si>
    <t>ESIE</t>
  </si>
  <si>
    <t>ESID</t>
  </si>
  <si>
    <t>ESHU</t>
  </si>
  <si>
    <t>ESHN</t>
  </si>
  <si>
    <t>ESGT</t>
  </si>
  <si>
    <t>ESGR</t>
  </si>
  <si>
    <t>ESFR</t>
  </si>
  <si>
    <t>ESFI</t>
  </si>
  <si>
    <t>ESGB</t>
  </si>
  <si>
    <t>FIZA</t>
  </si>
  <si>
    <t>FIVN</t>
  </si>
  <si>
    <t>FIVE</t>
  </si>
  <si>
    <t>FIUY</t>
  </si>
  <si>
    <t>FIUS</t>
  </si>
  <si>
    <t>FIUA</t>
  </si>
  <si>
    <t>FITW</t>
  </si>
  <si>
    <t>FITR</t>
  </si>
  <si>
    <t>FITH</t>
  </si>
  <si>
    <t>FISV</t>
  </si>
  <si>
    <t>FISK</t>
  </si>
  <si>
    <t>FISG</t>
  </si>
  <si>
    <t>FISE</t>
  </si>
  <si>
    <t>FISA</t>
  </si>
  <si>
    <t>FIRO</t>
  </si>
  <si>
    <t>FIPY</t>
  </si>
  <si>
    <t>FIPT</t>
  </si>
  <si>
    <t>FIPL</t>
  </si>
  <si>
    <t>FIPK</t>
  </si>
  <si>
    <t>FIPH</t>
  </si>
  <si>
    <t>FIPE</t>
  </si>
  <si>
    <t>FIPA</t>
  </si>
  <si>
    <t>FINZ</t>
  </si>
  <si>
    <t>FINO</t>
  </si>
  <si>
    <t>FINL</t>
  </si>
  <si>
    <t>FING</t>
  </si>
  <si>
    <t>FIMY</t>
  </si>
  <si>
    <t>FIMX</t>
  </si>
  <si>
    <t>FIMA</t>
  </si>
  <si>
    <t>FILV</t>
  </si>
  <si>
    <t>FILU</t>
  </si>
  <si>
    <t>FILT</t>
  </si>
  <si>
    <t>FIKZ</t>
  </si>
  <si>
    <t>FIKR</t>
  </si>
  <si>
    <t>FIJP</t>
  </si>
  <si>
    <t>FIIT</t>
  </si>
  <si>
    <t>FIIS</t>
  </si>
  <si>
    <t>FIIN</t>
  </si>
  <si>
    <t>FIIL</t>
  </si>
  <si>
    <t>FIIE</t>
  </si>
  <si>
    <t>FIID</t>
  </si>
  <si>
    <t>FIHU</t>
  </si>
  <si>
    <t>FIHN</t>
  </si>
  <si>
    <t>FIGT</t>
  </si>
  <si>
    <t>FIGR</t>
  </si>
  <si>
    <t>FIFR</t>
  </si>
  <si>
    <t>FIGB</t>
  </si>
  <si>
    <t>FRZA</t>
  </si>
  <si>
    <t>FRVN</t>
  </si>
  <si>
    <t>FRVE</t>
  </si>
  <si>
    <t>FRUY</t>
  </si>
  <si>
    <t>FRUS</t>
  </si>
  <si>
    <t>FRUA</t>
  </si>
  <si>
    <t>FRTW</t>
  </si>
  <si>
    <t>FRTR</t>
  </si>
  <si>
    <t>FRTH</t>
  </si>
  <si>
    <t>FRSV</t>
  </si>
  <si>
    <t>FRSK</t>
  </si>
  <si>
    <t>FRSG</t>
  </si>
  <si>
    <t>FRSE</t>
  </si>
  <si>
    <t>FRSA</t>
  </si>
  <si>
    <t>FRRO</t>
  </si>
  <si>
    <t>FRPY</t>
  </si>
  <si>
    <t>FRPT</t>
  </si>
  <si>
    <t>FRPL</t>
  </si>
  <si>
    <t>FRPK</t>
  </si>
  <si>
    <t>FRPH</t>
  </si>
  <si>
    <t>FRPE</t>
  </si>
  <si>
    <t>FRPA</t>
  </si>
  <si>
    <t>FRNZ</t>
  </si>
  <si>
    <t>FRNO</t>
  </si>
  <si>
    <t>FRNL</t>
  </si>
  <si>
    <t>FRNG</t>
  </si>
  <si>
    <t>FRMY</t>
  </si>
  <si>
    <t>FRMX</t>
  </si>
  <si>
    <t>FRMA</t>
  </si>
  <si>
    <t>FRLV</t>
  </si>
  <si>
    <t>FRLU</t>
  </si>
  <si>
    <t>FRLT</t>
  </si>
  <si>
    <t>FRKZ</t>
  </si>
  <si>
    <t>FRKR</t>
  </si>
  <si>
    <t>FRJP</t>
  </si>
  <si>
    <t>FRIT</t>
  </si>
  <si>
    <t>FRIS</t>
  </si>
  <si>
    <t>FRIN</t>
  </si>
  <si>
    <t>FRIL</t>
  </si>
  <si>
    <t>FRIE</t>
  </si>
  <si>
    <t>FRID</t>
  </si>
  <si>
    <t>FRHU</t>
  </si>
  <si>
    <t>FRHN</t>
  </si>
  <si>
    <t>FRGT</t>
  </si>
  <si>
    <t>FRGR</t>
  </si>
  <si>
    <t>FRGB</t>
  </si>
  <si>
    <t>GBZA</t>
  </si>
  <si>
    <t>GBVN</t>
  </si>
  <si>
    <t>GBVE</t>
  </si>
  <si>
    <t>GBUY</t>
  </si>
  <si>
    <t>GBUS</t>
  </si>
  <si>
    <t>GBUA</t>
  </si>
  <si>
    <t>GBTW</t>
  </si>
  <si>
    <t>GBTR</t>
  </si>
  <si>
    <t>GBTH</t>
  </si>
  <si>
    <t>GBSV</t>
  </si>
  <si>
    <t>GBSK</t>
  </si>
  <si>
    <t>GBSG</t>
  </si>
  <si>
    <t>GBSE</t>
  </si>
  <si>
    <t>GBSA</t>
  </si>
  <si>
    <t>GBRO</t>
  </si>
  <si>
    <t>GBPY</t>
  </si>
  <si>
    <t>GBPT</t>
  </si>
  <si>
    <t>GBPL</t>
  </si>
  <si>
    <t>GBPK</t>
  </si>
  <si>
    <t>GBPH</t>
  </si>
  <si>
    <t>GBPE</t>
  </si>
  <si>
    <t>GBPA</t>
  </si>
  <si>
    <t>GBNZ</t>
  </si>
  <si>
    <t>GBNO</t>
  </si>
  <si>
    <t>GBNL</t>
  </si>
  <si>
    <t>GBNG</t>
  </si>
  <si>
    <t>GBMY</t>
  </si>
  <si>
    <t>GBMX</t>
  </si>
  <si>
    <t>GBMA</t>
  </si>
  <si>
    <t>GBLV</t>
  </si>
  <si>
    <t>GBLU</t>
  </si>
  <si>
    <t>GBLT</t>
  </si>
  <si>
    <t>GBKZ</t>
  </si>
  <si>
    <t>GBKR</t>
  </si>
  <si>
    <t>GBJP</t>
  </si>
  <si>
    <t>GBIT</t>
  </si>
  <si>
    <t>GBIS</t>
  </si>
  <si>
    <t>GBIN</t>
  </si>
  <si>
    <t>GBIL</t>
  </si>
  <si>
    <t>GBIE</t>
  </si>
  <si>
    <t>GBID</t>
  </si>
  <si>
    <t>GBHU</t>
  </si>
  <si>
    <t>GBHN</t>
  </si>
  <si>
    <t>GBGT</t>
  </si>
  <si>
    <t>GBGR</t>
  </si>
  <si>
    <t>GRZA</t>
  </si>
  <si>
    <t>GRVN</t>
  </si>
  <si>
    <t>GRVE</t>
  </si>
  <si>
    <t>GRUY</t>
  </si>
  <si>
    <t>GRUS</t>
  </si>
  <si>
    <t>GRUA</t>
  </si>
  <si>
    <t>GRTW</t>
  </si>
  <si>
    <t>GRTR</t>
  </si>
  <si>
    <t>GRTH</t>
  </si>
  <si>
    <t>GRSV</t>
  </si>
  <si>
    <t>GRSK</t>
  </si>
  <si>
    <t>GRSG</t>
  </si>
  <si>
    <t>GRSE</t>
  </si>
  <si>
    <t>GRSA</t>
  </si>
  <si>
    <t>GRRO</t>
  </si>
  <si>
    <t>GRPY</t>
  </si>
  <si>
    <t>GRPT</t>
  </si>
  <si>
    <t>GRPL</t>
  </si>
  <si>
    <t>GRPK</t>
  </si>
  <si>
    <t>GRPH</t>
  </si>
  <si>
    <t>GRPE</t>
  </si>
  <si>
    <t>GRPA</t>
  </si>
  <si>
    <t>GRNZ</t>
  </si>
  <si>
    <t>GRNO</t>
  </si>
  <si>
    <t>GRNL</t>
  </si>
  <si>
    <t>GRNG</t>
  </si>
  <si>
    <t>GRMY</t>
  </si>
  <si>
    <t>GRMX</t>
  </si>
  <si>
    <t>GRMA</t>
  </si>
  <si>
    <t>GRLV</t>
  </si>
  <si>
    <t>GRLU</t>
  </si>
  <si>
    <t>GRLT</t>
  </si>
  <si>
    <t>GRKZ</t>
  </si>
  <si>
    <t>GRKR</t>
  </si>
  <si>
    <t>GRJP</t>
  </si>
  <si>
    <t>GRIT</t>
  </si>
  <si>
    <t>GRIS</t>
  </si>
  <si>
    <t>GRIN</t>
  </si>
  <si>
    <t>GRIL</t>
  </si>
  <si>
    <t>GRIE</t>
  </si>
  <si>
    <t>GRID</t>
  </si>
  <si>
    <t>GRHU</t>
  </si>
  <si>
    <t>GRHN</t>
  </si>
  <si>
    <t>GRGT</t>
  </si>
  <si>
    <t>GTZA</t>
  </si>
  <si>
    <t>GTVN</t>
  </si>
  <si>
    <t>GTVE</t>
  </si>
  <si>
    <t>GTUY</t>
  </si>
  <si>
    <t>GTUS</t>
  </si>
  <si>
    <t>GTUA</t>
  </si>
  <si>
    <t>GTTW</t>
  </si>
  <si>
    <t>GTTR</t>
  </si>
  <si>
    <t>GTTH</t>
  </si>
  <si>
    <t>GTSV</t>
  </si>
  <si>
    <t>GTSK</t>
  </si>
  <si>
    <t>GTSG</t>
  </si>
  <si>
    <t>GTSE</t>
  </si>
  <si>
    <t>GTSA</t>
  </si>
  <si>
    <t>GTRO</t>
  </si>
  <si>
    <t>GTPY</t>
  </si>
  <si>
    <t>GTPT</t>
  </si>
  <si>
    <t>GTPL</t>
  </si>
  <si>
    <t>GTPK</t>
  </si>
  <si>
    <t>GTPH</t>
  </si>
  <si>
    <t>GTPE</t>
  </si>
  <si>
    <t>GTPA</t>
  </si>
  <si>
    <t>GTNZ</t>
  </si>
  <si>
    <t>GTNO</t>
  </si>
  <si>
    <t>GTNL</t>
  </si>
  <si>
    <t>GTNG</t>
  </si>
  <si>
    <t>GTMY</t>
  </si>
  <si>
    <t>GTMX</t>
  </si>
  <si>
    <t>GTMA</t>
  </si>
  <si>
    <t>GTLV</t>
  </si>
  <si>
    <t>GTLU</t>
  </si>
  <si>
    <t>GTLT</t>
  </si>
  <si>
    <t>GTKZ</t>
  </si>
  <si>
    <t>GTKR</t>
  </si>
  <si>
    <t>GTJP</t>
  </si>
  <si>
    <t>GTIT</t>
  </si>
  <si>
    <t>GTIS</t>
  </si>
  <si>
    <t>GTIN</t>
  </si>
  <si>
    <t>GTIL</t>
  </si>
  <si>
    <t>GTIE</t>
  </si>
  <si>
    <t>GTID</t>
  </si>
  <si>
    <t>GTHU</t>
  </si>
  <si>
    <t>GTHN</t>
  </si>
  <si>
    <t>HNZA</t>
  </si>
  <si>
    <t>HNVN</t>
  </si>
  <si>
    <t>HNVE</t>
  </si>
  <si>
    <t>HNUY</t>
  </si>
  <si>
    <t>HNUS</t>
  </si>
  <si>
    <t>HNUA</t>
  </si>
  <si>
    <t>HNTW</t>
  </si>
  <si>
    <t>HNTR</t>
  </si>
  <si>
    <t>HNTH</t>
  </si>
  <si>
    <t>HNSV</t>
  </si>
  <si>
    <t>HNSK</t>
  </si>
  <si>
    <t>HNSG</t>
  </si>
  <si>
    <t>HNSE</t>
  </si>
  <si>
    <t>HNSA</t>
  </si>
  <si>
    <t>HNRO</t>
  </si>
  <si>
    <t>HNPY</t>
  </si>
  <si>
    <t>HNPT</t>
  </si>
  <si>
    <t>HNPL</t>
  </si>
  <si>
    <t>HNPK</t>
  </si>
  <si>
    <t>HNPH</t>
  </si>
  <si>
    <t>HNPE</t>
  </si>
  <si>
    <t>HNPA</t>
  </si>
  <si>
    <t>HNNZ</t>
  </si>
  <si>
    <t>HNNO</t>
  </si>
  <si>
    <t>HNNL</t>
  </si>
  <si>
    <t>HNNG</t>
  </si>
  <si>
    <t>HNMY</t>
  </si>
  <si>
    <t>HNMX</t>
  </si>
  <si>
    <t>HNMA</t>
  </si>
  <si>
    <t>HNLV</t>
  </si>
  <si>
    <t>HNLU</t>
  </si>
  <si>
    <t>HNLT</t>
  </si>
  <si>
    <t>HNKZ</t>
  </si>
  <si>
    <t>HNKR</t>
  </si>
  <si>
    <t>HNJP</t>
  </si>
  <si>
    <t>HNIT</t>
  </si>
  <si>
    <t>HNIS</t>
  </si>
  <si>
    <t>HNIN</t>
  </si>
  <si>
    <t>HNIL</t>
  </si>
  <si>
    <t>HNIE</t>
  </si>
  <si>
    <t>HNID</t>
  </si>
  <si>
    <t>HNHU</t>
  </si>
  <si>
    <t>HUZA</t>
  </si>
  <si>
    <t>HUVN</t>
  </si>
  <si>
    <t>HUVE</t>
  </si>
  <si>
    <t>HUUY</t>
  </si>
  <si>
    <t>HUUS</t>
  </si>
  <si>
    <t>HUUA</t>
  </si>
  <si>
    <t>HUTW</t>
  </si>
  <si>
    <t>HUTR</t>
  </si>
  <si>
    <t>HUTH</t>
  </si>
  <si>
    <t>HUSV</t>
  </si>
  <si>
    <t>HUSK</t>
  </si>
  <si>
    <t>HUSG</t>
  </si>
  <si>
    <t>HUSE</t>
  </si>
  <si>
    <t>HUSA</t>
  </si>
  <si>
    <t>HURO</t>
  </si>
  <si>
    <t>HUPY</t>
  </si>
  <si>
    <t>HUPT</t>
  </si>
  <si>
    <t>HUPL</t>
  </si>
  <si>
    <t>HUPK</t>
  </si>
  <si>
    <t>HUPH</t>
  </si>
  <si>
    <t>HUPE</t>
  </si>
  <si>
    <t>HUPA</t>
  </si>
  <si>
    <t>HUNZ</t>
  </si>
  <si>
    <t>HUNO</t>
  </si>
  <si>
    <t>HUNL</t>
  </si>
  <si>
    <t>HUNG</t>
  </si>
  <si>
    <t>HUMY</t>
  </si>
  <si>
    <t>HUMX</t>
  </si>
  <si>
    <t>HUMA</t>
  </si>
  <si>
    <t>HULV</t>
  </si>
  <si>
    <t>HULU</t>
  </si>
  <si>
    <t>HULT</t>
  </si>
  <si>
    <t>HUKZ</t>
  </si>
  <si>
    <t>HUKR</t>
  </si>
  <si>
    <t>HUJP</t>
  </si>
  <si>
    <t>HUIT</t>
  </si>
  <si>
    <t>HUIS</t>
  </si>
  <si>
    <t>HUIN</t>
  </si>
  <si>
    <t>HUIL</t>
  </si>
  <si>
    <t>HUIE</t>
  </si>
  <si>
    <t>HUID</t>
  </si>
  <si>
    <t>IDZA</t>
  </si>
  <si>
    <t>IDVN</t>
  </si>
  <si>
    <t>IDVE</t>
  </si>
  <si>
    <t>IDUY</t>
  </si>
  <si>
    <t>IDUS</t>
  </si>
  <si>
    <t>IDUA</t>
  </si>
  <si>
    <t>IDTW</t>
  </si>
  <si>
    <t>IDTR</t>
  </si>
  <si>
    <t>IDTH</t>
  </si>
  <si>
    <t>IDSV</t>
  </si>
  <si>
    <t>IDSK</t>
  </si>
  <si>
    <t>IDSG</t>
  </si>
  <si>
    <t>IDSE</t>
  </si>
  <si>
    <t>IDSA</t>
  </si>
  <si>
    <t>IDRO</t>
  </si>
  <si>
    <t>IDPY</t>
  </si>
  <si>
    <t>IDPT</t>
  </si>
  <si>
    <t>IDPL</t>
  </si>
  <si>
    <t>IDPK</t>
  </si>
  <si>
    <t>IDPH</t>
  </si>
  <si>
    <t>IDPE</t>
  </si>
  <si>
    <t>IDPA</t>
  </si>
  <si>
    <t>IDNZ</t>
  </si>
  <si>
    <t>IDNO</t>
  </si>
  <si>
    <t>IDNL</t>
  </si>
  <si>
    <t>IDNG</t>
  </si>
  <si>
    <t>IDMY</t>
  </si>
  <si>
    <t>IDMX</t>
  </si>
  <si>
    <t>IDMA</t>
  </si>
  <si>
    <t>IDLV</t>
  </si>
  <si>
    <t>IDLU</t>
  </si>
  <si>
    <t>IDLT</t>
  </si>
  <si>
    <t>IDKZ</t>
  </si>
  <si>
    <t>IDKR</t>
  </si>
  <si>
    <t>IDJP</t>
  </si>
  <si>
    <t>IDIT</t>
  </si>
  <si>
    <t>IDIS</t>
  </si>
  <si>
    <t>IDIN</t>
  </si>
  <si>
    <t>IDIL</t>
  </si>
  <si>
    <t>IDIE</t>
  </si>
  <si>
    <t>IEZA</t>
  </si>
  <si>
    <t>IEVN</t>
  </si>
  <si>
    <t>IEVE</t>
  </si>
  <si>
    <t>IEUY</t>
  </si>
  <si>
    <t>IEUS</t>
  </si>
  <si>
    <t>IEUA</t>
  </si>
  <si>
    <t>IETW</t>
  </si>
  <si>
    <t>IETR</t>
  </si>
  <si>
    <t>IETH</t>
  </si>
  <si>
    <t>IESV</t>
  </si>
  <si>
    <t>IESK</t>
  </si>
  <si>
    <t>IESG</t>
  </si>
  <si>
    <t>IESE</t>
  </si>
  <si>
    <t>IESA</t>
  </si>
  <si>
    <t>IERO</t>
  </si>
  <si>
    <t>IEPY</t>
  </si>
  <si>
    <t>IEPT</t>
  </si>
  <si>
    <t>IEPL</t>
  </si>
  <si>
    <t>IEPK</t>
  </si>
  <si>
    <t>IEPH</t>
  </si>
  <si>
    <t>IEPE</t>
  </si>
  <si>
    <t>IEPA</t>
  </si>
  <si>
    <t>IENZ</t>
  </si>
  <si>
    <t>IENO</t>
  </si>
  <si>
    <t>IENL</t>
  </si>
  <si>
    <t>IENG</t>
  </si>
  <si>
    <t>IEMY</t>
  </si>
  <si>
    <t>IEMX</t>
  </si>
  <si>
    <t>IEMA</t>
  </si>
  <si>
    <t>IELV</t>
  </si>
  <si>
    <t>IELU</t>
  </si>
  <si>
    <t>IELT</t>
  </si>
  <si>
    <t>IEKZ</t>
  </si>
  <si>
    <t>IEKR</t>
  </si>
  <si>
    <t>IEJP</t>
  </si>
  <si>
    <t>IEIT</t>
  </si>
  <si>
    <t>IEIS</t>
  </si>
  <si>
    <t>IEIN</t>
  </si>
  <si>
    <t>IEIL</t>
  </si>
  <si>
    <t>ILZA</t>
  </si>
  <si>
    <t>ILVN</t>
  </si>
  <si>
    <t>ILVE</t>
  </si>
  <si>
    <t>ILUY</t>
  </si>
  <si>
    <t>ILUS</t>
  </si>
  <si>
    <t>ILUA</t>
  </si>
  <si>
    <t>ILTW</t>
  </si>
  <si>
    <t>ILTR</t>
  </si>
  <si>
    <t>ILTH</t>
  </si>
  <si>
    <t>ILSV</t>
  </si>
  <si>
    <t>ILSK</t>
  </si>
  <si>
    <t>ILSG</t>
  </si>
  <si>
    <t>ILSE</t>
  </si>
  <si>
    <t>ILSA</t>
  </si>
  <si>
    <t>ILRO</t>
  </si>
  <si>
    <t>ILPY</t>
  </si>
  <si>
    <t>ILPT</t>
  </si>
  <si>
    <t>ILPL</t>
  </si>
  <si>
    <t>ILPK</t>
  </si>
  <si>
    <t>ILPH</t>
  </si>
  <si>
    <t>ILPE</t>
  </si>
  <si>
    <t>ILPA</t>
  </si>
  <si>
    <t>ILNZ</t>
  </si>
  <si>
    <t>ILNO</t>
  </si>
  <si>
    <t>ILNL</t>
  </si>
  <si>
    <t>ILNG</t>
  </si>
  <si>
    <t>ILMY</t>
  </si>
  <si>
    <t>ILMX</t>
  </si>
  <si>
    <t>ILMA</t>
  </si>
  <si>
    <t>ILLV</t>
  </si>
  <si>
    <t>ILLU</t>
  </si>
  <si>
    <t>ILLT</t>
  </si>
  <si>
    <t>ILKZ</t>
  </si>
  <si>
    <t>ILKR</t>
  </si>
  <si>
    <t>ILJP</t>
  </si>
  <si>
    <t>ILIT</t>
  </si>
  <si>
    <t>ILIS</t>
  </si>
  <si>
    <t>ILIN</t>
  </si>
  <si>
    <t>INZA</t>
  </si>
  <si>
    <t>INVN</t>
  </si>
  <si>
    <t>INVE</t>
  </si>
  <si>
    <t>INUY</t>
  </si>
  <si>
    <t>INUS</t>
  </si>
  <si>
    <t>INUA</t>
  </si>
  <si>
    <t>INTW</t>
  </si>
  <si>
    <t>INTR</t>
  </si>
  <si>
    <t>INTH</t>
  </si>
  <si>
    <t>INSV</t>
  </si>
  <si>
    <t>INSK</t>
  </si>
  <si>
    <t>INSG</t>
  </si>
  <si>
    <t>INSE</t>
  </si>
  <si>
    <t>INSA</t>
  </si>
  <si>
    <t>INRO</t>
  </si>
  <si>
    <t>INPY</t>
  </si>
  <si>
    <t>INPT</t>
  </si>
  <si>
    <t>INPL</t>
  </si>
  <si>
    <t>INPK</t>
  </si>
  <si>
    <t>INPH</t>
  </si>
  <si>
    <t>INPE</t>
  </si>
  <si>
    <t>INPA</t>
  </si>
  <si>
    <t>INNZ</t>
  </si>
  <si>
    <t>INNO</t>
  </si>
  <si>
    <t>INNL</t>
  </si>
  <si>
    <t>INNG</t>
  </si>
  <si>
    <t>INMY</t>
  </si>
  <si>
    <t>INMX</t>
  </si>
  <si>
    <t>INMA</t>
  </si>
  <si>
    <t>INLV</t>
  </si>
  <si>
    <t>INLU</t>
  </si>
  <si>
    <t>INLT</t>
  </si>
  <si>
    <t>INKZ</t>
  </si>
  <si>
    <t>INKR</t>
  </si>
  <si>
    <t>INJP</t>
  </si>
  <si>
    <t>INIT</t>
  </si>
  <si>
    <t>INIS</t>
  </si>
  <si>
    <t>ISZA</t>
  </si>
  <si>
    <t>ISVN</t>
  </si>
  <si>
    <t>ISVE</t>
  </si>
  <si>
    <t>ISUY</t>
  </si>
  <si>
    <t>ISUS</t>
  </si>
  <si>
    <t>ISUA</t>
  </si>
  <si>
    <t>ISTW</t>
  </si>
  <si>
    <t>ISTR</t>
  </si>
  <si>
    <t>ISTH</t>
  </si>
  <si>
    <t>ISSV</t>
  </si>
  <si>
    <t>ISSK</t>
  </si>
  <si>
    <t>ISSG</t>
  </si>
  <si>
    <t>ISSE</t>
  </si>
  <si>
    <t>ISSA</t>
  </si>
  <si>
    <t>ISRO</t>
  </si>
  <si>
    <t>ISPY</t>
  </si>
  <si>
    <t>ISPT</t>
  </si>
  <si>
    <t>ISPL</t>
  </si>
  <si>
    <t>ISPK</t>
  </si>
  <si>
    <t>ISPH</t>
  </si>
  <si>
    <t>ISPE</t>
  </si>
  <si>
    <t>ISPA</t>
  </si>
  <si>
    <t>ISNZ</t>
  </si>
  <si>
    <t>ISNO</t>
  </si>
  <si>
    <t>ISNL</t>
  </si>
  <si>
    <t>ISNG</t>
  </si>
  <si>
    <t>ISMY</t>
  </si>
  <si>
    <t>ISMX</t>
  </si>
  <si>
    <t>ISMA</t>
  </si>
  <si>
    <t>ISLV</t>
  </si>
  <si>
    <t>ISLU</t>
  </si>
  <si>
    <t>ISLT</t>
  </si>
  <si>
    <t>ISKZ</t>
  </si>
  <si>
    <t>ISKR</t>
  </si>
  <si>
    <t>ISJP</t>
  </si>
  <si>
    <t>ISIT</t>
  </si>
  <si>
    <t>ITZA</t>
  </si>
  <si>
    <t>ITVN</t>
  </si>
  <si>
    <t>ITVE</t>
  </si>
  <si>
    <t>ITUY</t>
  </si>
  <si>
    <t>ITUS</t>
  </si>
  <si>
    <t>ITUA</t>
  </si>
  <si>
    <t>ITTW</t>
  </si>
  <si>
    <t>ITTR</t>
  </si>
  <si>
    <t>ITTH</t>
  </si>
  <si>
    <t>ITSV</t>
  </si>
  <si>
    <t>ITSK</t>
  </si>
  <si>
    <t>ITSG</t>
  </si>
  <si>
    <t>ITSE</t>
  </si>
  <si>
    <t>ITSA</t>
  </si>
  <si>
    <t>ITRO</t>
  </si>
  <si>
    <t>ITPY</t>
  </si>
  <si>
    <t>ITPT</t>
  </si>
  <si>
    <t>ITPL</t>
  </si>
  <si>
    <t>ITPK</t>
  </si>
  <si>
    <t>ITPH</t>
  </si>
  <si>
    <t>ITPE</t>
  </si>
  <si>
    <t>ITPA</t>
  </si>
  <si>
    <t>ITNZ</t>
  </si>
  <si>
    <t>ITNO</t>
  </si>
  <si>
    <t>ITNL</t>
  </si>
  <si>
    <t>ITNG</t>
  </si>
  <si>
    <t>ITMY</t>
  </si>
  <si>
    <t>ITMX</t>
  </si>
  <si>
    <t>ITMA</t>
  </si>
  <si>
    <t>ITLV</t>
  </si>
  <si>
    <t>ITLU</t>
  </si>
  <si>
    <t>ITLT</t>
  </si>
  <si>
    <t>ITKZ</t>
  </si>
  <si>
    <t>ITKR</t>
  </si>
  <si>
    <t>ITJP</t>
  </si>
  <si>
    <t>JPZA</t>
  </si>
  <si>
    <t>JPVN</t>
  </si>
  <si>
    <t>JPVE</t>
  </si>
  <si>
    <t>JPUY</t>
  </si>
  <si>
    <t>JPUS</t>
  </si>
  <si>
    <t>JPUA</t>
  </si>
  <si>
    <t>JPTW</t>
  </si>
  <si>
    <t>JPTR</t>
  </si>
  <si>
    <t>JPTH</t>
  </si>
  <si>
    <t>JPSV</t>
  </si>
  <si>
    <t>JPSK</t>
  </si>
  <si>
    <t>JPSG</t>
  </si>
  <si>
    <t>JPSE</t>
  </si>
  <si>
    <t>JPSA</t>
  </si>
  <si>
    <t>JPRO</t>
  </si>
  <si>
    <t>JPPY</t>
  </si>
  <si>
    <t>JPPT</t>
  </si>
  <si>
    <t>JPPL</t>
  </si>
  <si>
    <t>JPPK</t>
  </si>
  <si>
    <t>JPPH</t>
  </si>
  <si>
    <t>JPPE</t>
  </si>
  <si>
    <t>JPPA</t>
  </si>
  <si>
    <t>JPNZ</t>
  </si>
  <si>
    <t>JPNO</t>
  </si>
  <si>
    <t>JPNL</t>
  </si>
  <si>
    <t>JPNG</t>
  </si>
  <si>
    <t>JPMY</t>
  </si>
  <si>
    <t>JPMX</t>
  </si>
  <si>
    <t>JPMA</t>
  </si>
  <si>
    <t>JPLV</t>
  </si>
  <si>
    <t>JPLU</t>
  </si>
  <si>
    <t>JPLT</t>
  </si>
  <si>
    <t>JPKZ</t>
  </si>
  <si>
    <t>JPKR</t>
  </si>
  <si>
    <t>KRZA</t>
  </si>
  <si>
    <t>KRVN</t>
  </si>
  <si>
    <t>KRVE</t>
  </si>
  <si>
    <t>KRUY</t>
  </si>
  <si>
    <t>KRUS</t>
  </si>
  <si>
    <t>KRUA</t>
  </si>
  <si>
    <t>KRTW</t>
  </si>
  <si>
    <t>KRTR</t>
  </si>
  <si>
    <t>KRTH</t>
  </si>
  <si>
    <t>KRSV</t>
  </si>
  <si>
    <t>KRSK</t>
  </si>
  <si>
    <t>KRSG</t>
  </si>
  <si>
    <t>KRSE</t>
  </si>
  <si>
    <t>KRSA</t>
  </si>
  <si>
    <t>KRRO</t>
  </si>
  <si>
    <t>KRPY</t>
  </si>
  <si>
    <t>KRPT</t>
  </si>
  <si>
    <t>KRPL</t>
  </si>
  <si>
    <t>KRPK</t>
  </si>
  <si>
    <t>KRPH</t>
  </si>
  <si>
    <t>KRPE</t>
  </si>
  <si>
    <t>KRPA</t>
  </si>
  <si>
    <t>KRNZ</t>
  </si>
  <si>
    <t>KRNO</t>
  </si>
  <si>
    <t>KRNL</t>
  </si>
  <si>
    <t>KRNG</t>
  </si>
  <si>
    <t>KRMY</t>
  </si>
  <si>
    <t>KRMX</t>
  </si>
  <si>
    <t>KRMA</t>
  </si>
  <si>
    <t>KRLV</t>
  </si>
  <si>
    <t>KRLU</t>
  </si>
  <si>
    <t>KRLT</t>
  </si>
  <si>
    <t>KRKZ</t>
  </si>
  <si>
    <t>KZZA</t>
  </si>
  <si>
    <t>KZVN</t>
  </si>
  <si>
    <t>KZVE</t>
  </si>
  <si>
    <t>KZUY</t>
  </si>
  <si>
    <t>KZUS</t>
  </si>
  <si>
    <t>KZUA</t>
  </si>
  <si>
    <t>KZTW</t>
  </si>
  <si>
    <t>KZTR</t>
  </si>
  <si>
    <t>KZTH</t>
  </si>
  <si>
    <t>KZSV</t>
  </si>
  <si>
    <t>KZSK</t>
  </si>
  <si>
    <t>KZSG</t>
  </si>
  <si>
    <t>KZSE</t>
  </si>
  <si>
    <t>KZSA</t>
  </si>
  <si>
    <t>KZRO</t>
  </si>
  <si>
    <t>KZPY</t>
  </si>
  <si>
    <t>KZPT</t>
  </si>
  <si>
    <t>KZPL</t>
  </si>
  <si>
    <t>KZPK</t>
  </si>
  <si>
    <t>KZPH</t>
  </si>
  <si>
    <t>KZPE</t>
  </si>
  <si>
    <t>KZPA</t>
  </si>
  <si>
    <t>KZNZ</t>
  </si>
  <si>
    <t>KZNO</t>
  </si>
  <si>
    <t>KZNL</t>
  </si>
  <si>
    <t>KZNG</t>
  </si>
  <si>
    <t>KZMY</t>
  </si>
  <si>
    <t>KZMX</t>
  </si>
  <si>
    <t>KZMA</t>
  </si>
  <si>
    <t>KZLV</t>
  </si>
  <si>
    <t>KZLU</t>
  </si>
  <si>
    <t>KZLT</t>
  </si>
  <si>
    <t>LTZA</t>
  </si>
  <si>
    <t>LTVN</t>
  </si>
  <si>
    <t>LTVE</t>
  </si>
  <si>
    <t>LTUY</t>
  </si>
  <si>
    <t>LTUS</t>
  </si>
  <si>
    <t>LTUA</t>
  </si>
  <si>
    <t>LTTW</t>
  </si>
  <si>
    <t>LTTR</t>
  </si>
  <si>
    <t>LTTH</t>
  </si>
  <si>
    <t>LTSV</t>
  </si>
  <si>
    <t>LTSK</t>
  </si>
  <si>
    <t>LTSG</t>
  </si>
  <si>
    <t>LTSE</t>
  </si>
  <si>
    <t>LTSA</t>
  </si>
  <si>
    <t>LTRO</t>
  </si>
  <si>
    <t>LTPY</t>
  </si>
  <si>
    <t>LTPT</t>
  </si>
  <si>
    <t>LTPL</t>
  </si>
  <si>
    <t>LTPK</t>
  </si>
  <si>
    <t>LTPH</t>
  </si>
  <si>
    <t>LTPE</t>
  </si>
  <si>
    <t>LTPA</t>
  </si>
  <si>
    <t>LTNZ</t>
  </si>
  <si>
    <t>LTNO</t>
  </si>
  <si>
    <t>LTNL</t>
  </si>
  <si>
    <t>LTNG</t>
  </si>
  <si>
    <t>LTMY</t>
  </si>
  <si>
    <t>LTMX</t>
  </si>
  <si>
    <t>LTMA</t>
  </si>
  <si>
    <t>LTLV</t>
  </si>
  <si>
    <t>LTLU</t>
  </si>
  <si>
    <t>LUZA</t>
  </si>
  <si>
    <t>LUVN</t>
  </si>
  <si>
    <t>LUVE</t>
  </si>
  <si>
    <t>LUUY</t>
  </si>
  <si>
    <t>LUUS</t>
  </si>
  <si>
    <t>LUUA</t>
  </si>
  <si>
    <t>LUTW</t>
  </si>
  <si>
    <t>LUTR</t>
  </si>
  <si>
    <t>LUTH</t>
  </si>
  <si>
    <t>LUSV</t>
  </si>
  <si>
    <t>LUSK</t>
  </si>
  <si>
    <t>LUSG</t>
  </si>
  <si>
    <t>LUSE</t>
  </si>
  <si>
    <t>LUSA</t>
  </si>
  <si>
    <t>LURO</t>
  </si>
  <si>
    <t>LUPY</t>
  </si>
  <si>
    <t>LUPT</t>
  </si>
  <si>
    <t>LUPL</t>
  </si>
  <si>
    <t>LUPK</t>
  </si>
  <si>
    <t>LUPH</t>
  </si>
  <si>
    <t>LUPE</t>
  </si>
  <si>
    <t>LUPA</t>
  </si>
  <si>
    <t>LUNZ</t>
  </si>
  <si>
    <t>LUNO</t>
  </si>
  <si>
    <t>LUNL</t>
  </si>
  <si>
    <t>LUNG</t>
  </si>
  <si>
    <t>LUMY</t>
  </si>
  <si>
    <t>LUMX</t>
  </si>
  <si>
    <t>LUMA</t>
  </si>
  <si>
    <t>LULV</t>
  </si>
  <si>
    <t>LVZA</t>
  </si>
  <si>
    <t>LVVN</t>
  </si>
  <si>
    <t>LVVE</t>
  </si>
  <si>
    <t>LVUY</t>
  </si>
  <si>
    <t>LVUS</t>
  </si>
  <si>
    <t>LVUA</t>
  </si>
  <si>
    <t>LVTW</t>
  </si>
  <si>
    <t>LVTR</t>
  </si>
  <si>
    <t>LVTH</t>
  </si>
  <si>
    <t>LVSV</t>
  </si>
  <si>
    <t>LVSK</t>
  </si>
  <si>
    <t>LVSG</t>
  </si>
  <si>
    <t>LVSE</t>
  </si>
  <si>
    <t>LVSA</t>
  </si>
  <si>
    <t>LVRO</t>
  </si>
  <si>
    <t>LVPY</t>
  </si>
  <si>
    <t>LVPT</t>
  </si>
  <si>
    <t>LVPL</t>
  </si>
  <si>
    <t>LVPK</t>
  </si>
  <si>
    <t>LVPH</t>
  </si>
  <si>
    <t>LVPE</t>
  </si>
  <si>
    <t>LVPA</t>
  </si>
  <si>
    <t>LVNZ</t>
  </si>
  <si>
    <t>LVNO</t>
  </si>
  <si>
    <t>LVNL</t>
  </si>
  <si>
    <t>LVNG</t>
  </si>
  <si>
    <t>LVMY</t>
  </si>
  <si>
    <t>LVMX</t>
  </si>
  <si>
    <t>LVMA</t>
  </si>
  <si>
    <t>MAZA</t>
  </si>
  <si>
    <t>MAVN</t>
  </si>
  <si>
    <t>MAVE</t>
  </si>
  <si>
    <t>MAUY</t>
  </si>
  <si>
    <t>MAUS</t>
  </si>
  <si>
    <t>MAUA</t>
  </si>
  <si>
    <t>MATW</t>
  </si>
  <si>
    <t>MATR</t>
  </si>
  <si>
    <t>MATH</t>
  </si>
  <si>
    <t>MASV</t>
  </si>
  <si>
    <t>MASK</t>
  </si>
  <si>
    <t>MASG</t>
  </si>
  <si>
    <t>MASE</t>
  </si>
  <si>
    <t>MASA</t>
  </si>
  <si>
    <t>MARO</t>
  </si>
  <si>
    <t>MAPY</t>
  </si>
  <si>
    <t>MAPT</t>
  </si>
  <si>
    <t>MAPL</t>
  </si>
  <si>
    <t>MAPK</t>
  </si>
  <si>
    <t>MAPH</t>
  </si>
  <si>
    <t>MAPE</t>
  </si>
  <si>
    <t>MAPA</t>
  </si>
  <si>
    <t>MANZ</t>
  </si>
  <si>
    <t>MANO</t>
  </si>
  <si>
    <t>MANL</t>
  </si>
  <si>
    <t>MANG</t>
  </si>
  <si>
    <t>MAMY</t>
  </si>
  <si>
    <t>MAMX</t>
  </si>
  <si>
    <t>MXZA</t>
  </si>
  <si>
    <t>MXVN</t>
  </si>
  <si>
    <t>MXVE</t>
  </si>
  <si>
    <t>MXUY</t>
  </si>
  <si>
    <t>MXUS</t>
  </si>
  <si>
    <t>MXUA</t>
  </si>
  <si>
    <t>MXTW</t>
  </si>
  <si>
    <t>MXTR</t>
  </si>
  <si>
    <t>MXTH</t>
  </si>
  <si>
    <t>MXSV</t>
  </si>
  <si>
    <t>MXSK</t>
  </si>
  <si>
    <t>MXSG</t>
  </si>
  <si>
    <t>MXSE</t>
  </si>
  <si>
    <t>MXSA</t>
  </si>
  <si>
    <t>MXRO</t>
  </si>
  <si>
    <t>MXPY</t>
  </si>
  <si>
    <t>MXPT</t>
  </si>
  <si>
    <t>MXPL</t>
  </si>
  <si>
    <t>MXPK</t>
  </si>
  <si>
    <t>MXPH</t>
  </si>
  <si>
    <t>MXPE</t>
  </si>
  <si>
    <t>MXPA</t>
  </si>
  <si>
    <t>MXNZ</t>
  </si>
  <si>
    <t>MXNO</t>
  </si>
  <si>
    <t>MXNL</t>
  </si>
  <si>
    <t>MXNG</t>
  </si>
  <si>
    <t>MXMY</t>
  </si>
  <si>
    <t>MYZA</t>
  </si>
  <si>
    <t>MYVN</t>
  </si>
  <si>
    <t>MYVE</t>
  </si>
  <si>
    <t>MYUY</t>
  </si>
  <si>
    <t>MYUS</t>
  </si>
  <si>
    <t>MYUA</t>
  </si>
  <si>
    <t>MYTW</t>
  </si>
  <si>
    <t>MYTR</t>
  </si>
  <si>
    <t>MYTH</t>
  </si>
  <si>
    <t>MYSV</t>
  </si>
  <si>
    <t>MYSK</t>
  </si>
  <si>
    <t>MYSG</t>
  </si>
  <si>
    <t>MYSE</t>
  </si>
  <si>
    <t>MYSA</t>
  </si>
  <si>
    <t>MYRO</t>
  </si>
  <si>
    <t>MYPY</t>
  </si>
  <si>
    <t>MYPT</t>
  </si>
  <si>
    <t>MYPL</t>
  </si>
  <si>
    <t>MYPK</t>
  </si>
  <si>
    <t>MYPH</t>
  </si>
  <si>
    <t>MYPE</t>
  </si>
  <si>
    <t>MYPA</t>
  </si>
  <si>
    <t>MYNZ</t>
  </si>
  <si>
    <t>MYNO</t>
  </si>
  <si>
    <t>MYNL</t>
  </si>
  <si>
    <t>MYNG</t>
  </si>
  <si>
    <t>NGZA</t>
  </si>
  <si>
    <t>NGVN</t>
  </si>
  <si>
    <t>NGVE</t>
  </si>
  <si>
    <t>NGUY</t>
  </si>
  <si>
    <t>NGUS</t>
  </si>
  <si>
    <t>NGUA</t>
  </si>
  <si>
    <t>NGTW</t>
  </si>
  <si>
    <t>NGTR</t>
  </si>
  <si>
    <t>NGTH</t>
  </si>
  <si>
    <t>NGSV</t>
  </si>
  <si>
    <t>NGSK</t>
  </si>
  <si>
    <t>NGSG</t>
  </si>
  <si>
    <t>NGSE</t>
  </si>
  <si>
    <t>NGSA</t>
  </si>
  <si>
    <t>NGRO</t>
  </si>
  <si>
    <t>NGPY</t>
  </si>
  <si>
    <t>NGPT</t>
  </si>
  <si>
    <t>NGPL</t>
  </si>
  <si>
    <t>NGPK</t>
  </si>
  <si>
    <t>NGPH</t>
  </si>
  <si>
    <t>NGPE</t>
  </si>
  <si>
    <t>NGPA</t>
  </si>
  <si>
    <t>NGNZ</t>
  </si>
  <si>
    <t>NGNO</t>
  </si>
  <si>
    <t>NGNL</t>
  </si>
  <si>
    <t>NLZA</t>
  </si>
  <si>
    <t>NLVN</t>
  </si>
  <si>
    <t>NLVE</t>
  </si>
  <si>
    <t>NLUY</t>
  </si>
  <si>
    <t>NLUS</t>
  </si>
  <si>
    <t>NLUA</t>
  </si>
  <si>
    <t>NLTW</t>
  </si>
  <si>
    <t>NLTR</t>
  </si>
  <si>
    <t>NLTH</t>
  </si>
  <si>
    <t>NLSV</t>
  </si>
  <si>
    <t>NLSK</t>
  </si>
  <si>
    <t>NLSG</t>
  </si>
  <si>
    <t>NLSE</t>
  </si>
  <si>
    <t>NLSA</t>
  </si>
  <si>
    <t>NLRO</t>
  </si>
  <si>
    <t>NLPY</t>
  </si>
  <si>
    <t>NLPT</t>
  </si>
  <si>
    <t>NLPL</t>
  </si>
  <si>
    <t>NLPK</t>
  </si>
  <si>
    <t>NLPH</t>
  </si>
  <si>
    <t>NLPE</t>
  </si>
  <si>
    <t>NLPA</t>
  </si>
  <si>
    <t>NLNZ</t>
  </si>
  <si>
    <t>NLNO</t>
  </si>
  <si>
    <t>NOZA</t>
  </si>
  <si>
    <t>NOVN</t>
  </si>
  <si>
    <t>NOVE</t>
  </si>
  <si>
    <t>NOUY</t>
  </si>
  <si>
    <t>NOUS</t>
  </si>
  <si>
    <t>NOUA</t>
  </si>
  <si>
    <t>NOTW</t>
  </si>
  <si>
    <t>NOTR</t>
  </si>
  <si>
    <t>NOTH</t>
  </si>
  <si>
    <t>NOSV</t>
  </si>
  <si>
    <t>NOSK</t>
  </si>
  <si>
    <t>NOSG</t>
  </si>
  <si>
    <t>NOSE</t>
  </si>
  <si>
    <t>NOSA</t>
  </si>
  <si>
    <t>NORO</t>
  </si>
  <si>
    <t>NOPY</t>
  </si>
  <si>
    <t>NOPT</t>
  </si>
  <si>
    <t>NOPL</t>
  </si>
  <si>
    <t>NOPK</t>
  </si>
  <si>
    <t>NOPH</t>
  </si>
  <si>
    <t>NOPE</t>
  </si>
  <si>
    <t>NOPA</t>
  </si>
  <si>
    <t>NONZ</t>
  </si>
  <si>
    <t>NZZA</t>
  </si>
  <si>
    <t>NZVN</t>
  </si>
  <si>
    <t>NZVE</t>
  </si>
  <si>
    <t>NZUY</t>
  </si>
  <si>
    <t>NZUS</t>
  </si>
  <si>
    <t>NZUA</t>
  </si>
  <si>
    <t>NZTW</t>
  </si>
  <si>
    <t>NZTR</t>
  </si>
  <si>
    <t>NZTH</t>
  </si>
  <si>
    <t>NZSV</t>
  </si>
  <si>
    <t>NZSK</t>
  </si>
  <si>
    <t>NZSG</t>
  </si>
  <si>
    <t>NZSE</t>
  </si>
  <si>
    <t>NZSA</t>
  </si>
  <si>
    <t>NZRO</t>
  </si>
  <si>
    <t>NZPY</t>
  </si>
  <si>
    <t>NZPT</t>
  </si>
  <si>
    <t>NZPL</t>
  </si>
  <si>
    <t>NZPK</t>
  </si>
  <si>
    <t>NZPH</t>
  </si>
  <si>
    <t>NZPE</t>
  </si>
  <si>
    <t>NZPA</t>
  </si>
  <si>
    <t>PAZA</t>
  </si>
  <si>
    <t>PAVN</t>
  </si>
  <si>
    <t>PAVE</t>
  </si>
  <si>
    <t>PAUY</t>
  </si>
  <si>
    <t>PAUS</t>
  </si>
  <si>
    <t>PAUA</t>
  </si>
  <si>
    <t>PATW</t>
  </si>
  <si>
    <t>PATR</t>
  </si>
  <si>
    <t>PATH</t>
  </si>
  <si>
    <t>PASV</t>
  </si>
  <si>
    <t>PASK</t>
  </si>
  <si>
    <t>PASG</t>
  </si>
  <si>
    <t>PASE</t>
  </si>
  <si>
    <t>PASA</t>
  </si>
  <si>
    <t>PARO</t>
  </si>
  <si>
    <t>PAPY</t>
  </si>
  <si>
    <t>PAPT</t>
  </si>
  <si>
    <t>PAPL</t>
  </si>
  <si>
    <t>PAPK</t>
  </si>
  <si>
    <t>PAPH</t>
  </si>
  <si>
    <t>PAPE</t>
  </si>
  <si>
    <t>PEZA</t>
  </si>
  <si>
    <t>PEVN</t>
  </si>
  <si>
    <t>PEVE</t>
  </si>
  <si>
    <t>PEUY</t>
  </si>
  <si>
    <t>PEUS</t>
  </si>
  <si>
    <t>PEUA</t>
  </si>
  <si>
    <t>PETW</t>
  </si>
  <si>
    <t>PETR</t>
  </si>
  <si>
    <t>PETH</t>
  </si>
  <si>
    <t>PESV</t>
  </si>
  <si>
    <t>PESK</t>
  </si>
  <si>
    <t>PESG</t>
  </si>
  <si>
    <t>PESE</t>
  </si>
  <si>
    <t>PESA</t>
  </si>
  <si>
    <t>PERO</t>
  </si>
  <si>
    <t>PEPY</t>
  </si>
  <si>
    <t>PEPT</t>
  </si>
  <si>
    <t>PEPL</t>
  </si>
  <si>
    <t>PEPK</t>
  </si>
  <si>
    <t>PEPH</t>
  </si>
  <si>
    <t>PHZA</t>
  </si>
  <si>
    <t>PHVN</t>
  </si>
  <si>
    <t>PHVE</t>
  </si>
  <si>
    <t>PHUY</t>
  </si>
  <si>
    <t>PHUS</t>
  </si>
  <si>
    <t>PHUA</t>
  </si>
  <si>
    <t>PHTW</t>
  </si>
  <si>
    <t>PHTR</t>
  </si>
  <si>
    <t>PHTH</t>
  </si>
  <si>
    <t>PHSV</t>
  </si>
  <si>
    <t>PHSK</t>
  </si>
  <si>
    <t>PHSG</t>
  </si>
  <si>
    <t>PHSE</t>
  </si>
  <si>
    <t>PHSA</t>
  </si>
  <si>
    <t>PHRO</t>
  </si>
  <si>
    <t>PHPY</t>
  </si>
  <si>
    <t>PHPT</t>
  </si>
  <si>
    <t>PHPL</t>
  </si>
  <si>
    <t>PHPK</t>
  </si>
  <si>
    <t>PKZA</t>
  </si>
  <si>
    <t>PKVN</t>
  </si>
  <si>
    <t>PKVE</t>
  </si>
  <si>
    <t>PKUY</t>
  </si>
  <si>
    <t>PKUS</t>
  </si>
  <si>
    <t>PKUA</t>
  </si>
  <si>
    <t>PKTW</t>
  </si>
  <si>
    <t>PKTR</t>
  </si>
  <si>
    <t>PKTH</t>
  </si>
  <si>
    <t>PKSV</t>
  </si>
  <si>
    <t>PKSK</t>
  </si>
  <si>
    <t>PKSG</t>
  </si>
  <si>
    <t>PKSE</t>
  </si>
  <si>
    <t>PKSA</t>
  </si>
  <si>
    <t>PKRO</t>
  </si>
  <si>
    <t>PKPY</t>
  </si>
  <si>
    <t>PKPT</t>
  </si>
  <si>
    <t>PKPL</t>
  </si>
  <si>
    <t>PLZA</t>
  </si>
  <si>
    <t>PLVN</t>
  </si>
  <si>
    <t>PLVE</t>
  </si>
  <si>
    <t>PLUY</t>
  </si>
  <si>
    <t>PLUS</t>
  </si>
  <si>
    <t>PLUA</t>
  </si>
  <si>
    <t>PLTW</t>
  </si>
  <si>
    <t>PLTR</t>
  </si>
  <si>
    <t>PLTH</t>
  </si>
  <si>
    <t>PLSV</t>
  </si>
  <si>
    <t>PLSK</t>
  </si>
  <si>
    <t>PLSG</t>
  </si>
  <si>
    <t>PLSE</t>
  </si>
  <si>
    <t>PLSA</t>
  </si>
  <si>
    <t>PLRO</t>
  </si>
  <si>
    <t>PLPY</t>
  </si>
  <si>
    <t>PLPT</t>
  </si>
  <si>
    <t>PTZA</t>
  </si>
  <si>
    <t>PTVN</t>
  </si>
  <si>
    <t>PTVE</t>
  </si>
  <si>
    <t>PTUY</t>
  </si>
  <si>
    <t>PTUS</t>
  </si>
  <si>
    <t>PTUA</t>
  </si>
  <si>
    <t>PTTW</t>
  </si>
  <si>
    <t>PTTR</t>
  </si>
  <si>
    <t>PTTH</t>
  </si>
  <si>
    <t>PTSV</t>
  </si>
  <si>
    <t>PTSK</t>
  </si>
  <si>
    <t>PTSG</t>
  </si>
  <si>
    <t>PTSE</t>
  </si>
  <si>
    <t>PTSA</t>
  </si>
  <si>
    <t>PTRO</t>
  </si>
  <si>
    <t>PTPY</t>
  </si>
  <si>
    <t>PYZA</t>
  </si>
  <si>
    <t>PYVN</t>
  </si>
  <si>
    <t>PYVE</t>
  </si>
  <si>
    <t>PYUY</t>
  </si>
  <si>
    <t>PYUS</t>
  </si>
  <si>
    <t>PYUA</t>
  </si>
  <si>
    <t>PYTW</t>
  </si>
  <si>
    <t>PYTR</t>
  </si>
  <si>
    <t>PYTH</t>
  </si>
  <si>
    <t>PYSV</t>
  </si>
  <si>
    <t>PYSK</t>
  </si>
  <si>
    <t>PYSG</t>
  </si>
  <si>
    <t>PYSE</t>
  </si>
  <si>
    <t>PYSA</t>
  </si>
  <si>
    <t>PYRO</t>
  </si>
  <si>
    <t>ROZA</t>
  </si>
  <si>
    <t>ROVN</t>
  </si>
  <si>
    <t>ROVE</t>
  </si>
  <si>
    <t>ROUY</t>
  </si>
  <si>
    <t>ROUS</t>
  </si>
  <si>
    <t>ROUA</t>
  </si>
  <si>
    <t>ROTW</t>
  </si>
  <si>
    <t>ROTR</t>
  </si>
  <si>
    <t>ROTH</t>
  </si>
  <si>
    <t>ROSV</t>
  </si>
  <si>
    <t>ROSK</t>
  </si>
  <si>
    <t>ROSG</t>
  </si>
  <si>
    <t>ROSE</t>
  </si>
  <si>
    <t>ROSA</t>
  </si>
  <si>
    <t>SAZA</t>
  </si>
  <si>
    <t>SAVN</t>
  </si>
  <si>
    <t>SAVE</t>
  </si>
  <si>
    <t>SAUY</t>
  </si>
  <si>
    <t>SAUS</t>
  </si>
  <si>
    <t>SAUA</t>
  </si>
  <si>
    <t>SATW</t>
  </si>
  <si>
    <t>SATR</t>
  </si>
  <si>
    <t>SATH</t>
  </si>
  <si>
    <t>SASV</t>
  </si>
  <si>
    <t>SASK</t>
  </si>
  <si>
    <t>SASG</t>
  </si>
  <si>
    <t>SASE</t>
  </si>
  <si>
    <t>SEZA</t>
  </si>
  <si>
    <t>SEVN</t>
  </si>
  <si>
    <t>SEVE</t>
  </si>
  <si>
    <t>SEUY</t>
  </si>
  <si>
    <t>SEUS</t>
  </si>
  <si>
    <t>SEUA</t>
  </si>
  <si>
    <t>SETW</t>
  </si>
  <si>
    <t>SETR</t>
  </si>
  <si>
    <t>SETH</t>
  </si>
  <si>
    <t>SESV</t>
  </si>
  <si>
    <t>SESK</t>
  </si>
  <si>
    <t>SESG</t>
  </si>
  <si>
    <t>SGZA</t>
  </si>
  <si>
    <t>SGVN</t>
  </si>
  <si>
    <t>SGVE</t>
  </si>
  <si>
    <t>SGUY</t>
  </si>
  <si>
    <t>SGUS</t>
  </si>
  <si>
    <t>SGUA</t>
  </si>
  <si>
    <t>SGTW</t>
  </si>
  <si>
    <t>SGTR</t>
  </si>
  <si>
    <t>SGTH</t>
  </si>
  <si>
    <t>SGSV</t>
  </si>
  <si>
    <t>SGSK</t>
  </si>
  <si>
    <t>SKZA</t>
  </si>
  <si>
    <t>SKVN</t>
  </si>
  <si>
    <t>SKVE</t>
  </si>
  <si>
    <t>SKUY</t>
  </si>
  <si>
    <t>SKUS</t>
  </si>
  <si>
    <t>SKUA</t>
  </si>
  <si>
    <t>SKTW</t>
  </si>
  <si>
    <t>SKTR</t>
  </si>
  <si>
    <t>SKTH</t>
  </si>
  <si>
    <t>SKSV</t>
  </si>
  <si>
    <t>SVZA</t>
  </si>
  <si>
    <t>SVVN</t>
  </si>
  <si>
    <t>SVVE</t>
  </si>
  <si>
    <t>SVUY</t>
  </si>
  <si>
    <t>SVUS</t>
  </si>
  <si>
    <t>SVUA</t>
  </si>
  <si>
    <t>SVTW</t>
  </si>
  <si>
    <t>SVTR</t>
  </si>
  <si>
    <t>SVTH</t>
  </si>
  <si>
    <t>THZA</t>
  </si>
  <si>
    <t>THVN</t>
  </si>
  <si>
    <t>THVE</t>
  </si>
  <si>
    <t>THUY</t>
  </si>
  <si>
    <t>THUS</t>
  </si>
  <si>
    <t>THUA</t>
  </si>
  <si>
    <t>THTW</t>
  </si>
  <si>
    <t>THTR</t>
  </si>
  <si>
    <t>TRZA</t>
  </si>
  <si>
    <t>TRVN</t>
  </si>
  <si>
    <t>TRVE</t>
  </si>
  <si>
    <t>TRUY</t>
  </si>
  <si>
    <t>TRUS</t>
  </si>
  <si>
    <t>TRUA</t>
  </si>
  <si>
    <t>TRTW</t>
  </si>
  <si>
    <t>TWZA</t>
  </si>
  <si>
    <t>TWVN</t>
  </si>
  <si>
    <t>TWVE</t>
  </si>
  <si>
    <t>TWUY</t>
  </si>
  <si>
    <t>TWUS</t>
  </si>
  <si>
    <t>TWUA</t>
  </si>
  <si>
    <t>UAZA</t>
  </si>
  <si>
    <t>UAVN</t>
  </si>
  <si>
    <t>UAVE</t>
  </si>
  <si>
    <t>UAUY</t>
  </si>
  <si>
    <t>UAUS</t>
  </si>
  <si>
    <t>USZA</t>
  </si>
  <si>
    <t>USVN</t>
  </si>
  <si>
    <t>USVE</t>
  </si>
  <si>
    <t>USUY</t>
  </si>
  <si>
    <t>UYZA</t>
  </si>
  <si>
    <t>UYVN</t>
  </si>
  <si>
    <t>UYVE</t>
  </si>
  <si>
    <t>VEZA</t>
  </si>
  <si>
    <t>VEVN</t>
  </si>
  <si>
    <t>VNZA</t>
  </si>
  <si>
    <t>Tempo_A</t>
  </si>
  <si>
    <t>Tempo_B</t>
  </si>
  <si>
    <t>Financial_Stress_A</t>
  </si>
  <si>
    <t>Financial_Stress_B</t>
  </si>
  <si>
    <t>Cost_of_living_A</t>
  </si>
  <si>
    <t>Cost_of_living_B</t>
  </si>
  <si>
    <t>Local_Purchasing_Power_A</t>
  </si>
  <si>
    <t>Local_Purchasing_Power_B</t>
  </si>
  <si>
    <t>Music_Mood_A</t>
  </si>
  <si>
    <t>Music_Mood_B</t>
  </si>
  <si>
    <t>Diff_Cost_Living</t>
  </si>
  <si>
    <t>Diff_Fin_Stress</t>
  </si>
  <si>
    <t>Diff_Purchasing_Power</t>
  </si>
  <si>
    <t>SCI_Score_normalized</t>
  </si>
  <si>
    <t>Country_B</t>
  </si>
  <si>
    <t>Country_A</t>
  </si>
  <si>
    <t>Jaccard_Similarity_Songs</t>
  </si>
  <si>
    <t>Total_Unique_Songs</t>
  </si>
  <si>
    <t>Common_Items_Songs</t>
  </si>
  <si>
    <t>Common_Items_Artists</t>
  </si>
  <si>
    <t>Total_Unique_Artists</t>
  </si>
  <si>
    <t>Jaccard_Similarity_Artists</t>
  </si>
  <si>
    <t>Continent_B</t>
  </si>
  <si>
    <t>Continent_A</t>
  </si>
  <si>
    <t>Africa</t>
  </si>
  <si>
    <t>Europe</t>
  </si>
  <si>
    <t>Asia</t>
  </si>
  <si>
    <t>South America</t>
  </si>
  <si>
    <t>Australia</t>
  </si>
  <si>
    <t>North America</t>
  </si>
  <si>
    <t>Asia,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</si>
</sst>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38"/>
      <scheme val="minor"/>
    </font>
    <font>
      <sz val="10"/>
      <color theme="1"/>
      <name val="Arial Unicode MS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left" vertical="center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4DA5F-C7F4-41E6-A59F-D4D8A6CCF413}">
  <dimension ref="A1:AG2416"/>
  <sheetViews>
    <sheetView tabSelected="1" topLeftCell="AA1" workbookViewId="0">
      <selection activeCell="AI12" sqref="AI12"/>
    </sheetView>
  </sheetViews>
  <sheetFormatPr defaultRowHeight="14.5"/>
  <cols>
    <col min="1" max="2" width="9.08984375" bestFit="1" customWidth="1"/>
    <col min="3" max="4" width="11.81640625" bestFit="1" customWidth="1"/>
    <col min="5" max="5" width="12.6328125" bestFit="1" customWidth="1"/>
    <col min="6" max="6" width="11.36328125" bestFit="1" customWidth="1"/>
    <col min="7" max="7" width="16.08984375" bestFit="1" customWidth="1"/>
    <col min="8" max="8" width="13.90625" bestFit="1" customWidth="1"/>
    <col min="9" max="9" width="23" bestFit="1" customWidth="1"/>
    <col min="10" max="10" width="12.90625" bestFit="1" customWidth="1"/>
    <col min="11" max="12" width="11.81640625" bestFit="1" customWidth="1"/>
    <col min="13" max="13" width="13" bestFit="1" customWidth="1"/>
    <col min="14" max="14" width="11.36328125" bestFit="1" customWidth="1"/>
    <col min="15" max="15" width="16.08984375" bestFit="1" customWidth="1"/>
    <col min="16" max="16" width="13.90625" bestFit="1" customWidth="1"/>
    <col min="17" max="17" width="23" bestFit="1" customWidth="1"/>
    <col min="18" max="18" width="12.90625" bestFit="1" customWidth="1"/>
    <col min="19" max="19" width="13.453125" bestFit="1" customWidth="1"/>
    <col min="20" max="20" width="11.7265625" bestFit="1" customWidth="1"/>
    <col min="21" max="21" width="9" bestFit="1" customWidth="1"/>
    <col min="22" max="22" width="18.90625" bestFit="1" customWidth="1"/>
    <col min="23" max="23" width="13.7265625" bestFit="1" customWidth="1"/>
    <col min="24" max="24" width="12.90625" bestFit="1" customWidth="1"/>
    <col min="25" max="25" width="19.453125" bestFit="1" customWidth="1"/>
    <col min="26" max="26" width="19.36328125" bestFit="1" customWidth="1"/>
    <col min="27" max="27" width="17.1796875" bestFit="1" customWidth="1"/>
    <col min="28" max="28" width="21.26953125" bestFit="1" customWidth="1"/>
    <col min="29" max="29" width="19.81640625" bestFit="1" customWidth="1"/>
    <col min="30" max="30" width="17.6328125" bestFit="1" customWidth="1"/>
    <col min="31" max="31" width="21.7265625" bestFit="1" customWidth="1"/>
    <col min="32" max="33" width="12.54296875" bestFit="1" customWidth="1"/>
  </cols>
  <sheetData>
    <row r="1" spans="1:33">
      <c r="A1" t="s">
        <v>2579</v>
      </c>
      <c r="B1" t="s">
        <v>2578</v>
      </c>
      <c r="C1" t="s">
        <v>0</v>
      </c>
      <c r="D1" t="s">
        <v>1</v>
      </c>
      <c r="E1" s="1" t="s">
        <v>2</v>
      </c>
      <c r="F1" t="s">
        <v>2564</v>
      </c>
      <c r="G1" t="s">
        <v>2566</v>
      </c>
      <c r="H1" t="s">
        <v>2568</v>
      </c>
      <c r="I1" t="s">
        <v>2570</v>
      </c>
      <c r="J1" t="s">
        <v>2572</v>
      </c>
      <c r="K1" t="s">
        <v>3</v>
      </c>
      <c r="L1" t="s">
        <v>4</v>
      </c>
      <c r="M1" t="s">
        <v>5</v>
      </c>
      <c r="N1" t="s">
        <v>2565</v>
      </c>
      <c r="O1" t="s">
        <v>2567</v>
      </c>
      <c r="P1" t="s">
        <v>2569</v>
      </c>
      <c r="Q1" t="s">
        <v>2571</v>
      </c>
      <c r="R1" t="s">
        <v>2573</v>
      </c>
      <c r="S1" s="1" t="s">
        <v>6</v>
      </c>
      <c r="T1" t="s">
        <v>7</v>
      </c>
      <c r="U1" t="s">
        <v>8</v>
      </c>
      <c r="V1" t="s">
        <v>2577</v>
      </c>
      <c r="W1" t="s">
        <v>2574</v>
      </c>
      <c r="X1" t="s">
        <v>2575</v>
      </c>
      <c r="Y1" t="s">
        <v>2576</v>
      </c>
      <c r="Z1" t="s">
        <v>2582</v>
      </c>
      <c r="AA1" t="s">
        <v>2581</v>
      </c>
      <c r="AB1" t="s">
        <v>2580</v>
      </c>
      <c r="AC1" t="s">
        <v>2583</v>
      </c>
      <c r="AD1" t="s">
        <v>2584</v>
      </c>
      <c r="AE1" t="s">
        <v>2585</v>
      </c>
      <c r="AF1" t="s">
        <v>2587</v>
      </c>
      <c r="AG1" t="s">
        <v>2586</v>
      </c>
    </row>
    <row r="2" spans="1:33">
      <c r="A2" s="2" t="s">
        <v>9</v>
      </c>
      <c r="B2" s="2" t="s">
        <v>10</v>
      </c>
      <c r="C2" s="1">
        <v>0.49695889599999998</v>
      </c>
      <c r="D2">
        <v>0.62537463599999998</v>
      </c>
      <c r="E2">
        <v>0.63877984499999996</v>
      </c>
      <c r="F2" s="1" t="s">
        <v>147</v>
      </c>
      <c r="G2" s="1">
        <v>1.061574435</v>
      </c>
      <c r="H2" s="1">
        <v>54.1</v>
      </c>
      <c r="I2" s="1">
        <v>128.30000000000001</v>
      </c>
      <c r="J2" s="1">
        <v>0.58703779233333331</v>
      </c>
      <c r="K2" s="1">
        <v>0.52456325500000001</v>
      </c>
      <c r="L2" s="1">
        <v>0.61925627999999999</v>
      </c>
      <c r="M2" s="3">
        <v>0.72111139899999999</v>
      </c>
      <c r="N2" s="1" t="s">
        <v>12</v>
      </c>
      <c r="O2" s="1">
        <v>0.61690647499999995</v>
      </c>
      <c r="P2" s="1">
        <v>30</v>
      </c>
      <c r="Q2" s="1">
        <v>111.2</v>
      </c>
      <c r="R2" s="1">
        <v>0.62164364466666666</v>
      </c>
      <c r="S2" s="1">
        <v>8.7051247549926242E-2</v>
      </c>
      <c r="T2" t="s">
        <v>11</v>
      </c>
      <c r="U2" s="1">
        <v>10270</v>
      </c>
      <c r="V2">
        <f t="shared" ref="V2:V65" si="0">LOG10(U2) / 9</f>
        <v>0.44573004928858645</v>
      </c>
      <c r="W2" s="1">
        <f t="shared" ref="W2:W65" si="1">ABS(H2-P2)</f>
        <v>24.1</v>
      </c>
      <c r="X2">
        <f t="shared" ref="X2:X65" si="2">ABS(G2-O2)</f>
        <v>0.44466796000000008</v>
      </c>
      <c r="Y2">
        <f t="shared" ref="Y2:Y65" si="3">ABS(I2-Q2)</f>
        <v>17.100000000000009</v>
      </c>
      <c r="Z2" s="1">
        <v>6</v>
      </c>
      <c r="AA2">
        <v>94</v>
      </c>
      <c r="AB2">
        <v>6.3799999999999996E-2</v>
      </c>
      <c r="AC2">
        <v>8</v>
      </c>
      <c r="AD2">
        <v>162</v>
      </c>
      <c r="AE2">
        <v>4.9399999999999999E-2</v>
      </c>
      <c r="AF2" t="s">
        <v>2590</v>
      </c>
      <c r="AG2" t="s">
        <v>2588</v>
      </c>
    </row>
    <row r="3" spans="1:33">
      <c r="A3" s="2" t="s">
        <v>9</v>
      </c>
      <c r="B3" s="2" t="s">
        <v>13</v>
      </c>
      <c r="C3" s="1">
        <v>0.49695889599999998</v>
      </c>
      <c r="D3">
        <v>0.62537463599999998</v>
      </c>
      <c r="E3">
        <v>0.63877984499999996</v>
      </c>
      <c r="F3" s="1" t="s">
        <v>147</v>
      </c>
      <c r="G3" s="1">
        <v>1.061574435</v>
      </c>
      <c r="H3" s="1">
        <v>54.1</v>
      </c>
      <c r="I3" s="1">
        <v>128.30000000000001</v>
      </c>
      <c r="J3" s="1">
        <v>0.58703779233333331</v>
      </c>
      <c r="K3" s="1">
        <v>0.48695497399999998</v>
      </c>
      <c r="L3" s="1">
        <v>0.54991327199999995</v>
      </c>
      <c r="M3" s="3">
        <v>0.67282609299999996</v>
      </c>
      <c r="N3" s="1" t="s">
        <v>14</v>
      </c>
      <c r="O3" s="1">
        <v>1.6052009460000001</v>
      </c>
      <c r="P3" s="1">
        <v>26.6</v>
      </c>
      <c r="Q3" s="1">
        <v>42.3</v>
      </c>
      <c r="R3" s="1">
        <v>0.56989811299999993</v>
      </c>
      <c r="S3" s="1">
        <v>8.3388505892599427E-2</v>
      </c>
      <c r="T3" t="s">
        <v>150</v>
      </c>
      <c r="U3" s="1">
        <v>1301</v>
      </c>
      <c r="V3">
        <f t="shared" si="0"/>
        <v>0.34603081072906516</v>
      </c>
      <c r="W3" s="1">
        <f t="shared" si="1"/>
        <v>27.5</v>
      </c>
      <c r="X3">
        <f t="shared" si="2"/>
        <v>0.54362651100000003</v>
      </c>
      <c r="Y3">
        <f t="shared" si="3"/>
        <v>86.000000000000014</v>
      </c>
      <c r="Z3" s="1">
        <v>2</v>
      </c>
      <c r="AA3">
        <v>98</v>
      </c>
      <c r="AB3">
        <v>2.0400000000000001E-2</v>
      </c>
      <c r="AC3">
        <v>3</v>
      </c>
      <c r="AD3">
        <v>114</v>
      </c>
      <c r="AE3">
        <v>2.63E-2</v>
      </c>
      <c r="AF3" t="s">
        <v>2590</v>
      </c>
      <c r="AG3" t="s">
        <v>2590</v>
      </c>
    </row>
    <row r="4" spans="1:33">
      <c r="A4" s="2" t="s">
        <v>9</v>
      </c>
      <c r="B4" s="2" t="s">
        <v>15</v>
      </c>
      <c r="C4" s="1">
        <v>0.49695889599999998</v>
      </c>
      <c r="D4">
        <v>0.62537463599999998</v>
      </c>
      <c r="E4">
        <v>0.63877984499999996</v>
      </c>
      <c r="F4" s="1" t="s">
        <v>147</v>
      </c>
      <c r="G4" s="1">
        <v>1.061574435</v>
      </c>
      <c r="H4" s="1">
        <v>54.1</v>
      </c>
      <c r="I4" s="1">
        <v>128.30000000000001</v>
      </c>
      <c r="J4" s="1">
        <v>0.58703779233333331</v>
      </c>
      <c r="K4" s="1">
        <v>0.54560998800000005</v>
      </c>
      <c r="L4" s="1">
        <v>0.66721428400000005</v>
      </c>
      <c r="M4" s="3">
        <v>0.72650398400000005</v>
      </c>
      <c r="N4" s="1" t="s">
        <v>16</v>
      </c>
      <c r="O4" s="1">
        <v>5.1392405060000002</v>
      </c>
      <c r="P4" s="1">
        <v>35.9</v>
      </c>
      <c r="Q4" s="1">
        <v>15.8</v>
      </c>
      <c r="R4" s="1">
        <v>0.64644275200000012</v>
      </c>
      <c r="S4" s="1">
        <v>0.10868766931371615</v>
      </c>
      <c r="T4" t="s">
        <v>151</v>
      </c>
      <c r="U4" s="1">
        <v>1266</v>
      </c>
      <c r="V4">
        <f t="shared" si="0"/>
        <v>0.34471485618681519</v>
      </c>
      <c r="W4" s="1">
        <f t="shared" si="1"/>
        <v>18.200000000000003</v>
      </c>
      <c r="X4">
        <f t="shared" si="2"/>
        <v>4.0776660710000003</v>
      </c>
      <c r="Y4">
        <f t="shared" si="3"/>
        <v>112.50000000000001</v>
      </c>
      <c r="Z4" s="1">
        <v>1</v>
      </c>
      <c r="AA4">
        <v>99</v>
      </c>
      <c r="AB4">
        <v>1.01E-2</v>
      </c>
      <c r="AC4">
        <v>1</v>
      </c>
      <c r="AD4">
        <v>112</v>
      </c>
      <c r="AE4">
        <v>8.8999999999999999E-3</v>
      </c>
      <c r="AF4" t="s">
        <v>2590</v>
      </c>
      <c r="AG4" t="s">
        <v>2591</v>
      </c>
    </row>
    <row r="5" spans="1:33">
      <c r="A5" s="2" t="s">
        <v>9</v>
      </c>
      <c r="B5" s="2" t="s">
        <v>17</v>
      </c>
      <c r="C5" s="1">
        <v>0.49695889599999998</v>
      </c>
      <c r="D5">
        <v>0.62537463599999998</v>
      </c>
      <c r="E5">
        <v>0.63877984499999996</v>
      </c>
      <c r="F5" s="1" t="s">
        <v>147</v>
      </c>
      <c r="G5" s="1">
        <v>1.061574435</v>
      </c>
      <c r="H5" s="1">
        <v>54.1</v>
      </c>
      <c r="I5" s="1">
        <v>128.30000000000001</v>
      </c>
      <c r="J5" s="1">
        <v>0.58703779233333331</v>
      </c>
      <c r="K5" s="1">
        <v>0.659112378</v>
      </c>
      <c r="L5" s="1">
        <v>0.68333493499999998</v>
      </c>
      <c r="M5" s="3">
        <v>0.70345495199999997</v>
      </c>
      <c r="N5" s="1" t="s">
        <v>18</v>
      </c>
      <c r="O5" s="1">
        <v>1.9463955639999999</v>
      </c>
      <c r="P5" s="1">
        <v>46.3</v>
      </c>
      <c r="Q5" s="1">
        <v>54.1</v>
      </c>
      <c r="R5" s="1">
        <v>0.68196742166666668</v>
      </c>
      <c r="S5" s="1">
        <v>0.18394569157866997</v>
      </c>
      <c r="T5" t="s">
        <v>152</v>
      </c>
      <c r="U5" s="1">
        <v>1135</v>
      </c>
      <c r="V5">
        <f t="shared" si="0"/>
        <v>0.3394439846143491</v>
      </c>
      <c r="W5" s="1">
        <f t="shared" si="1"/>
        <v>7.8000000000000043</v>
      </c>
      <c r="X5">
        <f t="shared" si="2"/>
        <v>0.88482112899999987</v>
      </c>
      <c r="Y5">
        <f t="shared" si="3"/>
        <v>74.200000000000017</v>
      </c>
      <c r="Z5" s="1">
        <v>0</v>
      </c>
      <c r="AA5">
        <v>100</v>
      </c>
      <c r="AB5">
        <v>0</v>
      </c>
      <c r="AC5">
        <v>0</v>
      </c>
      <c r="AD5">
        <v>127</v>
      </c>
      <c r="AE5">
        <v>0</v>
      </c>
      <c r="AF5" t="s">
        <v>2590</v>
      </c>
      <c r="AG5" t="s">
        <v>2591</v>
      </c>
    </row>
    <row r="6" spans="1:33">
      <c r="A6" s="2" t="s">
        <v>9</v>
      </c>
      <c r="B6" s="2" t="s">
        <v>19</v>
      </c>
      <c r="C6" s="1">
        <v>0.49695889599999998</v>
      </c>
      <c r="D6">
        <v>0.62537463599999998</v>
      </c>
      <c r="E6">
        <v>0.63877984499999996</v>
      </c>
      <c r="F6" s="1" t="s">
        <v>147</v>
      </c>
      <c r="G6" s="1">
        <v>1.061574435</v>
      </c>
      <c r="H6" s="1">
        <v>54.1</v>
      </c>
      <c r="I6" s="1">
        <v>128.30000000000001</v>
      </c>
      <c r="J6" s="1">
        <v>0.58703779233333331</v>
      </c>
      <c r="K6" s="1">
        <v>0.49391595300000002</v>
      </c>
      <c r="L6" s="1">
        <v>0.603599314</v>
      </c>
      <c r="M6" s="3">
        <v>0.63481471599999995</v>
      </c>
      <c r="N6" s="1" t="s">
        <v>20</v>
      </c>
      <c r="O6" s="1">
        <v>1.2140902870000001</v>
      </c>
      <c r="P6" s="1">
        <v>64.900000000000006</v>
      </c>
      <c r="Q6" s="1">
        <v>146.19999999999999</v>
      </c>
      <c r="R6" s="1">
        <v>0.57744332766666662</v>
      </c>
      <c r="S6" s="1">
        <v>2.2341584507182412E-2</v>
      </c>
      <c r="T6" t="s">
        <v>153</v>
      </c>
      <c r="U6" s="1">
        <v>4781</v>
      </c>
      <c r="V6">
        <f t="shared" si="0"/>
        <v>0.40883541596619882</v>
      </c>
      <c r="W6" s="1">
        <f t="shared" si="1"/>
        <v>10.800000000000004</v>
      </c>
      <c r="X6">
        <f t="shared" si="2"/>
        <v>0.15251585200000006</v>
      </c>
      <c r="Y6">
        <f t="shared" si="3"/>
        <v>17.899999999999977</v>
      </c>
      <c r="Z6" s="1">
        <v>23</v>
      </c>
      <c r="AA6">
        <v>77</v>
      </c>
      <c r="AB6">
        <v>0.29870000000000002</v>
      </c>
      <c r="AC6">
        <v>23</v>
      </c>
      <c r="AD6">
        <v>84</v>
      </c>
      <c r="AE6">
        <v>0.27379999999999999</v>
      </c>
      <c r="AF6" t="s">
        <v>2590</v>
      </c>
      <c r="AG6" t="s">
        <v>2593</v>
      </c>
    </row>
    <row r="7" spans="1:33">
      <c r="A7" s="2" t="s">
        <v>9</v>
      </c>
      <c r="B7" s="2" t="s">
        <v>21</v>
      </c>
      <c r="C7" s="1">
        <v>0.49695889599999998</v>
      </c>
      <c r="D7">
        <v>0.62537463599999998</v>
      </c>
      <c r="E7">
        <v>0.63877984499999996</v>
      </c>
      <c r="F7" s="1" t="s">
        <v>147</v>
      </c>
      <c r="G7" s="1">
        <v>1.061574435</v>
      </c>
      <c r="H7" s="1">
        <v>54.1</v>
      </c>
      <c r="I7" s="1">
        <v>128.30000000000001</v>
      </c>
      <c r="J7" s="1">
        <v>0.58703779233333331</v>
      </c>
      <c r="K7" s="1">
        <v>0.53276376800000003</v>
      </c>
      <c r="L7" s="1">
        <v>0.65428149899999999</v>
      </c>
      <c r="M7" s="3">
        <v>0.70160154799999996</v>
      </c>
      <c r="N7" s="1" t="s">
        <v>22</v>
      </c>
      <c r="O7" s="1">
        <v>1.2440604749999999</v>
      </c>
      <c r="P7" s="1">
        <v>24.6</v>
      </c>
      <c r="Q7" s="1">
        <v>46.3</v>
      </c>
      <c r="R7" s="1">
        <v>0.62954893833333336</v>
      </c>
      <c r="S7" s="1">
        <v>7.7872729214131006E-2</v>
      </c>
      <c r="T7" t="s">
        <v>154</v>
      </c>
      <c r="U7" s="1">
        <v>4004</v>
      </c>
      <c r="V7">
        <f t="shared" si="0"/>
        <v>0.40027711875636451</v>
      </c>
      <c r="W7" s="1">
        <f t="shared" si="1"/>
        <v>29.5</v>
      </c>
      <c r="X7">
        <f t="shared" si="2"/>
        <v>0.1824860399999999</v>
      </c>
      <c r="Y7">
        <f t="shared" si="3"/>
        <v>82.000000000000014</v>
      </c>
      <c r="Z7" s="1">
        <v>5</v>
      </c>
      <c r="AA7">
        <v>95</v>
      </c>
      <c r="AB7">
        <v>5.2600000000000001E-2</v>
      </c>
      <c r="AC7">
        <v>7</v>
      </c>
      <c r="AD7">
        <v>106</v>
      </c>
      <c r="AE7">
        <v>6.6000000000000003E-2</v>
      </c>
      <c r="AF7" t="s">
        <v>2590</v>
      </c>
      <c r="AG7" t="s">
        <v>2589</v>
      </c>
    </row>
    <row r="8" spans="1:33">
      <c r="A8" s="2" t="s">
        <v>9</v>
      </c>
      <c r="B8" s="2" t="s">
        <v>23</v>
      </c>
      <c r="C8" s="1">
        <v>0.49695889599999998</v>
      </c>
      <c r="D8">
        <v>0.62537463599999998</v>
      </c>
      <c r="E8">
        <v>0.63877984499999996</v>
      </c>
      <c r="F8" s="1" t="s">
        <v>147</v>
      </c>
      <c r="G8" s="1">
        <v>1.061574435</v>
      </c>
      <c r="H8" s="1">
        <v>54.1</v>
      </c>
      <c r="I8" s="1">
        <v>128.30000000000001</v>
      </c>
      <c r="J8" s="1">
        <v>0.58703779233333331</v>
      </c>
      <c r="K8" s="1">
        <v>0.49415677200000002</v>
      </c>
      <c r="L8" s="1">
        <v>0.62090818999999997</v>
      </c>
      <c r="M8" s="3">
        <v>0.63381026900000004</v>
      </c>
      <c r="N8" s="1" t="s">
        <v>24</v>
      </c>
      <c r="O8" s="1">
        <v>1.141304348</v>
      </c>
      <c r="P8" s="1">
        <v>44.4</v>
      </c>
      <c r="Q8" s="1">
        <v>101.2</v>
      </c>
      <c r="R8" s="1">
        <v>0.58295841033333329</v>
      </c>
      <c r="S8" s="1">
        <v>7.2455313402170242E-3</v>
      </c>
      <c r="T8" t="s">
        <v>155</v>
      </c>
      <c r="U8" s="1">
        <v>3411</v>
      </c>
      <c r="V8">
        <f t="shared" si="0"/>
        <v>0.39254241326748862</v>
      </c>
      <c r="W8" s="1">
        <f t="shared" si="1"/>
        <v>9.7000000000000028</v>
      </c>
      <c r="X8">
        <f t="shared" si="2"/>
        <v>7.9729912999999986E-2</v>
      </c>
      <c r="Y8">
        <f t="shared" si="3"/>
        <v>27.100000000000009</v>
      </c>
      <c r="Z8" s="1">
        <v>8</v>
      </c>
      <c r="AA8">
        <v>92</v>
      </c>
      <c r="AB8">
        <v>8.6999999999999994E-2</v>
      </c>
      <c r="AC8">
        <v>11</v>
      </c>
      <c r="AD8">
        <v>98</v>
      </c>
      <c r="AE8">
        <v>0.11219999999999999</v>
      </c>
      <c r="AF8" t="s">
        <v>2590</v>
      </c>
      <c r="AG8" t="s">
        <v>2590</v>
      </c>
    </row>
    <row r="9" spans="1:33">
      <c r="A9" s="2" t="s">
        <v>9</v>
      </c>
      <c r="B9" s="2" t="s">
        <v>25</v>
      </c>
      <c r="C9" s="1">
        <v>0.49695889599999998</v>
      </c>
      <c r="D9">
        <v>0.62537463599999998</v>
      </c>
      <c r="E9">
        <v>0.63877984499999996</v>
      </c>
      <c r="F9" s="1" t="s">
        <v>147</v>
      </c>
      <c r="G9" s="1">
        <v>1.061574435</v>
      </c>
      <c r="H9" s="1">
        <v>54.1</v>
      </c>
      <c r="I9" s="1">
        <v>128.30000000000001</v>
      </c>
      <c r="J9" s="1">
        <v>0.58703779233333331</v>
      </c>
      <c r="K9" s="1">
        <v>0.53959274199999996</v>
      </c>
      <c r="L9" s="1">
        <v>0.64971567399999997</v>
      </c>
      <c r="M9" s="3">
        <v>0.65028459999999999</v>
      </c>
      <c r="N9" s="1" t="s">
        <v>26</v>
      </c>
      <c r="O9" s="1">
        <v>1.623046875</v>
      </c>
      <c r="P9" s="1">
        <v>34.700000000000003</v>
      </c>
      <c r="Q9" s="1">
        <v>51.2</v>
      </c>
      <c r="R9" s="1">
        <v>0.61319767199999997</v>
      </c>
      <c r="S9" s="1">
        <v>5.0423113185117621E-2</v>
      </c>
      <c r="T9" t="s">
        <v>156</v>
      </c>
      <c r="U9" s="1">
        <v>4707</v>
      </c>
      <c r="V9">
        <f t="shared" si="0"/>
        <v>0.40808268870073322</v>
      </c>
      <c r="W9" s="1">
        <f t="shared" si="1"/>
        <v>19.399999999999999</v>
      </c>
      <c r="X9">
        <f t="shared" si="2"/>
        <v>0.56147243999999996</v>
      </c>
      <c r="Y9">
        <f t="shared" si="3"/>
        <v>77.100000000000009</v>
      </c>
      <c r="Z9" s="1">
        <v>0</v>
      </c>
      <c r="AA9">
        <v>100</v>
      </c>
      <c r="AB9">
        <v>0</v>
      </c>
      <c r="AC9">
        <v>0</v>
      </c>
      <c r="AD9">
        <v>111</v>
      </c>
      <c r="AE9">
        <v>0</v>
      </c>
      <c r="AF9" t="s">
        <v>2590</v>
      </c>
      <c r="AG9" t="s">
        <v>2594</v>
      </c>
    </row>
    <row r="10" spans="1:33">
      <c r="A10" s="2" t="s">
        <v>9</v>
      </c>
      <c r="B10" s="2" t="s">
        <v>27</v>
      </c>
      <c r="C10" s="1">
        <v>0.49695889599999998</v>
      </c>
      <c r="D10">
        <v>0.62537463599999998</v>
      </c>
      <c r="E10">
        <v>0.63877984499999996</v>
      </c>
      <c r="F10" s="1" t="s">
        <v>147</v>
      </c>
      <c r="G10" s="1">
        <v>1.061574435</v>
      </c>
      <c r="H10" s="1">
        <v>54.1</v>
      </c>
      <c r="I10" s="1">
        <v>128.30000000000001</v>
      </c>
      <c r="J10" s="1">
        <v>0.58703779233333331</v>
      </c>
      <c r="K10" s="1">
        <v>0.518608662</v>
      </c>
      <c r="L10" s="1">
        <v>0.64320369700000002</v>
      </c>
      <c r="M10" s="3">
        <v>0.62228994199999998</v>
      </c>
      <c r="N10" s="1" t="s">
        <v>28</v>
      </c>
      <c r="O10" s="1">
        <v>1.8717391299999999</v>
      </c>
      <c r="P10" s="1">
        <v>33.700000000000003</v>
      </c>
      <c r="Q10" s="1">
        <v>46</v>
      </c>
      <c r="R10" s="1">
        <v>0.59470076699999996</v>
      </c>
      <c r="S10" s="1">
        <v>3.2534668969360775E-2</v>
      </c>
      <c r="T10" t="s">
        <v>157</v>
      </c>
      <c r="U10" s="1">
        <v>3927</v>
      </c>
      <c r="V10">
        <f t="shared" si="0"/>
        <v>0.39934010014115756</v>
      </c>
      <c r="W10" s="1">
        <f t="shared" si="1"/>
        <v>20.399999999999999</v>
      </c>
      <c r="X10">
        <f t="shared" si="2"/>
        <v>0.81016469499999988</v>
      </c>
      <c r="Y10">
        <f t="shared" si="3"/>
        <v>82.300000000000011</v>
      </c>
      <c r="Z10" s="1">
        <v>6</v>
      </c>
      <c r="AA10">
        <v>94</v>
      </c>
      <c r="AB10">
        <v>6.3799999999999996E-2</v>
      </c>
      <c r="AC10">
        <v>8</v>
      </c>
      <c r="AD10">
        <v>110</v>
      </c>
      <c r="AE10">
        <v>7.2700000000000001E-2</v>
      </c>
      <c r="AF10" t="s">
        <v>2590</v>
      </c>
      <c r="AG10" t="s">
        <v>2590</v>
      </c>
    </row>
    <row r="11" spans="1:33">
      <c r="A11" s="2" t="s">
        <v>9</v>
      </c>
      <c r="B11" s="2" t="s">
        <v>29</v>
      </c>
      <c r="C11" s="1">
        <v>0.49695889599999998</v>
      </c>
      <c r="D11">
        <v>0.62537463599999998</v>
      </c>
      <c r="E11">
        <v>0.63877984499999996</v>
      </c>
      <c r="F11" s="1" t="s">
        <v>147</v>
      </c>
      <c r="G11" s="1">
        <v>1.061574435</v>
      </c>
      <c r="H11" s="1">
        <v>54.1</v>
      </c>
      <c r="I11" s="1">
        <v>128.30000000000001</v>
      </c>
      <c r="J11" s="1">
        <v>0.58703779233333331</v>
      </c>
      <c r="K11" s="1">
        <v>0.59351545100000003</v>
      </c>
      <c r="L11" s="1">
        <v>0.68136602400000001</v>
      </c>
      <c r="M11" s="3">
        <v>0.73518087600000004</v>
      </c>
      <c r="N11" s="1" t="s">
        <v>30</v>
      </c>
      <c r="O11" s="1">
        <v>2.849112426</v>
      </c>
      <c r="P11" s="1">
        <v>37.9</v>
      </c>
      <c r="Q11" s="1">
        <v>33.799999999999997</v>
      </c>
      <c r="R11" s="1">
        <v>0.67002078366666673</v>
      </c>
      <c r="S11" s="1">
        <v>0.14748343168470673</v>
      </c>
      <c r="T11" t="s">
        <v>158</v>
      </c>
      <c r="U11" s="1">
        <v>926</v>
      </c>
      <c r="V11">
        <f t="shared" si="0"/>
        <v>0.32962344296465934</v>
      </c>
      <c r="W11" s="1">
        <f t="shared" si="1"/>
        <v>16.200000000000003</v>
      </c>
      <c r="X11">
        <f t="shared" si="2"/>
        <v>1.787537991</v>
      </c>
      <c r="Y11">
        <f t="shared" si="3"/>
        <v>94.500000000000014</v>
      </c>
      <c r="Z11" s="1">
        <v>0</v>
      </c>
      <c r="AA11">
        <v>100</v>
      </c>
      <c r="AB11">
        <v>0</v>
      </c>
      <c r="AC11">
        <v>0</v>
      </c>
      <c r="AD11">
        <v>107</v>
      </c>
      <c r="AE11">
        <v>0</v>
      </c>
      <c r="AF11" t="s">
        <v>2590</v>
      </c>
      <c r="AG11" t="s">
        <v>2593</v>
      </c>
    </row>
    <row r="12" spans="1:33">
      <c r="A12" s="2" t="s">
        <v>9</v>
      </c>
      <c r="B12" s="2" t="s">
        <v>31</v>
      </c>
      <c r="C12" s="1">
        <v>0.49695889599999998</v>
      </c>
      <c r="D12">
        <v>0.62537463599999998</v>
      </c>
      <c r="E12">
        <v>0.63877984499999996</v>
      </c>
      <c r="F12" s="1" t="s">
        <v>147</v>
      </c>
      <c r="G12" s="1">
        <v>1.061574435</v>
      </c>
      <c r="H12" s="1">
        <v>54.1</v>
      </c>
      <c r="I12" s="1">
        <v>128.30000000000001</v>
      </c>
      <c r="J12" s="1">
        <v>0.58703779233333331</v>
      </c>
      <c r="K12" s="1">
        <v>0.47727961800000002</v>
      </c>
      <c r="L12" s="1">
        <v>0.66941086400000005</v>
      </c>
      <c r="M12" s="3">
        <v>0.69294815300000001</v>
      </c>
      <c r="N12" s="1" t="s">
        <v>32</v>
      </c>
      <c r="O12" s="1">
        <v>1.341891892</v>
      </c>
      <c r="P12" s="1">
        <v>42.1</v>
      </c>
      <c r="Q12" s="1">
        <v>74</v>
      </c>
      <c r="R12" s="1">
        <v>0.61321287833333338</v>
      </c>
      <c r="S12" s="1">
        <v>7.2530469119206326E-2</v>
      </c>
      <c r="T12" t="s">
        <v>159</v>
      </c>
      <c r="U12" s="1">
        <v>3268</v>
      </c>
      <c r="V12">
        <f t="shared" si="0"/>
        <v>0.39047578309559755</v>
      </c>
      <c r="W12" s="1">
        <f t="shared" si="1"/>
        <v>12</v>
      </c>
      <c r="X12">
        <f t="shared" si="2"/>
        <v>0.28031745699999999</v>
      </c>
      <c r="Y12">
        <f t="shared" si="3"/>
        <v>54.300000000000011</v>
      </c>
      <c r="Z12" s="1">
        <v>11</v>
      </c>
      <c r="AA12">
        <v>89</v>
      </c>
      <c r="AB12">
        <v>0.1236</v>
      </c>
      <c r="AC12">
        <v>13</v>
      </c>
      <c r="AD12">
        <v>102</v>
      </c>
      <c r="AE12">
        <v>0.1275</v>
      </c>
      <c r="AF12" t="s">
        <v>2590</v>
      </c>
      <c r="AG12" t="s">
        <v>2589</v>
      </c>
    </row>
    <row r="13" spans="1:33">
      <c r="A13" s="2" t="s">
        <v>9</v>
      </c>
      <c r="B13" s="2" t="s">
        <v>33</v>
      </c>
      <c r="C13" s="1">
        <v>0.49695889599999998</v>
      </c>
      <c r="D13">
        <v>0.62537463599999998</v>
      </c>
      <c r="E13">
        <v>0.63877984499999996</v>
      </c>
      <c r="F13" s="1" t="s">
        <v>147</v>
      </c>
      <c r="G13" s="1">
        <v>1.061574435</v>
      </c>
      <c r="H13" s="1">
        <v>54.1</v>
      </c>
      <c r="I13" s="1">
        <v>128.30000000000001</v>
      </c>
      <c r="J13" s="1">
        <v>0.58703779233333331</v>
      </c>
      <c r="K13" s="1">
        <v>0.51347926600000005</v>
      </c>
      <c r="L13" s="1">
        <v>0.63144379399999995</v>
      </c>
      <c r="M13" s="3">
        <v>0.64189093500000005</v>
      </c>
      <c r="N13" s="1" t="s">
        <v>34</v>
      </c>
      <c r="O13" s="1">
        <v>2.3123667380000001</v>
      </c>
      <c r="P13" s="1">
        <v>79.099999999999994</v>
      </c>
      <c r="Q13" s="1">
        <v>93.8</v>
      </c>
      <c r="R13" s="1">
        <v>0.59560466500000009</v>
      </c>
      <c r="S13" s="1">
        <v>1.7872777757079794E-2</v>
      </c>
      <c r="T13" t="s">
        <v>160</v>
      </c>
      <c r="U13" s="1">
        <v>46907</v>
      </c>
      <c r="V13">
        <f t="shared" si="0"/>
        <v>0.51902640643890796</v>
      </c>
      <c r="W13" s="1">
        <f t="shared" si="1"/>
        <v>24.999999999999993</v>
      </c>
      <c r="X13">
        <f t="shared" si="2"/>
        <v>1.2507923030000001</v>
      </c>
      <c r="Y13">
        <f t="shared" si="3"/>
        <v>34.500000000000014</v>
      </c>
      <c r="Z13" s="1">
        <v>22</v>
      </c>
      <c r="AA13">
        <v>78</v>
      </c>
      <c r="AB13">
        <v>0.28210000000000002</v>
      </c>
      <c r="AC13">
        <v>22</v>
      </c>
      <c r="AD13">
        <v>87</v>
      </c>
      <c r="AE13">
        <v>0.25290000000000001</v>
      </c>
      <c r="AF13" t="s">
        <v>2590</v>
      </c>
      <c r="AG13" t="s">
        <v>2590</v>
      </c>
    </row>
    <row r="14" spans="1:33">
      <c r="A14" s="2" t="s">
        <v>9</v>
      </c>
      <c r="B14" s="2" t="s">
        <v>35</v>
      </c>
      <c r="C14" s="1">
        <v>0.49695889599999998</v>
      </c>
      <c r="D14">
        <v>0.62537463599999998</v>
      </c>
      <c r="E14">
        <v>0.63877984499999996</v>
      </c>
      <c r="F14" s="1" t="s">
        <v>147</v>
      </c>
      <c r="G14" s="1">
        <v>1.061574435</v>
      </c>
      <c r="H14" s="1">
        <v>54.1</v>
      </c>
      <c r="I14" s="1">
        <v>128.30000000000001</v>
      </c>
      <c r="J14" s="1">
        <v>0.58703779233333331</v>
      </c>
      <c r="K14" s="1">
        <v>0.52542897600000005</v>
      </c>
      <c r="L14" s="1">
        <v>0.60774736299999998</v>
      </c>
      <c r="M14" s="3">
        <v>0.62585751700000003</v>
      </c>
      <c r="N14" s="1" t="s">
        <v>36</v>
      </c>
      <c r="O14" s="1">
        <v>0.98848810399999998</v>
      </c>
      <c r="P14" s="1">
        <v>54.2</v>
      </c>
      <c r="Q14" s="1">
        <v>130.30000000000001</v>
      </c>
      <c r="R14" s="1">
        <v>0.58634461866666665</v>
      </c>
      <c r="S14" s="1">
        <v>3.5892238291342526E-2</v>
      </c>
      <c r="T14" t="s">
        <v>161</v>
      </c>
      <c r="U14" s="1">
        <v>9138</v>
      </c>
      <c r="V14">
        <f t="shared" si="0"/>
        <v>0.44009457263552071</v>
      </c>
      <c r="W14" s="1">
        <f t="shared" si="1"/>
        <v>0.10000000000000142</v>
      </c>
      <c r="X14">
        <f t="shared" si="2"/>
        <v>7.308633100000006E-2</v>
      </c>
      <c r="Y14">
        <f t="shared" si="3"/>
        <v>2</v>
      </c>
      <c r="Z14" s="1">
        <v>12</v>
      </c>
      <c r="AA14">
        <v>88</v>
      </c>
      <c r="AB14">
        <v>0.13639999999999999</v>
      </c>
      <c r="AC14">
        <v>15</v>
      </c>
      <c r="AD14">
        <v>93</v>
      </c>
      <c r="AE14">
        <v>0.1613</v>
      </c>
      <c r="AF14" t="s">
        <v>2590</v>
      </c>
      <c r="AG14" t="s">
        <v>2589</v>
      </c>
    </row>
    <row r="15" spans="1:33">
      <c r="A15" s="2" t="s">
        <v>9</v>
      </c>
      <c r="B15" s="2" t="s">
        <v>37</v>
      </c>
      <c r="C15" s="1">
        <v>0.49695889599999998</v>
      </c>
      <c r="D15">
        <v>0.62537463599999998</v>
      </c>
      <c r="E15">
        <v>0.63877984499999996</v>
      </c>
      <c r="F15" s="1" t="s">
        <v>147</v>
      </c>
      <c r="G15" s="1">
        <v>1.061574435</v>
      </c>
      <c r="H15" s="1">
        <v>54.1</v>
      </c>
      <c r="I15" s="1">
        <v>128.30000000000001</v>
      </c>
      <c r="J15" s="1">
        <v>0.58703779233333331</v>
      </c>
      <c r="K15" s="1">
        <v>0.50856695500000004</v>
      </c>
      <c r="L15" s="1">
        <v>0.654733224</v>
      </c>
      <c r="M15" s="3">
        <v>0.61418267199999999</v>
      </c>
      <c r="N15" s="1" t="s">
        <v>38</v>
      </c>
      <c r="O15" s="1">
        <v>0.64065708399999999</v>
      </c>
      <c r="P15" s="1">
        <v>41.9</v>
      </c>
      <c r="Q15" s="1">
        <v>146.1</v>
      </c>
      <c r="R15" s="1">
        <v>0.59249428366666679</v>
      </c>
      <c r="S15" s="1">
        <v>4.0021177427621429E-2</v>
      </c>
      <c r="T15" t="s">
        <v>162</v>
      </c>
      <c r="U15" s="1">
        <v>240759</v>
      </c>
      <c r="V15">
        <f t="shared" si="0"/>
        <v>0.59795361453342777</v>
      </c>
      <c r="W15" s="1">
        <f t="shared" si="1"/>
        <v>12.200000000000003</v>
      </c>
      <c r="X15">
        <f t="shared" si="2"/>
        <v>0.42091735100000005</v>
      </c>
      <c r="Y15">
        <f t="shared" si="3"/>
        <v>17.799999999999983</v>
      </c>
      <c r="Z15" s="1">
        <v>18</v>
      </c>
      <c r="AA15">
        <v>82</v>
      </c>
      <c r="AB15">
        <v>0.2195</v>
      </c>
      <c r="AC15">
        <v>18</v>
      </c>
      <c r="AD15">
        <v>89</v>
      </c>
      <c r="AE15">
        <v>0.20219999999999999</v>
      </c>
      <c r="AF15" t="s">
        <v>2590</v>
      </c>
      <c r="AG15" t="s">
        <v>2590</v>
      </c>
    </row>
    <row r="16" spans="1:33">
      <c r="A16" s="2" t="s">
        <v>9</v>
      </c>
      <c r="B16" s="2" t="s">
        <v>39</v>
      </c>
      <c r="C16" s="1">
        <v>0.49695889599999998</v>
      </c>
      <c r="D16">
        <v>0.62537463599999998</v>
      </c>
      <c r="E16">
        <v>0.63877984499999996</v>
      </c>
      <c r="F16" s="1" t="s">
        <v>147</v>
      </c>
      <c r="G16" s="1">
        <v>1.061574435</v>
      </c>
      <c r="H16" s="1">
        <v>54.1</v>
      </c>
      <c r="I16" s="1">
        <v>128.30000000000001</v>
      </c>
      <c r="J16" s="1">
        <v>0.58703779233333331</v>
      </c>
      <c r="K16" s="1">
        <v>0.60811616199999996</v>
      </c>
      <c r="L16" s="1">
        <v>0.721105683</v>
      </c>
      <c r="M16" s="3">
        <v>0.741016169</v>
      </c>
      <c r="N16" s="1" t="s">
        <v>40</v>
      </c>
      <c r="O16" s="1">
        <v>1.0601915180000001</v>
      </c>
      <c r="P16" s="1">
        <v>34</v>
      </c>
      <c r="Q16" s="1">
        <v>73.099999999999994</v>
      </c>
      <c r="R16" s="1">
        <v>0.69007933799999999</v>
      </c>
      <c r="S16" s="1">
        <v>0.17880894018293367</v>
      </c>
      <c r="T16" t="s">
        <v>163</v>
      </c>
      <c r="U16" s="1">
        <v>6952</v>
      </c>
      <c r="V16">
        <f t="shared" si="0"/>
        <v>0.42690108482673444</v>
      </c>
      <c r="W16" s="1">
        <f t="shared" si="1"/>
        <v>20.100000000000001</v>
      </c>
      <c r="X16">
        <f t="shared" si="2"/>
        <v>1.382916999999928E-3</v>
      </c>
      <c r="Y16">
        <f t="shared" si="3"/>
        <v>55.200000000000017</v>
      </c>
      <c r="Z16" s="1">
        <v>5</v>
      </c>
      <c r="AA16">
        <v>95</v>
      </c>
      <c r="AB16">
        <v>5.2600000000000001E-2</v>
      </c>
      <c r="AC16">
        <v>8</v>
      </c>
      <c r="AD16">
        <v>102</v>
      </c>
      <c r="AE16">
        <v>7.8399999999999997E-2</v>
      </c>
      <c r="AF16" t="s">
        <v>2590</v>
      </c>
      <c r="AG16" t="s">
        <v>2589</v>
      </c>
    </row>
    <row r="17" spans="1:33">
      <c r="A17" s="2" t="s">
        <v>9</v>
      </c>
      <c r="B17" s="2" t="s">
        <v>41</v>
      </c>
      <c r="C17" s="1">
        <v>0.49695889599999998</v>
      </c>
      <c r="D17">
        <v>0.62537463599999998</v>
      </c>
      <c r="E17">
        <v>0.63877984499999996</v>
      </c>
      <c r="F17" s="1" t="s">
        <v>147</v>
      </c>
      <c r="G17" s="1">
        <v>1.061574435</v>
      </c>
      <c r="H17" s="1">
        <v>54.1</v>
      </c>
      <c r="I17" s="1">
        <v>128.30000000000001</v>
      </c>
      <c r="J17" s="1">
        <v>0.58703779233333331</v>
      </c>
      <c r="K17" s="1">
        <v>0.60402244999999999</v>
      </c>
      <c r="L17" s="1">
        <v>0.669189213</v>
      </c>
      <c r="M17" s="3">
        <v>0.69821693799999995</v>
      </c>
      <c r="N17" s="1" t="s">
        <v>42</v>
      </c>
      <c r="O17" s="1">
        <v>1.3243902439999999</v>
      </c>
      <c r="P17" s="1">
        <v>23</v>
      </c>
      <c r="Q17" s="1">
        <v>41</v>
      </c>
      <c r="R17" s="1">
        <v>0.65714286700000002</v>
      </c>
      <c r="S17" s="1">
        <v>0.13005802465473054</v>
      </c>
      <c r="T17" t="s">
        <v>164</v>
      </c>
      <c r="U17" s="1">
        <v>1576</v>
      </c>
      <c r="V17">
        <f t="shared" si="0"/>
        <v>0.3552840236837263</v>
      </c>
      <c r="W17" s="1">
        <f t="shared" si="1"/>
        <v>31.1</v>
      </c>
      <c r="X17">
        <f t="shared" si="2"/>
        <v>0.2628158089999999</v>
      </c>
      <c r="Y17">
        <f t="shared" si="3"/>
        <v>87.300000000000011</v>
      </c>
      <c r="Z17" s="1">
        <v>0</v>
      </c>
      <c r="AA17">
        <v>100</v>
      </c>
      <c r="AB17">
        <v>0</v>
      </c>
      <c r="AC17">
        <v>0</v>
      </c>
      <c r="AD17">
        <v>124</v>
      </c>
      <c r="AE17">
        <v>0</v>
      </c>
      <c r="AF17" t="s">
        <v>2590</v>
      </c>
      <c r="AG17" t="s">
        <v>2591</v>
      </c>
    </row>
    <row r="18" spans="1:33">
      <c r="A18" s="2" t="s">
        <v>9</v>
      </c>
      <c r="B18" s="2" t="s">
        <v>43</v>
      </c>
      <c r="C18" s="1">
        <v>0.49695889599999998</v>
      </c>
      <c r="D18">
        <v>0.62537463599999998</v>
      </c>
      <c r="E18">
        <v>0.63877984499999996</v>
      </c>
      <c r="F18" s="1" t="s">
        <v>147</v>
      </c>
      <c r="G18" s="1">
        <v>1.061574435</v>
      </c>
      <c r="H18" s="1">
        <v>54.1</v>
      </c>
      <c r="I18" s="1">
        <v>128.30000000000001</v>
      </c>
      <c r="J18" s="1">
        <v>0.58703779233333331</v>
      </c>
      <c r="K18" s="1">
        <v>0.54180634699999997</v>
      </c>
      <c r="L18" s="1">
        <v>0.59470779900000004</v>
      </c>
      <c r="M18" s="3">
        <v>0.69518155599999998</v>
      </c>
      <c r="N18" s="1" t="s">
        <v>44</v>
      </c>
      <c r="O18" s="1">
        <v>1.7403685090000001</v>
      </c>
      <c r="P18" s="1">
        <v>41.2</v>
      </c>
      <c r="Q18" s="1">
        <v>59.7</v>
      </c>
      <c r="R18" s="1">
        <v>0.61056523400000007</v>
      </c>
      <c r="S18" s="1">
        <v>7.8312845411908569E-2</v>
      </c>
      <c r="T18" t="s">
        <v>165</v>
      </c>
      <c r="U18" s="1">
        <v>12074</v>
      </c>
      <c r="V18">
        <f t="shared" si="0"/>
        <v>0.45353901905749489</v>
      </c>
      <c r="W18" s="1">
        <f t="shared" si="1"/>
        <v>12.899999999999999</v>
      </c>
      <c r="X18">
        <f t="shared" si="2"/>
        <v>0.67879407400000003</v>
      </c>
      <c r="Y18">
        <f t="shared" si="3"/>
        <v>68.600000000000009</v>
      </c>
      <c r="Z18" s="1">
        <v>12</v>
      </c>
      <c r="AA18">
        <v>88</v>
      </c>
      <c r="AB18">
        <v>0.13639999999999999</v>
      </c>
      <c r="AC18">
        <v>17</v>
      </c>
      <c r="AD18">
        <v>129</v>
      </c>
      <c r="AE18">
        <v>0.1318</v>
      </c>
      <c r="AF18" t="s">
        <v>2590</v>
      </c>
      <c r="AG18" t="s">
        <v>2589</v>
      </c>
    </row>
    <row r="19" spans="1:33">
      <c r="A19" s="2" t="s">
        <v>9</v>
      </c>
      <c r="B19" s="2" t="s">
        <v>45</v>
      </c>
      <c r="C19" s="1">
        <v>0.49695889599999998</v>
      </c>
      <c r="D19">
        <v>0.62537463599999998</v>
      </c>
      <c r="E19">
        <v>0.63877984499999996</v>
      </c>
      <c r="F19" s="1" t="s">
        <v>147</v>
      </c>
      <c r="G19" s="1">
        <v>1.061574435</v>
      </c>
      <c r="H19" s="1">
        <v>54.1</v>
      </c>
      <c r="I19" s="1">
        <v>128.30000000000001</v>
      </c>
      <c r="J19" s="1">
        <v>0.58703779233333331</v>
      </c>
      <c r="K19" s="1">
        <v>0.50907007599999998</v>
      </c>
      <c r="L19" s="1">
        <v>0.68428041399999995</v>
      </c>
      <c r="M19" s="3">
        <v>0.67454742099999998</v>
      </c>
      <c r="N19" s="1" t="s">
        <v>46</v>
      </c>
      <c r="O19" s="1">
        <v>0.98140043799999999</v>
      </c>
      <c r="P19" s="1">
        <v>38.9</v>
      </c>
      <c r="Q19" s="1">
        <v>91.4</v>
      </c>
      <c r="R19" s="1">
        <v>0.62263263699999993</v>
      </c>
      <c r="S19" s="1">
        <v>6.9970642813207432E-2</v>
      </c>
      <c r="T19" t="s">
        <v>166</v>
      </c>
      <c r="U19" s="1">
        <v>3213</v>
      </c>
      <c r="V19">
        <f t="shared" si="0"/>
        <v>0.38965674728350197</v>
      </c>
      <c r="W19" s="1">
        <f t="shared" si="1"/>
        <v>15.200000000000003</v>
      </c>
      <c r="X19">
        <f t="shared" si="2"/>
        <v>8.0173997000000052E-2</v>
      </c>
      <c r="Y19">
        <f t="shared" si="3"/>
        <v>36.900000000000006</v>
      </c>
      <c r="Z19" s="1">
        <v>12</v>
      </c>
      <c r="AA19">
        <v>88</v>
      </c>
      <c r="AB19">
        <v>0.13639999999999999</v>
      </c>
      <c r="AC19">
        <v>14</v>
      </c>
      <c r="AD19">
        <v>112</v>
      </c>
      <c r="AE19">
        <v>0.125</v>
      </c>
      <c r="AF19" t="s">
        <v>2590</v>
      </c>
      <c r="AG19" t="s">
        <v>2589</v>
      </c>
    </row>
    <row r="20" spans="1:33">
      <c r="A20" s="2" t="s">
        <v>9</v>
      </c>
      <c r="B20" s="2" t="s">
        <v>47</v>
      </c>
      <c r="C20" s="1">
        <v>0.49695889599999998</v>
      </c>
      <c r="D20">
        <v>0.62537463599999998</v>
      </c>
      <c r="E20">
        <v>0.63877984499999996</v>
      </c>
      <c r="F20" s="1" t="s">
        <v>147</v>
      </c>
      <c r="G20" s="1">
        <v>1.061574435</v>
      </c>
      <c r="H20" s="1">
        <v>54.1</v>
      </c>
      <c r="I20" s="1">
        <v>128.30000000000001</v>
      </c>
      <c r="J20" s="1">
        <v>0.58703779233333331</v>
      </c>
      <c r="K20" s="1">
        <v>0.50612154099999995</v>
      </c>
      <c r="L20" s="1">
        <v>0.55940039100000005</v>
      </c>
      <c r="M20" s="3">
        <v>0.66789001699999995</v>
      </c>
      <c r="N20" s="1" t="s">
        <v>48</v>
      </c>
      <c r="O20" s="1">
        <v>1.242622951</v>
      </c>
      <c r="P20" s="1">
        <v>17.8</v>
      </c>
      <c r="Q20" s="1">
        <v>30.5</v>
      </c>
      <c r="R20" s="1">
        <v>0.57780398300000002</v>
      </c>
      <c r="S20" s="1">
        <v>7.2690832851093568E-2</v>
      </c>
      <c r="T20" t="s">
        <v>167</v>
      </c>
      <c r="U20" s="1">
        <v>199593</v>
      </c>
      <c r="V20">
        <f t="shared" si="0"/>
        <v>0.58890503399065219</v>
      </c>
      <c r="W20" s="1">
        <f t="shared" si="1"/>
        <v>36.299999999999997</v>
      </c>
      <c r="X20">
        <f t="shared" si="2"/>
        <v>0.18104851599999994</v>
      </c>
      <c r="Y20">
        <f t="shared" si="3"/>
        <v>97.800000000000011</v>
      </c>
      <c r="Z20" s="1">
        <v>6</v>
      </c>
      <c r="AA20">
        <v>94</v>
      </c>
      <c r="AB20">
        <v>6.3799999999999996E-2</v>
      </c>
      <c r="AC20">
        <v>14</v>
      </c>
      <c r="AD20">
        <v>119</v>
      </c>
      <c r="AE20">
        <v>0.1176</v>
      </c>
      <c r="AF20" t="s">
        <v>2590</v>
      </c>
      <c r="AG20" t="s">
        <v>2590</v>
      </c>
    </row>
    <row r="21" spans="1:33">
      <c r="A21" s="2" t="s">
        <v>9</v>
      </c>
      <c r="B21" s="2" t="s">
        <v>49</v>
      </c>
      <c r="C21" s="1">
        <v>0.49695889599999998</v>
      </c>
      <c r="D21">
        <v>0.62537463599999998</v>
      </c>
      <c r="E21">
        <v>0.63877984499999996</v>
      </c>
      <c r="F21" s="1" t="s">
        <v>147</v>
      </c>
      <c r="G21" s="1">
        <v>1.061574435</v>
      </c>
      <c r="H21" s="1">
        <v>54.1</v>
      </c>
      <c r="I21" s="1">
        <v>128.30000000000001</v>
      </c>
      <c r="J21" s="1">
        <v>0.58703779233333331</v>
      </c>
      <c r="K21" s="1">
        <v>0.50647110500000003</v>
      </c>
      <c r="L21" s="1">
        <v>0.55713136799999996</v>
      </c>
      <c r="M21" s="3">
        <v>0.63402682300000002</v>
      </c>
      <c r="N21" s="1" t="s">
        <v>50</v>
      </c>
      <c r="O21" s="1">
        <v>1.876675603</v>
      </c>
      <c r="P21" s="1">
        <v>28.8</v>
      </c>
      <c r="Q21" s="1">
        <v>37.299999999999997</v>
      </c>
      <c r="R21" s="1">
        <v>0.56587643200000004</v>
      </c>
      <c r="S21" s="1">
        <v>6.9066757311401203E-2</v>
      </c>
      <c r="T21" t="s">
        <v>168</v>
      </c>
      <c r="U21" s="1">
        <v>61513</v>
      </c>
      <c r="V21">
        <f t="shared" si="0"/>
        <v>0.53210743423996998</v>
      </c>
      <c r="W21" s="1">
        <f t="shared" si="1"/>
        <v>25.3</v>
      </c>
      <c r="X21">
        <f t="shared" si="2"/>
        <v>0.81510116799999999</v>
      </c>
      <c r="Y21">
        <f t="shared" si="3"/>
        <v>91.000000000000014</v>
      </c>
      <c r="Z21" s="1">
        <v>11</v>
      </c>
      <c r="AA21">
        <v>89</v>
      </c>
      <c r="AB21">
        <v>0.1236</v>
      </c>
      <c r="AC21">
        <v>13</v>
      </c>
      <c r="AD21">
        <v>94</v>
      </c>
      <c r="AE21">
        <v>0.13830000000000001</v>
      </c>
      <c r="AF21" t="s">
        <v>2590</v>
      </c>
      <c r="AG21" t="s">
        <v>2590</v>
      </c>
    </row>
    <row r="22" spans="1:33">
      <c r="A22" s="2" t="s">
        <v>9</v>
      </c>
      <c r="B22" s="2" t="s">
        <v>51</v>
      </c>
      <c r="C22" s="1">
        <v>0.49695889599999998</v>
      </c>
      <c r="D22">
        <v>0.62537463599999998</v>
      </c>
      <c r="E22">
        <v>0.63877984499999996</v>
      </c>
      <c r="F22" s="1" t="s">
        <v>147</v>
      </c>
      <c r="G22" s="1">
        <v>1.061574435</v>
      </c>
      <c r="H22" s="1">
        <v>54.1</v>
      </c>
      <c r="I22" s="1">
        <v>128.30000000000001</v>
      </c>
      <c r="J22" s="1">
        <v>0.58703779233333331</v>
      </c>
      <c r="K22" s="1">
        <v>0.60067161999999996</v>
      </c>
      <c r="L22" s="1">
        <v>0.68094129999999997</v>
      </c>
      <c r="M22" s="3">
        <v>0.73595931299999995</v>
      </c>
      <c r="N22" s="1" t="s">
        <v>52</v>
      </c>
      <c r="O22" s="1">
        <v>1.858638743</v>
      </c>
      <c r="P22" s="1">
        <v>29.4</v>
      </c>
      <c r="Q22" s="1">
        <v>38.200000000000003</v>
      </c>
      <c r="R22" s="1">
        <v>0.67252407766666666</v>
      </c>
      <c r="S22" s="1">
        <v>0.15260351328967525</v>
      </c>
      <c r="T22" t="s">
        <v>169</v>
      </c>
      <c r="U22" s="1">
        <v>697</v>
      </c>
      <c r="V22">
        <f t="shared" si="0"/>
        <v>0.31591475312200107</v>
      </c>
      <c r="W22" s="1">
        <f t="shared" si="1"/>
        <v>24.700000000000003</v>
      </c>
      <c r="X22">
        <f t="shared" si="2"/>
        <v>0.79706430799999994</v>
      </c>
      <c r="Y22">
        <f t="shared" si="3"/>
        <v>90.100000000000009</v>
      </c>
      <c r="Z22" s="1">
        <v>3</v>
      </c>
      <c r="AA22">
        <v>97</v>
      </c>
      <c r="AB22">
        <v>3.09E-2</v>
      </c>
      <c r="AC22">
        <v>4</v>
      </c>
      <c r="AD22">
        <v>112</v>
      </c>
      <c r="AE22">
        <v>3.5700000000000003E-2</v>
      </c>
      <c r="AF22" t="s">
        <v>2590</v>
      </c>
      <c r="AG22" t="s">
        <v>2591</v>
      </c>
    </row>
    <row r="23" spans="1:33">
      <c r="A23" s="2" t="s">
        <v>9</v>
      </c>
      <c r="B23" s="2" t="s">
        <v>53</v>
      </c>
      <c r="C23" s="1">
        <v>0.49695889599999998</v>
      </c>
      <c r="D23">
        <v>0.62537463599999998</v>
      </c>
      <c r="E23">
        <v>0.63877984499999996</v>
      </c>
      <c r="F23" s="1" t="s">
        <v>147</v>
      </c>
      <c r="G23" s="1">
        <v>1.061574435</v>
      </c>
      <c r="H23" s="1">
        <v>54.1</v>
      </c>
      <c r="I23" s="1">
        <v>128.30000000000001</v>
      </c>
      <c r="J23" s="1">
        <v>0.58703779233333331</v>
      </c>
      <c r="K23" s="1">
        <v>0.54695832700000002</v>
      </c>
      <c r="L23" s="1">
        <v>0.659790137</v>
      </c>
      <c r="M23" s="3">
        <v>0.70662085500000005</v>
      </c>
      <c r="N23" s="1" t="s">
        <v>54</v>
      </c>
      <c r="O23" s="1">
        <v>2.5053995680000001</v>
      </c>
      <c r="P23" s="1">
        <v>43.9</v>
      </c>
      <c r="Q23" s="1">
        <v>46.3</v>
      </c>
      <c r="R23" s="1">
        <v>0.63778977300000006</v>
      </c>
      <c r="S23" s="1">
        <v>9.1031711217711822E-2</v>
      </c>
      <c r="T23" t="s">
        <v>170</v>
      </c>
      <c r="U23" s="1">
        <v>1698</v>
      </c>
      <c r="V23">
        <f t="shared" si="0"/>
        <v>0.35888196510088155</v>
      </c>
      <c r="W23" s="1">
        <f t="shared" si="1"/>
        <v>10.200000000000003</v>
      </c>
      <c r="X23">
        <f t="shared" si="2"/>
        <v>1.443825133</v>
      </c>
      <c r="Y23">
        <f t="shared" si="3"/>
        <v>82.000000000000014</v>
      </c>
      <c r="Z23" s="1">
        <v>1</v>
      </c>
      <c r="AA23">
        <v>99</v>
      </c>
      <c r="AB23">
        <v>1.01E-2</v>
      </c>
      <c r="AC23">
        <v>2</v>
      </c>
      <c r="AD23">
        <v>114</v>
      </c>
      <c r="AE23">
        <v>1.7500000000000002E-2</v>
      </c>
      <c r="AF23" t="s">
        <v>2590</v>
      </c>
      <c r="AG23" t="s">
        <v>2593</v>
      </c>
    </row>
    <row r="24" spans="1:33">
      <c r="A24" s="2" t="s">
        <v>9</v>
      </c>
      <c r="B24" s="2" t="s">
        <v>55</v>
      </c>
      <c r="C24" s="1">
        <v>0.49695889599999998</v>
      </c>
      <c r="D24">
        <v>0.62537463599999998</v>
      </c>
      <c r="E24">
        <v>0.63877984499999996</v>
      </c>
      <c r="F24" s="1" t="s">
        <v>147</v>
      </c>
      <c r="G24" s="1">
        <v>1.061574435</v>
      </c>
      <c r="H24" s="1">
        <v>54.1</v>
      </c>
      <c r="I24" s="1">
        <v>128.30000000000001</v>
      </c>
      <c r="J24" s="1">
        <v>0.58703779233333331</v>
      </c>
      <c r="K24" s="1">
        <v>0.52971861799999997</v>
      </c>
      <c r="L24" s="1">
        <v>0.62258244500000004</v>
      </c>
      <c r="M24" s="3">
        <v>0.63939760400000001</v>
      </c>
      <c r="N24" s="1" t="s">
        <v>56</v>
      </c>
      <c r="O24" s="1">
        <v>1.0796934869999999</v>
      </c>
      <c r="P24" s="1">
        <v>55.3</v>
      </c>
      <c r="Q24" s="1">
        <v>130.5</v>
      </c>
      <c r="R24" s="1">
        <v>0.59723288899999993</v>
      </c>
      <c r="S24" s="1">
        <v>3.2884302368757119E-2</v>
      </c>
      <c r="T24" t="s">
        <v>171</v>
      </c>
      <c r="U24" s="1">
        <v>25520</v>
      </c>
      <c r="V24">
        <f t="shared" si="0"/>
        <v>0.48965340778323607</v>
      </c>
      <c r="W24" s="1">
        <f t="shared" si="1"/>
        <v>1.1999999999999957</v>
      </c>
      <c r="X24">
        <f t="shared" si="2"/>
        <v>1.8119051999999858E-2</v>
      </c>
      <c r="Y24">
        <f t="shared" si="3"/>
        <v>2.1999999999999886</v>
      </c>
      <c r="Z24" s="1">
        <v>23</v>
      </c>
      <c r="AA24">
        <v>77</v>
      </c>
      <c r="AB24">
        <v>0.29870000000000002</v>
      </c>
      <c r="AC24">
        <v>22</v>
      </c>
      <c r="AD24">
        <v>86</v>
      </c>
      <c r="AE24">
        <v>0.25580000000000003</v>
      </c>
      <c r="AF24" t="s">
        <v>2590</v>
      </c>
      <c r="AG24" t="s">
        <v>2592</v>
      </c>
    </row>
    <row r="25" spans="1:33">
      <c r="A25" s="2" t="s">
        <v>9</v>
      </c>
      <c r="B25" s="2" t="s">
        <v>57</v>
      </c>
      <c r="C25" s="1">
        <v>0.49695889599999998</v>
      </c>
      <c r="D25">
        <v>0.62537463599999998</v>
      </c>
      <c r="E25">
        <v>0.63877984499999996</v>
      </c>
      <c r="F25" s="1" t="s">
        <v>147</v>
      </c>
      <c r="G25" s="1">
        <v>1.061574435</v>
      </c>
      <c r="H25" s="1">
        <v>54.1</v>
      </c>
      <c r="I25" s="1">
        <v>128.30000000000001</v>
      </c>
      <c r="J25" s="1">
        <v>0.58703779233333331</v>
      </c>
      <c r="K25" s="1">
        <v>0.528732855</v>
      </c>
      <c r="L25" s="1">
        <v>0.63387497599999998</v>
      </c>
      <c r="M25" s="3">
        <v>0.63337360200000004</v>
      </c>
      <c r="N25" s="1" t="s">
        <v>58</v>
      </c>
      <c r="O25" s="1">
        <v>1.386610879</v>
      </c>
      <c r="P25" s="1">
        <v>69</v>
      </c>
      <c r="Q25" s="1">
        <v>119.5</v>
      </c>
      <c r="R25" s="1">
        <v>0.59866047766666663</v>
      </c>
      <c r="S25" s="1">
        <v>3.3332682370675333E-2</v>
      </c>
      <c r="T25" t="s">
        <v>172</v>
      </c>
      <c r="U25" s="1">
        <v>6320</v>
      </c>
      <c r="V25">
        <f t="shared" si="0"/>
        <v>0.42230189758693171</v>
      </c>
      <c r="W25" s="1">
        <f t="shared" si="1"/>
        <v>14.899999999999999</v>
      </c>
      <c r="X25">
        <f t="shared" si="2"/>
        <v>0.32503644399999998</v>
      </c>
      <c r="Y25">
        <f t="shared" si="3"/>
        <v>8.8000000000000114</v>
      </c>
      <c r="Z25" s="1">
        <v>18</v>
      </c>
      <c r="AA25">
        <v>82</v>
      </c>
      <c r="AB25">
        <v>0.2195</v>
      </c>
      <c r="AC25">
        <v>20</v>
      </c>
      <c r="AD25">
        <v>94</v>
      </c>
      <c r="AE25">
        <v>0.21279999999999999</v>
      </c>
      <c r="AF25" t="s">
        <v>2590</v>
      </c>
      <c r="AG25" t="s">
        <v>2589</v>
      </c>
    </row>
    <row r="26" spans="1:33">
      <c r="A26" s="2" t="s">
        <v>9</v>
      </c>
      <c r="B26" s="2" t="s">
        <v>59</v>
      </c>
      <c r="C26" s="1">
        <v>0.49695889599999998</v>
      </c>
      <c r="D26">
        <v>0.62537463599999998</v>
      </c>
      <c r="E26">
        <v>0.63877984499999996</v>
      </c>
      <c r="F26" s="1" t="s">
        <v>147</v>
      </c>
      <c r="G26" s="1">
        <v>1.061574435</v>
      </c>
      <c r="H26" s="1">
        <v>54.1</v>
      </c>
      <c r="I26" s="1">
        <v>128.30000000000001</v>
      </c>
      <c r="J26" s="1">
        <v>0.58703779233333331</v>
      </c>
      <c r="K26" s="1">
        <v>0.56225432799999997</v>
      </c>
      <c r="L26" s="1">
        <v>0.68100706499999997</v>
      </c>
      <c r="M26" s="3">
        <v>0.67505263699999996</v>
      </c>
      <c r="N26" s="1" t="s">
        <v>60</v>
      </c>
      <c r="O26" s="1">
        <v>1.1501154730000001</v>
      </c>
      <c r="P26" s="1">
        <v>60.5</v>
      </c>
      <c r="Q26" s="1">
        <v>129.9</v>
      </c>
      <c r="R26" s="1">
        <v>0.63943801</v>
      </c>
      <c r="S26" s="1">
        <v>9.3135256675342476E-2</v>
      </c>
      <c r="T26" t="s">
        <v>173</v>
      </c>
      <c r="U26" s="1">
        <v>8062</v>
      </c>
      <c r="V26">
        <f t="shared" si="0"/>
        <v>0.43404919931300356</v>
      </c>
      <c r="W26" s="1">
        <f t="shared" si="1"/>
        <v>6.3999999999999986</v>
      </c>
      <c r="X26">
        <f t="shared" si="2"/>
        <v>8.8541038000000016E-2</v>
      </c>
      <c r="Y26">
        <f t="shared" si="3"/>
        <v>1.5999999999999943</v>
      </c>
      <c r="Z26" s="1">
        <v>14</v>
      </c>
      <c r="AA26">
        <v>86</v>
      </c>
      <c r="AB26">
        <v>0.1628</v>
      </c>
      <c r="AC26">
        <v>24</v>
      </c>
      <c r="AD26">
        <v>109</v>
      </c>
      <c r="AE26">
        <v>0.22020000000000001</v>
      </c>
      <c r="AF26" t="s">
        <v>2590</v>
      </c>
      <c r="AG26" t="s">
        <v>2589</v>
      </c>
    </row>
    <row r="27" spans="1:33">
      <c r="A27" s="2" t="s">
        <v>9</v>
      </c>
      <c r="B27" s="2" t="s">
        <v>61</v>
      </c>
      <c r="C27" s="1">
        <v>0.49695889599999998</v>
      </c>
      <c r="D27">
        <v>0.62537463599999998</v>
      </c>
      <c r="E27">
        <v>0.63877984499999996</v>
      </c>
      <c r="F27" s="1" t="s">
        <v>147</v>
      </c>
      <c r="G27" s="1">
        <v>1.061574435</v>
      </c>
      <c r="H27" s="1">
        <v>54.1</v>
      </c>
      <c r="I27" s="1">
        <v>128.30000000000001</v>
      </c>
      <c r="J27" s="1">
        <v>0.58703779233333331</v>
      </c>
      <c r="K27" s="1">
        <v>0.62063455999999995</v>
      </c>
      <c r="L27" s="1">
        <v>0.67798104299999995</v>
      </c>
      <c r="M27" s="3">
        <v>0.72175371600000005</v>
      </c>
      <c r="N27" s="1" t="s">
        <v>62</v>
      </c>
      <c r="O27" s="1">
        <v>7.5471698109999998</v>
      </c>
      <c r="P27" s="1">
        <v>26.4</v>
      </c>
      <c r="Q27" s="1">
        <v>10.6</v>
      </c>
      <c r="R27" s="1">
        <v>0.6734564396666668</v>
      </c>
      <c r="S27" s="1">
        <v>0.15794862200100129</v>
      </c>
      <c r="T27" t="s">
        <v>174</v>
      </c>
      <c r="U27" s="1">
        <v>9958</v>
      </c>
      <c r="V27">
        <f t="shared" si="0"/>
        <v>0.44424134688216005</v>
      </c>
      <c r="W27" s="1">
        <f t="shared" si="1"/>
        <v>27.700000000000003</v>
      </c>
      <c r="X27">
        <f t="shared" si="2"/>
        <v>6.485595376</v>
      </c>
      <c r="Y27">
        <f t="shared" si="3"/>
        <v>117.70000000000002</v>
      </c>
      <c r="Z27" s="1">
        <v>0</v>
      </c>
      <c r="AA27">
        <v>100</v>
      </c>
      <c r="AB27">
        <v>0</v>
      </c>
      <c r="AC27">
        <v>0</v>
      </c>
      <c r="AD27">
        <v>108</v>
      </c>
      <c r="AE27">
        <v>0</v>
      </c>
      <c r="AF27" t="s">
        <v>2590</v>
      </c>
      <c r="AG27" t="s">
        <v>2588</v>
      </c>
    </row>
    <row r="28" spans="1:33">
      <c r="A28" s="2" t="s">
        <v>9</v>
      </c>
      <c r="B28" s="2" t="s">
        <v>63</v>
      </c>
      <c r="C28" s="1">
        <v>0.49695889599999998</v>
      </c>
      <c r="D28">
        <v>0.62537463599999998</v>
      </c>
      <c r="E28">
        <v>0.63877984499999996</v>
      </c>
      <c r="F28" s="1" t="s">
        <v>147</v>
      </c>
      <c r="G28" s="1">
        <v>1.061574435</v>
      </c>
      <c r="H28" s="1">
        <v>54.1</v>
      </c>
      <c r="I28" s="1">
        <v>128.30000000000001</v>
      </c>
      <c r="J28" s="1">
        <v>0.58703779233333331</v>
      </c>
      <c r="K28" s="1">
        <v>0.44311141399999998</v>
      </c>
      <c r="L28" s="1">
        <v>0.57053969199999999</v>
      </c>
      <c r="M28" s="3">
        <v>0.59266330599999995</v>
      </c>
      <c r="N28" s="1" t="s">
        <v>64</v>
      </c>
      <c r="O28" s="1">
        <v>0.89618138400000003</v>
      </c>
      <c r="P28" s="1">
        <v>29.7</v>
      </c>
      <c r="Q28" s="1">
        <v>83.8</v>
      </c>
      <c r="R28" s="1">
        <v>0.53543813733333334</v>
      </c>
      <c r="S28" s="1">
        <v>8.9627883889791704E-2</v>
      </c>
      <c r="T28" t="s">
        <v>175</v>
      </c>
      <c r="U28" s="1">
        <v>24244</v>
      </c>
      <c r="V28">
        <f t="shared" si="0"/>
        <v>0.48717825281533028</v>
      </c>
      <c r="W28" s="1">
        <f t="shared" si="1"/>
        <v>24.400000000000002</v>
      </c>
      <c r="X28">
        <f t="shared" si="2"/>
        <v>0.16539305100000001</v>
      </c>
      <c r="Y28">
        <f t="shared" si="3"/>
        <v>44.500000000000014</v>
      </c>
      <c r="Z28" s="1">
        <v>17</v>
      </c>
      <c r="AA28">
        <v>83</v>
      </c>
      <c r="AB28">
        <v>0.20480000000000001</v>
      </c>
      <c r="AC28">
        <v>19</v>
      </c>
      <c r="AD28">
        <v>96</v>
      </c>
      <c r="AE28">
        <v>0.19789999999999999</v>
      </c>
      <c r="AF28" t="s">
        <v>2590</v>
      </c>
      <c r="AG28" t="s">
        <v>2590</v>
      </c>
    </row>
    <row r="29" spans="1:33">
      <c r="A29" s="2" t="s">
        <v>9</v>
      </c>
      <c r="B29" s="2" t="s">
        <v>65</v>
      </c>
      <c r="C29" s="1">
        <v>0.49695889599999998</v>
      </c>
      <c r="D29">
        <v>0.62537463599999998</v>
      </c>
      <c r="E29">
        <v>0.63877984499999996</v>
      </c>
      <c r="F29" s="1" t="s">
        <v>147</v>
      </c>
      <c r="G29" s="1">
        <v>1.061574435</v>
      </c>
      <c r="H29" s="1">
        <v>54.1</v>
      </c>
      <c r="I29" s="1">
        <v>128.30000000000001</v>
      </c>
      <c r="J29" s="1">
        <v>0.58703779233333331</v>
      </c>
      <c r="K29" s="1">
        <v>0.67377447499999998</v>
      </c>
      <c r="L29" s="1">
        <v>0.69144672900000004</v>
      </c>
      <c r="M29" s="3">
        <v>0.73046409700000003</v>
      </c>
      <c r="N29" s="1" t="s">
        <v>66</v>
      </c>
      <c r="O29" s="1">
        <v>1.8507462690000001</v>
      </c>
      <c r="P29" s="1">
        <v>34.5</v>
      </c>
      <c r="Q29" s="1">
        <v>46.9</v>
      </c>
      <c r="R29" s="1">
        <v>0.69856176700000006</v>
      </c>
      <c r="S29" s="1">
        <v>0.20984583035005822</v>
      </c>
      <c r="T29" t="s">
        <v>176</v>
      </c>
      <c r="U29" s="1">
        <v>589</v>
      </c>
      <c r="V29">
        <f t="shared" si="0"/>
        <v>0.30779058830967793</v>
      </c>
      <c r="W29" s="1">
        <f t="shared" si="1"/>
        <v>19.600000000000001</v>
      </c>
      <c r="X29">
        <f t="shared" si="2"/>
        <v>0.78917183400000002</v>
      </c>
      <c r="Y29">
        <f t="shared" si="3"/>
        <v>81.400000000000006</v>
      </c>
      <c r="Z29" s="1">
        <v>0</v>
      </c>
      <c r="AA29">
        <v>100</v>
      </c>
      <c r="AB29">
        <v>0</v>
      </c>
      <c r="AC29">
        <v>0</v>
      </c>
      <c r="AD29">
        <v>97</v>
      </c>
      <c r="AE29">
        <v>0</v>
      </c>
      <c r="AF29" t="s">
        <v>2590</v>
      </c>
      <c r="AG29" t="s">
        <v>2593</v>
      </c>
    </row>
    <row r="30" spans="1:33">
      <c r="A30" s="2" t="s">
        <v>9</v>
      </c>
      <c r="B30" s="2" t="s">
        <v>67</v>
      </c>
      <c r="C30" s="1">
        <v>0.49695889599999998</v>
      </c>
      <c r="D30">
        <v>0.62537463599999998</v>
      </c>
      <c r="E30">
        <v>0.63877984499999996</v>
      </c>
      <c r="F30" s="1" t="s">
        <v>147</v>
      </c>
      <c r="G30" s="1">
        <v>1.061574435</v>
      </c>
      <c r="H30" s="1">
        <v>54.1</v>
      </c>
      <c r="I30" s="1">
        <v>128.30000000000001</v>
      </c>
      <c r="J30" s="1">
        <v>0.58703779233333331</v>
      </c>
      <c r="K30" s="1">
        <v>0.53971122199999999</v>
      </c>
      <c r="L30" s="1">
        <v>0.621203065</v>
      </c>
      <c r="M30" s="3">
        <v>0.67806811499999997</v>
      </c>
      <c r="N30" s="1" t="s">
        <v>68</v>
      </c>
      <c r="O30" s="1">
        <v>1.5131894480000001</v>
      </c>
      <c r="P30" s="1">
        <v>27.2</v>
      </c>
      <c r="Q30" s="1">
        <v>41.7</v>
      </c>
      <c r="R30" s="1">
        <v>0.61299413400000002</v>
      </c>
      <c r="S30" s="1">
        <v>5.8212812529641778E-2</v>
      </c>
      <c r="T30" t="s">
        <v>177</v>
      </c>
      <c r="U30" s="1">
        <v>15779</v>
      </c>
      <c r="V30">
        <f t="shared" si="0"/>
        <v>0.46645327513011459</v>
      </c>
      <c r="W30" s="1">
        <f t="shared" si="1"/>
        <v>26.900000000000002</v>
      </c>
      <c r="X30">
        <f t="shared" si="2"/>
        <v>0.45161501300000007</v>
      </c>
      <c r="Y30">
        <f t="shared" si="3"/>
        <v>86.600000000000009</v>
      </c>
      <c r="Z30" s="1">
        <v>1</v>
      </c>
      <c r="AA30">
        <v>99</v>
      </c>
      <c r="AB30">
        <v>1.01E-2</v>
      </c>
      <c r="AC30">
        <v>2</v>
      </c>
      <c r="AD30">
        <v>106</v>
      </c>
      <c r="AE30">
        <v>1.89E-2</v>
      </c>
      <c r="AF30" t="s">
        <v>2590</v>
      </c>
      <c r="AG30" t="s">
        <v>2588</v>
      </c>
    </row>
    <row r="31" spans="1:33">
      <c r="A31" s="2" t="s">
        <v>9</v>
      </c>
      <c r="B31" s="2" t="s">
        <v>69</v>
      </c>
      <c r="C31" s="1">
        <v>0.49695889599999998</v>
      </c>
      <c r="D31">
        <v>0.62537463599999998</v>
      </c>
      <c r="E31">
        <v>0.63877984499999996</v>
      </c>
      <c r="F31" s="1" t="s">
        <v>147</v>
      </c>
      <c r="G31" s="1">
        <v>1.061574435</v>
      </c>
      <c r="H31" s="1">
        <v>54.1</v>
      </c>
      <c r="I31" s="1">
        <v>128.30000000000001</v>
      </c>
      <c r="J31" s="1">
        <v>0.58703779233333331</v>
      </c>
      <c r="K31" s="1">
        <v>0.50188385300000005</v>
      </c>
      <c r="L31" s="1">
        <v>0.64580031500000001</v>
      </c>
      <c r="M31" s="3">
        <v>0.66006355800000005</v>
      </c>
      <c r="N31" s="1" t="s">
        <v>70</v>
      </c>
      <c r="O31" s="1">
        <v>1.2401055409999999</v>
      </c>
      <c r="P31" s="1">
        <v>43.4</v>
      </c>
      <c r="Q31" s="1">
        <v>75.8</v>
      </c>
      <c r="R31" s="1">
        <v>0.60258257533333337</v>
      </c>
      <c r="S31" s="1">
        <v>2.9907524189228114E-2</v>
      </c>
      <c r="T31" t="s">
        <v>178</v>
      </c>
      <c r="U31" s="1">
        <v>6576</v>
      </c>
      <c r="V31">
        <f t="shared" si="0"/>
        <v>0.42421797828133267</v>
      </c>
      <c r="W31" s="1">
        <f t="shared" si="1"/>
        <v>10.700000000000003</v>
      </c>
      <c r="X31">
        <f t="shared" si="2"/>
        <v>0.17853110599999988</v>
      </c>
      <c r="Y31">
        <f t="shared" si="3"/>
        <v>52.500000000000014</v>
      </c>
      <c r="Z31" s="1">
        <v>21</v>
      </c>
      <c r="AA31">
        <v>79</v>
      </c>
      <c r="AB31">
        <v>0.26579999999999998</v>
      </c>
      <c r="AC31">
        <v>24</v>
      </c>
      <c r="AD31">
        <v>91</v>
      </c>
      <c r="AE31">
        <v>0.26369999999999999</v>
      </c>
      <c r="AF31" t="s">
        <v>2590</v>
      </c>
      <c r="AG31" t="s">
        <v>2589</v>
      </c>
    </row>
    <row r="32" spans="1:33">
      <c r="A32" s="2" t="s">
        <v>9</v>
      </c>
      <c r="B32" s="2" t="s">
        <v>71</v>
      </c>
      <c r="C32" s="1">
        <v>0.49695889599999998</v>
      </c>
      <c r="D32">
        <v>0.62537463599999998</v>
      </c>
      <c r="E32">
        <v>0.63877984499999996</v>
      </c>
      <c r="F32" s="1" t="s">
        <v>147</v>
      </c>
      <c r="G32" s="1">
        <v>1.061574435</v>
      </c>
      <c r="H32" s="1">
        <v>54.1</v>
      </c>
      <c r="I32" s="1">
        <v>128.30000000000001</v>
      </c>
      <c r="J32" s="1">
        <v>0.58703779233333331</v>
      </c>
      <c r="K32" s="1">
        <v>0.53267569100000001</v>
      </c>
      <c r="L32" s="1">
        <v>0.64507433599999997</v>
      </c>
      <c r="M32" s="3">
        <v>0.66598465100000004</v>
      </c>
      <c r="N32" s="1" t="s">
        <v>72</v>
      </c>
      <c r="O32" s="1">
        <v>0.97289666900000005</v>
      </c>
      <c r="P32" s="1">
        <v>64.8</v>
      </c>
      <c r="Q32" s="1">
        <v>177.1</v>
      </c>
      <c r="R32" s="1">
        <v>0.61457822600000001</v>
      </c>
      <c r="S32" s="1">
        <v>4.9029267735299358E-2</v>
      </c>
      <c r="T32" t="s">
        <v>179</v>
      </c>
      <c r="U32" s="1">
        <v>12772</v>
      </c>
      <c r="V32">
        <f t="shared" si="0"/>
        <v>0.45625098998526753</v>
      </c>
      <c r="W32" s="1">
        <f t="shared" si="1"/>
        <v>10.699999999999996</v>
      </c>
      <c r="X32">
        <f t="shared" si="2"/>
        <v>8.8677765999999991E-2</v>
      </c>
      <c r="Y32">
        <f t="shared" si="3"/>
        <v>48.799999999999983</v>
      </c>
      <c r="Z32" s="1">
        <v>20</v>
      </c>
      <c r="AA32">
        <v>80</v>
      </c>
      <c r="AB32">
        <v>0.25</v>
      </c>
      <c r="AC32">
        <v>30</v>
      </c>
      <c r="AD32">
        <v>96</v>
      </c>
      <c r="AE32">
        <v>0.3125</v>
      </c>
      <c r="AF32" t="s">
        <v>2590</v>
      </c>
      <c r="AG32" t="s">
        <v>2589</v>
      </c>
    </row>
    <row r="33" spans="1:33">
      <c r="A33" s="2" t="s">
        <v>9</v>
      </c>
      <c r="B33" s="2" t="s">
        <v>73</v>
      </c>
      <c r="C33" s="1">
        <v>0.49695889599999998</v>
      </c>
      <c r="D33">
        <v>0.62537463599999998</v>
      </c>
      <c r="E33">
        <v>0.63877984499999996</v>
      </c>
      <c r="F33" s="1" t="s">
        <v>147</v>
      </c>
      <c r="G33" s="1">
        <v>1.061574435</v>
      </c>
      <c r="H33" s="1">
        <v>54.1</v>
      </c>
      <c r="I33" s="1">
        <v>128.30000000000001</v>
      </c>
      <c r="J33" s="1">
        <v>0.58703779233333331</v>
      </c>
      <c r="K33" s="1">
        <v>0.55697925299999995</v>
      </c>
      <c r="L33" s="1">
        <v>0.64461978399999997</v>
      </c>
      <c r="M33" s="3">
        <v>0.69570690000000002</v>
      </c>
      <c r="N33" s="1" t="s">
        <v>74</v>
      </c>
      <c r="O33" s="1">
        <v>1.23433584</v>
      </c>
      <c r="P33" s="1">
        <v>44</v>
      </c>
      <c r="Q33" s="1">
        <v>79.8</v>
      </c>
      <c r="R33" s="1">
        <v>0.63243531233333328</v>
      </c>
      <c r="S33" s="1">
        <v>8.4932376435152113E-2</v>
      </c>
      <c r="T33" t="s">
        <v>180</v>
      </c>
      <c r="U33" s="1">
        <v>4624</v>
      </c>
      <c r="V33">
        <f t="shared" si="0"/>
        <v>0.40722420282360811</v>
      </c>
      <c r="W33" s="1">
        <f t="shared" si="1"/>
        <v>10.100000000000001</v>
      </c>
      <c r="X33">
        <f t="shared" si="2"/>
        <v>0.17276140499999992</v>
      </c>
      <c r="Y33">
        <f t="shared" si="3"/>
        <v>48.500000000000014</v>
      </c>
      <c r="Z33" s="1">
        <v>16</v>
      </c>
      <c r="AA33">
        <v>84</v>
      </c>
      <c r="AB33">
        <v>0.1905</v>
      </c>
      <c r="AC33">
        <v>19</v>
      </c>
      <c r="AD33">
        <v>92</v>
      </c>
      <c r="AE33">
        <v>0.20649999999999999</v>
      </c>
      <c r="AF33" t="s">
        <v>2590</v>
      </c>
      <c r="AG33" t="s">
        <v>2589</v>
      </c>
    </row>
    <row r="34" spans="1:33">
      <c r="A34" s="2" t="s">
        <v>9</v>
      </c>
      <c r="B34" s="2" t="s">
        <v>75</v>
      </c>
      <c r="C34" s="1">
        <v>0.49695889599999998</v>
      </c>
      <c r="D34">
        <v>0.62537463599999998</v>
      </c>
      <c r="E34">
        <v>0.63877984499999996</v>
      </c>
      <c r="F34" s="1" t="s">
        <v>147</v>
      </c>
      <c r="G34" s="1">
        <v>1.061574435</v>
      </c>
      <c r="H34" s="1">
        <v>54.1</v>
      </c>
      <c r="I34" s="1">
        <v>128.30000000000001</v>
      </c>
      <c r="J34" s="1">
        <v>0.58703779233333331</v>
      </c>
      <c r="K34" s="1">
        <v>0.50354843500000002</v>
      </c>
      <c r="L34" s="1">
        <v>0.59724402499999996</v>
      </c>
      <c r="M34" s="3">
        <v>0.70308254199999998</v>
      </c>
      <c r="N34" s="1" t="s">
        <v>76</v>
      </c>
      <c r="O34" s="1">
        <v>1.2696850390000001</v>
      </c>
      <c r="P34" s="1">
        <v>26.6</v>
      </c>
      <c r="Q34" s="1">
        <v>50.8</v>
      </c>
      <c r="R34" s="1">
        <v>0.60129166733333339</v>
      </c>
      <c r="S34" s="1">
        <v>7.0495319993171573E-2</v>
      </c>
      <c r="T34" t="s">
        <v>181</v>
      </c>
      <c r="U34" s="1">
        <v>7067</v>
      </c>
      <c r="V34">
        <f t="shared" si="0"/>
        <v>0.42769278792385806</v>
      </c>
      <c r="W34" s="1">
        <f t="shared" si="1"/>
        <v>27.5</v>
      </c>
      <c r="X34">
        <f t="shared" si="2"/>
        <v>0.20811060400000003</v>
      </c>
      <c r="Y34">
        <f t="shared" si="3"/>
        <v>77.500000000000014</v>
      </c>
      <c r="Z34" s="1">
        <v>7</v>
      </c>
      <c r="AA34">
        <v>93</v>
      </c>
      <c r="AB34">
        <v>7.5300000000000006E-2</v>
      </c>
      <c r="AC34">
        <v>9</v>
      </c>
      <c r="AD34">
        <v>102</v>
      </c>
      <c r="AE34">
        <v>8.8200000000000001E-2</v>
      </c>
      <c r="AF34" t="s">
        <v>2590</v>
      </c>
      <c r="AG34" t="s">
        <v>2594</v>
      </c>
    </row>
    <row r="35" spans="1:33">
      <c r="A35" s="2" t="s">
        <v>9</v>
      </c>
      <c r="B35" s="2" t="s">
        <v>77</v>
      </c>
      <c r="C35" s="1">
        <v>0.49695889599999998</v>
      </c>
      <c r="D35">
        <v>0.62537463599999998</v>
      </c>
      <c r="E35">
        <v>0.63877984499999996</v>
      </c>
      <c r="F35" s="1" t="s">
        <v>147</v>
      </c>
      <c r="G35" s="1">
        <v>1.061574435</v>
      </c>
      <c r="H35" s="1">
        <v>54.1</v>
      </c>
      <c r="I35" s="1">
        <v>128.30000000000001</v>
      </c>
      <c r="J35" s="1">
        <v>0.58703779233333331</v>
      </c>
      <c r="K35" s="1">
        <v>0.54630843299999998</v>
      </c>
      <c r="L35" s="1">
        <v>0.68935555900000001</v>
      </c>
      <c r="M35" s="3">
        <v>0.65478744899999997</v>
      </c>
      <c r="N35" s="1" t="s">
        <v>78</v>
      </c>
      <c r="O35" s="1">
        <v>1.3914285710000001</v>
      </c>
      <c r="P35" s="1">
        <v>56.5</v>
      </c>
      <c r="Q35" s="1">
        <v>105</v>
      </c>
      <c r="R35" s="1">
        <v>0.63015048033333343</v>
      </c>
      <c r="S35" s="1">
        <v>8.2372196133568734E-2</v>
      </c>
      <c r="T35" t="s">
        <v>182</v>
      </c>
      <c r="U35" s="1">
        <v>10339</v>
      </c>
      <c r="V35">
        <f t="shared" si="0"/>
        <v>0.44605317059180066</v>
      </c>
      <c r="W35" s="1">
        <f t="shared" si="1"/>
        <v>2.3999999999999986</v>
      </c>
      <c r="X35">
        <f t="shared" si="2"/>
        <v>0.32985413600000002</v>
      </c>
      <c r="Y35">
        <f t="shared" si="3"/>
        <v>23.300000000000011</v>
      </c>
      <c r="Z35" s="1">
        <v>6</v>
      </c>
      <c r="AA35">
        <v>94</v>
      </c>
      <c r="AB35">
        <v>6.3799999999999996E-2</v>
      </c>
      <c r="AC35">
        <v>8</v>
      </c>
      <c r="AD35">
        <v>92</v>
      </c>
      <c r="AE35">
        <v>8.6999999999999994E-2</v>
      </c>
      <c r="AF35" t="s">
        <v>2590</v>
      </c>
      <c r="AG35" t="s">
        <v>2590</v>
      </c>
    </row>
    <row r="36" spans="1:33">
      <c r="A36" s="2" t="s">
        <v>9</v>
      </c>
      <c r="B36" s="2" t="s">
        <v>79</v>
      </c>
      <c r="C36" s="1">
        <v>0.49695889599999998</v>
      </c>
      <c r="D36">
        <v>0.62537463599999998</v>
      </c>
      <c r="E36">
        <v>0.63877984499999996</v>
      </c>
      <c r="F36" s="1" t="s">
        <v>147</v>
      </c>
      <c r="G36" s="1">
        <v>1.061574435</v>
      </c>
      <c r="H36" s="1">
        <v>54.1</v>
      </c>
      <c r="I36" s="1">
        <v>128.30000000000001</v>
      </c>
      <c r="J36" s="1">
        <v>0.58703779233333331</v>
      </c>
      <c r="K36" s="1">
        <v>0.63652882899999996</v>
      </c>
      <c r="L36" s="1">
        <v>0.77536518600000004</v>
      </c>
      <c r="M36" s="3">
        <v>0.610415606</v>
      </c>
      <c r="N36" s="1" t="s">
        <v>80</v>
      </c>
      <c r="O36" s="1">
        <v>0.95325542600000002</v>
      </c>
      <c r="P36" s="1">
        <v>45.6</v>
      </c>
      <c r="Q36" s="1">
        <v>119.8</v>
      </c>
      <c r="R36" s="1">
        <v>0.67410320700000004</v>
      </c>
      <c r="S36" s="1">
        <v>0.20683679880760125</v>
      </c>
      <c r="T36" t="s">
        <v>183</v>
      </c>
      <c r="U36" s="1">
        <v>12666</v>
      </c>
      <c r="V36">
        <f t="shared" si="0"/>
        <v>0.4558488315212556</v>
      </c>
      <c r="W36" s="1">
        <f t="shared" si="1"/>
        <v>8.5</v>
      </c>
      <c r="X36">
        <f t="shared" si="2"/>
        <v>0.10831900900000002</v>
      </c>
      <c r="Y36">
        <f t="shared" si="3"/>
        <v>8.5000000000000142</v>
      </c>
      <c r="Z36" s="1">
        <v>2</v>
      </c>
      <c r="AA36">
        <v>98</v>
      </c>
      <c r="AB36">
        <v>2.0400000000000001E-2</v>
      </c>
      <c r="AC36">
        <v>3</v>
      </c>
      <c r="AD36">
        <v>88</v>
      </c>
      <c r="AE36">
        <v>3.4099999999999998E-2</v>
      </c>
      <c r="AF36" t="s">
        <v>2590</v>
      </c>
      <c r="AG36" t="s">
        <v>2590</v>
      </c>
    </row>
    <row r="37" spans="1:33">
      <c r="A37" s="2" t="s">
        <v>9</v>
      </c>
      <c r="B37" s="2" t="s">
        <v>81</v>
      </c>
      <c r="C37" s="1">
        <v>0.49695889599999998</v>
      </c>
      <c r="D37">
        <v>0.62537463599999998</v>
      </c>
      <c r="E37">
        <v>0.63877984499999996</v>
      </c>
      <c r="F37" s="1" t="s">
        <v>147</v>
      </c>
      <c r="G37" s="1">
        <v>1.061574435</v>
      </c>
      <c r="H37" s="1">
        <v>54.1</v>
      </c>
      <c r="I37" s="1">
        <v>128.30000000000001</v>
      </c>
      <c r="J37" s="1">
        <v>0.58703779233333331</v>
      </c>
      <c r="K37" s="1">
        <v>0.50183280699999999</v>
      </c>
      <c r="L37" s="1">
        <v>0.68550824600000004</v>
      </c>
      <c r="M37" s="3">
        <v>0.66941488999999998</v>
      </c>
      <c r="N37" s="1" t="s">
        <v>82</v>
      </c>
      <c r="O37" s="1">
        <v>1.4359576970000001</v>
      </c>
      <c r="P37" s="1">
        <v>51</v>
      </c>
      <c r="Q37" s="1">
        <v>85.1</v>
      </c>
      <c r="R37" s="1">
        <v>0.61891864766666671</v>
      </c>
      <c r="S37" s="1">
        <v>6.7663225183404133E-2</v>
      </c>
      <c r="T37" t="s">
        <v>184</v>
      </c>
      <c r="U37" s="1">
        <v>11089</v>
      </c>
      <c r="V37">
        <f t="shared" si="0"/>
        <v>0.44943248705270666</v>
      </c>
      <c r="W37" s="1">
        <f t="shared" si="1"/>
        <v>3.1000000000000014</v>
      </c>
      <c r="X37">
        <f t="shared" si="2"/>
        <v>0.37438326200000005</v>
      </c>
      <c r="Y37">
        <f t="shared" si="3"/>
        <v>43.200000000000017</v>
      </c>
      <c r="Z37" s="1">
        <v>0</v>
      </c>
      <c r="AA37">
        <v>100</v>
      </c>
      <c r="AB37">
        <v>0</v>
      </c>
      <c r="AC37">
        <v>0</v>
      </c>
      <c r="AD37">
        <v>102</v>
      </c>
      <c r="AE37">
        <v>0</v>
      </c>
      <c r="AF37" t="s">
        <v>2590</v>
      </c>
      <c r="AG37" t="s">
        <v>2589</v>
      </c>
    </row>
    <row r="38" spans="1:33">
      <c r="A38" s="2" t="s">
        <v>9</v>
      </c>
      <c r="B38" s="2" t="s">
        <v>83</v>
      </c>
      <c r="C38" s="1">
        <v>0.49695889599999998</v>
      </c>
      <c r="D38">
        <v>0.62537463599999998</v>
      </c>
      <c r="E38">
        <v>0.63877984499999996</v>
      </c>
      <c r="F38" s="1" t="s">
        <v>147</v>
      </c>
      <c r="G38" s="1">
        <v>1.061574435</v>
      </c>
      <c r="H38" s="1">
        <v>54.1</v>
      </c>
      <c r="I38" s="1">
        <v>128.30000000000001</v>
      </c>
      <c r="J38" s="1">
        <v>0.58703779233333331</v>
      </c>
      <c r="K38" s="1">
        <v>0.51815179099999997</v>
      </c>
      <c r="L38" s="1">
        <v>0.50115949400000004</v>
      </c>
      <c r="M38" s="3">
        <v>0.68053170600000001</v>
      </c>
      <c r="N38" s="1" t="s">
        <v>84</v>
      </c>
      <c r="O38" s="1">
        <v>1.760323887</v>
      </c>
      <c r="P38" s="1">
        <v>83.4</v>
      </c>
      <c r="Q38" s="1">
        <v>123.5</v>
      </c>
      <c r="R38" s="1">
        <v>0.56661433033333342</v>
      </c>
      <c r="S38" s="1">
        <v>0.13274697057757853</v>
      </c>
      <c r="T38" t="s">
        <v>185</v>
      </c>
      <c r="U38" s="1">
        <v>7069</v>
      </c>
      <c r="V38">
        <f t="shared" si="0"/>
        <v>0.42770644240681099</v>
      </c>
      <c r="W38" s="1">
        <f t="shared" si="1"/>
        <v>29.300000000000004</v>
      </c>
      <c r="X38">
        <f t="shared" si="2"/>
        <v>0.69874945199999994</v>
      </c>
      <c r="Y38">
        <f t="shared" si="3"/>
        <v>4.8000000000000114</v>
      </c>
      <c r="Z38" s="1">
        <v>7</v>
      </c>
      <c r="AA38">
        <v>93</v>
      </c>
      <c r="AB38">
        <v>7.5300000000000006E-2</v>
      </c>
      <c r="AC38">
        <v>8</v>
      </c>
      <c r="AD38">
        <v>89</v>
      </c>
      <c r="AE38">
        <v>8.9899999999999994E-2</v>
      </c>
      <c r="AF38" t="s">
        <v>2590</v>
      </c>
      <c r="AG38" t="s">
        <v>2589</v>
      </c>
    </row>
    <row r="39" spans="1:33">
      <c r="A39" s="2" t="s">
        <v>9</v>
      </c>
      <c r="B39" s="2" t="s">
        <v>85</v>
      </c>
      <c r="C39" s="1">
        <v>0.49695889599999998</v>
      </c>
      <c r="D39">
        <v>0.62537463599999998</v>
      </c>
      <c r="E39">
        <v>0.63877984499999996</v>
      </c>
      <c r="F39" s="1" t="s">
        <v>147</v>
      </c>
      <c r="G39" s="1">
        <v>1.061574435</v>
      </c>
      <c r="H39" s="1">
        <v>54.1</v>
      </c>
      <c r="I39" s="1">
        <v>128.30000000000001</v>
      </c>
      <c r="J39" s="1">
        <v>0.58703779233333331</v>
      </c>
      <c r="K39" s="1">
        <v>0.522280945</v>
      </c>
      <c r="L39" s="1">
        <v>0.58016629799999997</v>
      </c>
      <c r="M39" s="3">
        <v>0.62446713499999995</v>
      </c>
      <c r="N39" s="1" t="s">
        <v>86</v>
      </c>
      <c r="O39" s="1">
        <v>0.57177615599999998</v>
      </c>
      <c r="P39" s="1">
        <v>19.5</v>
      </c>
      <c r="Q39" s="1">
        <v>82.2</v>
      </c>
      <c r="R39" s="1">
        <v>0.57563812599999997</v>
      </c>
      <c r="S39" s="1">
        <v>5.3757359103891511E-2</v>
      </c>
      <c r="T39" t="s">
        <v>186</v>
      </c>
      <c r="U39" s="1">
        <v>53959</v>
      </c>
      <c r="V39">
        <f t="shared" si="0"/>
        <v>0.52578487694145171</v>
      </c>
      <c r="W39" s="1">
        <f t="shared" si="1"/>
        <v>34.6</v>
      </c>
      <c r="X39">
        <f t="shared" si="2"/>
        <v>0.48979827900000006</v>
      </c>
      <c r="Y39">
        <f t="shared" si="3"/>
        <v>46.100000000000009</v>
      </c>
      <c r="Z39" s="1">
        <v>6</v>
      </c>
      <c r="AA39">
        <v>94</v>
      </c>
      <c r="AB39">
        <v>6.3799999999999996E-2</v>
      </c>
      <c r="AC39">
        <v>14</v>
      </c>
      <c r="AD39">
        <v>148</v>
      </c>
      <c r="AE39">
        <v>9.4600000000000004E-2</v>
      </c>
      <c r="AF39" t="s">
        <v>2590</v>
      </c>
      <c r="AG39" t="s">
        <v>2590</v>
      </c>
    </row>
    <row r="40" spans="1:33">
      <c r="A40" s="2" t="s">
        <v>9</v>
      </c>
      <c r="B40" s="2" t="s">
        <v>87</v>
      </c>
      <c r="C40" s="1">
        <v>0.49695889599999998</v>
      </c>
      <c r="D40">
        <v>0.62537463599999998</v>
      </c>
      <c r="E40">
        <v>0.63877984499999996</v>
      </c>
      <c r="F40" s="1" t="s">
        <v>147</v>
      </c>
      <c r="G40" s="1">
        <v>1.061574435</v>
      </c>
      <c r="H40" s="1">
        <v>54.1</v>
      </c>
      <c r="I40" s="1">
        <v>128.30000000000001</v>
      </c>
      <c r="J40" s="1">
        <v>0.58703779233333331</v>
      </c>
      <c r="K40" s="1">
        <v>0.46780425199999998</v>
      </c>
      <c r="L40" s="1">
        <v>0.54149707400000002</v>
      </c>
      <c r="M40" s="3">
        <v>0.61626236400000001</v>
      </c>
      <c r="N40" s="1" t="s">
        <v>88</v>
      </c>
      <c r="O40" s="1">
        <v>1.395454545</v>
      </c>
      <c r="P40" s="1">
        <v>65.2</v>
      </c>
      <c r="Q40" s="1">
        <v>110</v>
      </c>
      <c r="R40" s="1">
        <v>0.54185456333333337</v>
      </c>
      <c r="S40" s="1">
        <v>9.1610455868399276E-2</v>
      </c>
      <c r="T40" t="s">
        <v>187</v>
      </c>
      <c r="U40" s="1">
        <v>12805</v>
      </c>
      <c r="V40">
        <f t="shared" si="0"/>
        <v>0.45637550920049424</v>
      </c>
      <c r="W40" s="1">
        <f t="shared" si="1"/>
        <v>11.100000000000001</v>
      </c>
      <c r="X40">
        <f t="shared" si="2"/>
        <v>0.33388010999999995</v>
      </c>
      <c r="Y40">
        <f t="shared" si="3"/>
        <v>18.300000000000011</v>
      </c>
      <c r="Z40" s="1">
        <v>8</v>
      </c>
      <c r="AA40">
        <v>92</v>
      </c>
      <c r="AB40">
        <v>8.6999999999999994E-2</v>
      </c>
      <c r="AC40">
        <v>10</v>
      </c>
      <c r="AD40">
        <v>85</v>
      </c>
      <c r="AE40">
        <v>0.1176</v>
      </c>
      <c r="AF40" t="s">
        <v>2590</v>
      </c>
      <c r="AG40" t="s">
        <v>2590</v>
      </c>
    </row>
    <row r="41" spans="1:33">
      <c r="A41" s="2" t="s">
        <v>9</v>
      </c>
      <c r="B41" s="2" t="s">
        <v>89</v>
      </c>
      <c r="C41" s="1">
        <v>0.49695889599999998</v>
      </c>
      <c r="D41">
        <v>0.62537463599999998</v>
      </c>
      <c r="E41">
        <v>0.63877984499999996</v>
      </c>
      <c r="F41" s="1" t="s">
        <v>147</v>
      </c>
      <c r="G41" s="1">
        <v>1.061574435</v>
      </c>
      <c r="H41" s="1">
        <v>54.1</v>
      </c>
      <c r="I41" s="1">
        <v>128.30000000000001</v>
      </c>
      <c r="J41" s="1">
        <v>0.58703779233333331</v>
      </c>
      <c r="K41" s="1">
        <v>0.51097051500000001</v>
      </c>
      <c r="L41" s="1">
        <v>0.61917891400000002</v>
      </c>
      <c r="M41" s="3">
        <v>0.60984479800000002</v>
      </c>
      <c r="N41" s="1" t="s">
        <v>90</v>
      </c>
      <c r="O41" s="1">
        <v>1.429752066</v>
      </c>
      <c r="P41" s="1">
        <v>59.8</v>
      </c>
      <c r="Q41" s="1">
        <v>108.9</v>
      </c>
      <c r="R41" s="1">
        <v>0.57999807566666661</v>
      </c>
      <c r="S41" s="1">
        <v>3.2740638096937731E-2</v>
      </c>
      <c r="T41" t="s">
        <v>188</v>
      </c>
      <c r="U41" s="1">
        <v>33835</v>
      </c>
      <c r="V41">
        <f t="shared" si="0"/>
        <v>0.50326290897994308</v>
      </c>
      <c r="W41" s="1">
        <f t="shared" si="1"/>
        <v>5.6999999999999957</v>
      </c>
      <c r="X41">
        <f t="shared" si="2"/>
        <v>0.36817763100000001</v>
      </c>
      <c r="Y41">
        <f t="shared" si="3"/>
        <v>19.400000000000006</v>
      </c>
      <c r="Z41" s="1">
        <v>19</v>
      </c>
      <c r="AA41">
        <v>81</v>
      </c>
      <c r="AB41">
        <v>0.2346</v>
      </c>
      <c r="AC41">
        <v>20</v>
      </c>
      <c r="AD41">
        <v>84</v>
      </c>
      <c r="AE41">
        <v>0.23810000000000001</v>
      </c>
      <c r="AF41" t="s">
        <v>2590</v>
      </c>
      <c r="AG41" t="s">
        <v>2589</v>
      </c>
    </row>
    <row r="42" spans="1:33">
      <c r="A42" s="2" t="s">
        <v>9</v>
      </c>
      <c r="B42" s="2" t="s">
        <v>91</v>
      </c>
      <c r="C42" s="1">
        <v>0.49695889599999998</v>
      </c>
      <c r="D42">
        <v>0.62537463599999998</v>
      </c>
      <c r="E42">
        <v>0.63877984499999996</v>
      </c>
      <c r="F42" s="1" t="s">
        <v>147</v>
      </c>
      <c r="G42" s="1">
        <v>1.061574435</v>
      </c>
      <c r="H42" s="1">
        <v>54.1</v>
      </c>
      <c r="I42" s="1">
        <v>128.30000000000001</v>
      </c>
      <c r="J42" s="1">
        <v>0.58703779233333331</v>
      </c>
      <c r="K42" s="1">
        <v>0.37439919700000002</v>
      </c>
      <c r="L42" s="1">
        <v>0.508839347</v>
      </c>
      <c r="M42" s="3">
        <v>0.52701193599999996</v>
      </c>
      <c r="N42" s="1" t="s">
        <v>92</v>
      </c>
      <c r="O42" s="1">
        <v>1.911504425</v>
      </c>
      <c r="P42" s="1">
        <v>24.6</v>
      </c>
      <c r="Q42" s="1">
        <v>33.9</v>
      </c>
      <c r="R42" s="1">
        <v>0.47008349333333332</v>
      </c>
      <c r="S42" s="1">
        <v>0.20271511755050828</v>
      </c>
      <c r="T42" t="s">
        <v>189</v>
      </c>
      <c r="U42" s="1">
        <v>7292</v>
      </c>
      <c r="V42">
        <f t="shared" si="0"/>
        <v>0.42920518444254874</v>
      </c>
      <c r="W42" s="1">
        <f t="shared" si="1"/>
        <v>29.5</v>
      </c>
      <c r="X42">
        <f t="shared" si="2"/>
        <v>0.84992998999999991</v>
      </c>
      <c r="Y42">
        <f t="shared" si="3"/>
        <v>94.4</v>
      </c>
      <c r="Z42" s="1">
        <v>8</v>
      </c>
      <c r="AA42">
        <v>92</v>
      </c>
      <c r="AB42">
        <v>8.6999999999999994E-2</v>
      </c>
      <c r="AC42">
        <v>8</v>
      </c>
      <c r="AD42">
        <v>103</v>
      </c>
      <c r="AE42">
        <v>7.7700000000000005E-2</v>
      </c>
      <c r="AF42" t="s">
        <v>2590</v>
      </c>
      <c r="AG42" t="s">
        <v>2590</v>
      </c>
    </row>
    <row r="43" spans="1:33">
      <c r="A43" s="2" t="s">
        <v>9</v>
      </c>
      <c r="B43" s="2" t="s">
        <v>93</v>
      </c>
      <c r="C43" s="1">
        <v>0.49695889599999998</v>
      </c>
      <c r="D43">
        <v>0.62537463599999998</v>
      </c>
      <c r="E43">
        <v>0.63877984499999996</v>
      </c>
      <c r="F43" s="1" t="s">
        <v>147</v>
      </c>
      <c r="G43" s="1">
        <v>1.061574435</v>
      </c>
      <c r="H43" s="1">
        <v>54.1</v>
      </c>
      <c r="I43" s="1">
        <v>128.30000000000001</v>
      </c>
      <c r="J43" s="1">
        <v>0.58703779233333331</v>
      </c>
      <c r="K43" s="1">
        <v>0.54134617200000001</v>
      </c>
      <c r="L43" s="1">
        <v>0.674899633</v>
      </c>
      <c r="M43" s="3">
        <v>0.719840174</v>
      </c>
      <c r="N43" s="1" t="s">
        <v>94</v>
      </c>
      <c r="O43" s="1">
        <v>1.175388967</v>
      </c>
      <c r="P43" s="1">
        <v>36.6</v>
      </c>
      <c r="Q43" s="1">
        <v>70.7</v>
      </c>
      <c r="R43" s="1">
        <v>0.64536199299999997</v>
      </c>
      <c r="S43" s="1">
        <v>0.10485100159816518</v>
      </c>
      <c r="T43" t="s">
        <v>190</v>
      </c>
      <c r="U43" s="1">
        <v>3544</v>
      </c>
      <c r="V43">
        <f t="shared" si="0"/>
        <v>0.39438819035722372</v>
      </c>
      <c r="W43" s="1">
        <f t="shared" si="1"/>
        <v>17.5</v>
      </c>
      <c r="X43">
        <f t="shared" si="2"/>
        <v>0.11381453199999991</v>
      </c>
      <c r="Y43">
        <f t="shared" si="3"/>
        <v>57.600000000000009</v>
      </c>
      <c r="Z43" s="1">
        <v>14</v>
      </c>
      <c r="AA43">
        <v>86</v>
      </c>
      <c r="AB43">
        <v>0.1628</v>
      </c>
      <c r="AC43">
        <v>17</v>
      </c>
      <c r="AD43">
        <v>85</v>
      </c>
      <c r="AE43">
        <v>0.2</v>
      </c>
      <c r="AF43" t="s">
        <v>2590</v>
      </c>
      <c r="AG43" t="s">
        <v>2589</v>
      </c>
    </row>
    <row r="44" spans="1:33">
      <c r="A44" s="2" t="s">
        <v>9</v>
      </c>
      <c r="B44" s="2" t="s">
        <v>95</v>
      </c>
      <c r="C44" s="1">
        <v>0.49695889599999998</v>
      </c>
      <c r="D44">
        <v>0.62537463599999998</v>
      </c>
      <c r="E44">
        <v>0.63877984499999996</v>
      </c>
      <c r="F44" s="1" t="s">
        <v>147</v>
      </c>
      <c r="G44" s="1">
        <v>1.061574435</v>
      </c>
      <c r="H44" s="1">
        <v>54.1</v>
      </c>
      <c r="I44" s="1">
        <v>128.30000000000001</v>
      </c>
      <c r="J44" s="1">
        <v>0.58703779233333331</v>
      </c>
      <c r="K44" s="1">
        <v>0.59462093100000002</v>
      </c>
      <c r="L44" s="1">
        <v>0.68038960500000001</v>
      </c>
      <c r="M44" s="3">
        <v>0.72533004899999998</v>
      </c>
      <c r="N44" s="1" t="s">
        <v>96</v>
      </c>
      <c r="O44" s="1">
        <v>1.9717647060000001</v>
      </c>
      <c r="P44" s="1">
        <v>34.6</v>
      </c>
      <c r="Q44" s="1">
        <v>42.5</v>
      </c>
      <c r="R44" s="1">
        <v>0.66678019499999996</v>
      </c>
      <c r="S44" s="1">
        <v>0.14161729310664647</v>
      </c>
      <c r="T44" t="s">
        <v>191</v>
      </c>
      <c r="U44" s="1">
        <v>786</v>
      </c>
      <c r="V44">
        <f t="shared" si="0"/>
        <v>0.32171361622660088</v>
      </c>
      <c r="W44" s="1">
        <f t="shared" si="1"/>
        <v>19.5</v>
      </c>
      <c r="X44">
        <f t="shared" si="2"/>
        <v>0.91019027100000005</v>
      </c>
      <c r="Y44">
        <f t="shared" si="3"/>
        <v>85.800000000000011</v>
      </c>
      <c r="Z44" s="1">
        <v>0</v>
      </c>
      <c r="AA44">
        <v>100</v>
      </c>
      <c r="AB44">
        <v>0</v>
      </c>
      <c r="AC44">
        <v>0</v>
      </c>
      <c r="AD44">
        <v>108</v>
      </c>
      <c r="AE44">
        <v>0</v>
      </c>
      <c r="AF44" t="s">
        <v>2590</v>
      </c>
      <c r="AG44" t="s">
        <v>2593</v>
      </c>
    </row>
    <row r="45" spans="1:33">
      <c r="A45" s="2" t="s">
        <v>9</v>
      </c>
      <c r="B45" s="2" t="s">
        <v>97</v>
      </c>
      <c r="C45" s="1">
        <v>0.49695889599999998</v>
      </c>
      <c r="D45">
        <v>0.62537463599999998</v>
      </c>
      <c r="E45">
        <v>0.63877984499999996</v>
      </c>
      <c r="F45" s="1" t="s">
        <v>147</v>
      </c>
      <c r="G45" s="1">
        <v>1.061574435</v>
      </c>
      <c r="H45" s="1">
        <v>54.1</v>
      </c>
      <c r="I45" s="1">
        <v>128.30000000000001</v>
      </c>
      <c r="J45" s="1">
        <v>0.58703779233333331</v>
      </c>
      <c r="K45" s="1">
        <v>0.63674842300000001</v>
      </c>
      <c r="L45" s="1">
        <v>0.68532635500000005</v>
      </c>
      <c r="M45" s="3">
        <v>0.727031494</v>
      </c>
      <c r="N45" s="1" t="s">
        <v>98</v>
      </c>
      <c r="O45" s="1">
        <v>2.360103627</v>
      </c>
      <c r="P45" s="1">
        <v>36.799999999999997</v>
      </c>
      <c r="Q45" s="1">
        <v>38.6</v>
      </c>
      <c r="R45" s="1">
        <v>0.68303542400000017</v>
      </c>
      <c r="S45" s="1">
        <v>0.1758512838200447</v>
      </c>
      <c r="T45" t="s">
        <v>192</v>
      </c>
      <c r="U45" s="1">
        <v>406</v>
      </c>
      <c r="V45">
        <f t="shared" si="0"/>
        <v>0.28983622595302161</v>
      </c>
      <c r="W45" s="1">
        <f t="shared" si="1"/>
        <v>17.300000000000004</v>
      </c>
      <c r="X45">
        <f t="shared" si="2"/>
        <v>1.2985291919999999</v>
      </c>
      <c r="Y45">
        <f t="shared" si="3"/>
        <v>89.700000000000017</v>
      </c>
      <c r="Z45" s="1">
        <v>0</v>
      </c>
      <c r="AA45">
        <v>100</v>
      </c>
      <c r="AB45">
        <v>0</v>
      </c>
      <c r="AC45">
        <v>0</v>
      </c>
      <c r="AD45">
        <v>108</v>
      </c>
      <c r="AE45">
        <v>0</v>
      </c>
      <c r="AF45" t="s">
        <v>2590</v>
      </c>
      <c r="AG45" t="s">
        <v>2593</v>
      </c>
    </row>
    <row r="46" spans="1:33">
      <c r="A46" s="2" t="s">
        <v>9</v>
      </c>
      <c r="B46" s="2" t="s">
        <v>99</v>
      </c>
      <c r="C46" s="1">
        <v>0.49695889599999998</v>
      </c>
      <c r="D46">
        <v>0.62537463599999998</v>
      </c>
      <c r="E46">
        <v>0.63877984499999996</v>
      </c>
      <c r="F46" s="1" t="s">
        <v>147</v>
      </c>
      <c r="G46" s="1">
        <v>1.061574435</v>
      </c>
      <c r="H46" s="1">
        <v>54.1</v>
      </c>
      <c r="I46" s="1">
        <v>128.30000000000001</v>
      </c>
      <c r="J46" s="1">
        <v>0.58703779233333331</v>
      </c>
      <c r="K46" s="1">
        <v>0.52525630099999998</v>
      </c>
      <c r="L46" s="1">
        <v>0.68706170200000005</v>
      </c>
      <c r="M46" s="3">
        <v>0.71473597300000002</v>
      </c>
      <c r="N46" s="1" t="s">
        <v>100</v>
      </c>
      <c r="O46" s="1">
        <v>1.72605042</v>
      </c>
      <c r="P46" s="1">
        <v>46.5</v>
      </c>
      <c r="Q46" s="1">
        <v>59.5</v>
      </c>
      <c r="R46" s="1">
        <v>0.64235132533333339</v>
      </c>
      <c r="S46" s="1">
        <v>0.10185956323377193</v>
      </c>
      <c r="T46" t="s">
        <v>193</v>
      </c>
      <c r="U46" s="1">
        <v>12733</v>
      </c>
      <c r="V46">
        <f t="shared" si="0"/>
        <v>0.45610341545308231</v>
      </c>
      <c r="W46" s="1">
        <f t="shared" si="1"/>
        <v>7.6000000000000014</v>
      </c>
      <c r="X46">
        <f t="shared" si="2"/>
        <v>0.66447598499999994</v>
      </c>
      <c r="Y46">
        <f t="shared" si="3"/>
        <v>68.800000000000011</v>
      </c>
      <c r="Z46" s="1">
        <v>0</v>
      </c>
      <c r="AA46">
        <v>100</v>
      </c>
      <c r="AB46">
        <v>0</v>
      </c>
      <c r="AC46">
        <v>0</v>
      </c>
      <c r="AD46">
        <v>110</v>
      </c>
      <c r="AE46">
        <v>0</v>
      </c>
      <c r="AF46" t="s">
        <v>2590</v>
      </c>
      <c r="AG46" t="s">
        <v>2589</v>
      </c>
    </row>
    <row r="47" spans="1:33">
      <c r="A47" s="2" t="s">
        <v>9</v>
      </c>
      <c r="B47" s="2" t="s">
        <v>148</v>
      </c>
      <c r="C47" s="1">
        <v>0.49695889599999998</v>
      </c>
      <c r="D47">
        <v>0.62537463599999998</v>
      </c>
      <c r="E47">
        <v>0.63877984499999996</v>
      </c>
      <c r="F47" s="1" t="s">
        <v>147</v>
      </c>
      <c r="G47" s="1">
        <v>1.061574435</v>
      </c>
      <c r="H47" s="1">
        <v>54.1</v>
      </c>
      <c r="I47" s="1">
        <v>128.30000000000001</v>
      </c>
      <c r="J47" s="1">
        <v>0.58703779233333331</v>
      </c>
      <c r="K47" s="1">
        <v>0.52246277500000005</v>
      </c>
      <c r="L47" s="1">
        <v>0.64036274199999998</v>
      </c>
      <c r="M47" s="3">
        <v>0.62317592099999997</v>
      </c>
      <c r="N47" s="1" t="s">
        <v>149</v>
      </c>
      <c r="O47" s="1">
        <v>1.201000834</v>
      </c>
      <c r="P47" s="1">
        <v>59.2</v>
      </c>
      <c r="Q47" s="1">
        <v>119.9</v>
      </c>
      <c r="R47" s="1">
        <v>0.59533381266666663</v>
      </c>
      <c r="S47" s="1">
        <v>3.3445083490875847E-2</v>
      </c>
      <c r="T47" t="s">
        <v>217</v>
      </c>
      <c r="U47" s="1">
        <v>24788</v>
      </c>
      <c r="V47">
        <f t="shared" si="0"/>
        <v>0.48824905416418241</v>
      </c>
      <c r="W47" s="1">
        <f t="shared" si="1"/>
        <v>5.1000000000000014</v>
      </c>
      <c r="X47">
        <f t="shared" si="2"/>
        <v>0.13942639899999998</v>
      </c>
      <c r="Y47">
        <f t="shared" si="3"/>
        <v>8.4000000000000057</v>
      </c>
      <c r="Z47" s="1">
        <v>24</v>
      </c>
      <c r="AA47">
        <v>76</v>
      </c>
      <c r="AB47">
        <v>0.31580000000000003</v>
      </c>
      <c r="AC47">
        <v>23</v>
      </c>
      <c r="AD47">
        <v>82</v>
      </c>
      <c r="AE47">
        <v>0.28050000000000003</v>
      </c>
      <c r="AF47" t="s">
        <v>2590</v>
      </c>
      <c r="AG47" t="s">
        <v>2589</v>
      </c>
    </row>
    <row r="48" spans="1:33">
      <c r="A48" s="2" t="s">
        <v>9</v>
      </c>
      <c r="B48" s="2" t="s">
        <v>101</v>
      </c>
      <c r="C48" s="1">
        <v>0.49695889599999998</v>
      </c>
      <c r="D48">
        <v>0.62537463599999998</v>
      </c>
      <c r="E48">
        <v>0.63877984499999996</v>
      </c>
      <c r="F48" s="1" t="s">
        <v>147</v>
      </c>
      <c r="G48" s="1">
        <v>1.061574435</v>
      </c>
      <c r="H48" s="1">
        <v>54.1</v>
      </c>
      <c r="I48" s="1">
        <v>128.30000000000001</v>
      </c>
      <c r="J48" s="1">
        <v>0.58703779233333331</v>
      </c>
      <c r="K48" s="1">
        <v>0.57277697599999999</v>
      </c>
      <c r="L48" s="1">
        <v>0.64568820599999999</v>
      </c>
      <c r="M48" s="3">
        <v>0.70909993500000001</v>
      </c>
      <c r="N48" s="1" t="s">
        <v>102</v>
      </c>
      <c r="O48" s="1">
        <v>1.2818181820000001</v>
      </c>
      <c r="P48" s="1">
        <v>58</v>
      </c>
      <c r="Q48" s="1">
        <v>110</v>
      </c>
      <c r="R48" s="1">
        <v>0.64252170566666666</v>
      </c>
      <c r="S48" s="1">
        <v>0.10538471159821718</v>
      </c>
      <c r="T48" t="s">
        <v>194</v>
      </c>
      <c r="U48" s="1">
        <v>6791</v>
      </c>
      <c r="V48">
        <f t="shared" si="0"/>
        <v>0.42577041449630504</v>
      </c>
      <c r="W48" s="1">
        <f t="shared" si="1"/>
        <v>3.8999999999999986</v>
      </c>
      <c r="X48">
        <f t="shared" si="2"/>
        <v>0.22024374700000005</v>
      </c>
      <c r="Y48">
        <f t="shared" si="3"/>
        <v>18.300000000000011</v>
      </c>
      <c r="Z48" s="1">
        <v>6</v>
      </c>
      <c r="AA48">
        <v>94</v>
      </c>
      <c r="AB48">
        <v>6.3799999999999996E-2</v>
      </c>
      <c r="AC48">
        <v>8</v>
      </c>
      <c r="AD48">
        <v>95</v>
      </c>
      <c r="AE48">
        <v>8.4199999999999997E-2</v>
      </c>
      <c r="AF48" t="s">
        <v>2590</v>
      </c>
      <c r="AG48" t="s">
        <v>2589</v>
      </c>
    </row>
    <row r="49" spans="1:33">
      <c r="A49" s="2" t="s">
        <v>9</v>
      </c>
      <c r="B49" s="2" t="s">
        <v>103</v>
      </c>
      <c r="C49" s="1">
        <v>0.49695889599999998</v>
      </c>
      <c r="D49">
        <v>0.62537463599999998</v>
      </c>
      <c r="E49">
        <v>0.63877984499999996</v>
      </c>
      <c r="F49" s="1" t="s">
        <v>147</v>
      </c>
      <c r="G49" s="1">
        <v>1.061574435</v>
      </c>
      <c r="H49" s="1">
        <v>54.1</v>
      </c>
      <c r="I49" s="1">
        <v>128.30000000000001</v>
      </c>
      <c r="J49" s="1">
        <v>0.58703779233333331</v>
      </c>
      <c r="K49" s="1">
        <v>0.58538445800000005</v>
      </c>
      <c r="L49" s="1">
        <v>0.70461059999999998</v>
      </c>
      <c r="M49" s="3">
        <v>0.67846608399999997</v>
      </c>
      <c r="N49" s="1" t="s">
        <v>104</v>
      </c>
      <c r="O49" s="1">
        <v>1.1020080320000001</v>
      </c>
      <c r="P49" s="1">
        <v>58.7</v>
      </c>
      <c r="Q49" s="1">
        <v>124.5</v>
      </c>
      <c r="R49" s="1">
        <v>0.65615371400000011</v>
      </c>
      <c r="S49" s="1">
        <v>0.1251895186187337</v>
      </c>
      <c r="T49" t="s">
        <v>195</v>
      </c>
      <c r="U49" s="1">
        <v>7709</v>
      </c>
      <c r="V49">
        <f t="shared" si="0"/>
        <v>0.4318886717412333</v>
      </c>
      <c r="W49" s="1">
        <f t="shared" si="1"/>
        <v>4.6000000000000014</v>
      </c>
      <c r="X49">
        <f t="shared" si="2"/>
        <v>4.0433597000000043E-2</v>
      </c>
      <c r="Y49">
        <f t="shared" si="3"/>
        <v>3.8000000000000114</v>
      </c>
      <c r="Z49" s="1">
        <v>2</v>
      </c>
      <c r="AA49">
        <v>98</v>
      </c>
      <c r="AB49">
        <v>2.0400000000000001E-2</v>
      </c>
      <c r="AC49">
        <v>3</v>
      </c>
      <c r="AD49">
        <v>101</v>
      </c>
      <c r="AE49">
        <v>2.9700000000000001E-2</v>
      </c>
      <c r="AF49" t="s">
        <v>2590</v>
      </c>
      <c r="AG49" t="s">
        <v>2589</v>
      </c>
    </row>
    <row r="50" spans="1:33">
      <c r="A50" s="2" t="s">
        <v>9</v>
      </c>
      <c r="B50" s="2" t="s">
        <v>105</v>
      </c>
      <c r="C50" s="1">
        <v>0.49695889599999998</v>
      </c>
      <c r="D50">
        <v>0.62537463599999998</v>
      </c>
      <c r="E50">
        <v>0.63877984499999996</v>
      </c>
      <c r="F50" s="1" t="s">
        <v>147</v>
      </c>
      <c r="G50" s="1">
        <v>1.061574435</v>
      </c>
      <c r="H50" s="1">
        <v>54.1</v>
      </c>
      <c r="I50" s="1">
        <v>128.30000000000001</v>
      </c>
      <c r="J50" s="1">
        <v>0.58703779233333331</v>
      </c>
      <c r="K50" s="1">
        <v>0.56210716000000005</v>
      </c>
      <c r="L50" s="1">
        <v>0.68032504299999996</v>
      </c>
      <c r="M50" s="3">
        <v>0.71115907899999997</v>
      </c>
      <c r="N50" s="1" t="s">
        <v>106</v>
      </c>
      <c r="O50" s="1">
        <v>1.0978593270000001</v>
      </c>
      <c r="P50" s="1">
        <v>43.5</v>
      </c>
      <c r="Q50" s="1">
        <v>98.1</v>
      </c>
      <c r="R50" s="1">
        <v>0.65119709399999992</v>
      </c>
      <c r="S50" s="1">
        <v>0.11181501261506037</v>
      </c>
      <c r="T50" t="s">
        <v>196</v>
      </c>
      <c r="U50" s="1">
        <v>5716</v>
      </c>
      <c r="V50">
        <f t="shared" si="0"/>
        <v>0.41745469112432582</v>
      </c>
      <c r="W50" s="1">
        <f t="shared" si="1"/>
        <v>10.600000000000001</v>
      </c>
      <c r="X50">
        <f t="shared" si="2"/>
        <v>3.6284892000000069E-2</v>
      </c>
      <c r="Y50">
        <f t="shared" si="3"/>
        <v>30.200000000000017</v>
      </c>
      <c r="Z50" s="1">
        <v>0</v>
      </c>
      <c r="AA50">
        <v>100</v>
      </c>
      <c r="AB50">
        <v>0</v>
      </c>
      <c r="AC50">
        <v>0</v>
      </c>
      <c r="AD50">
        <v>122</v>
      </c>
      <c r="AE50">
        <v>0</v>
      </c>
      <c r="AF50" t="s">
        <v>2590</v>
      </c>
      <c r="AG50" t="s">
        <v>2589</v>
      </c>
    </row>
    <row r="51" spans="1:33">
      <c r="A51" s="2" t="s">
        <v>9</v>
      </c>
      <c r="B51" s="2" t="s">
        <v>107</v>
      </c>
      <c r="C51" s="1">
        <v>0.49695889599999998</v>
      </c>
      <c r="D51">
        <v>0.62537463599999998</v>
      </c>
      <c r="E51">
        <v>0.63877984499999996</v>
      </c>
      <c r="F51" s="1" t="s">
        <v>147</v>
      </c>
      <c r="G51" s="1">
        <v>1.061574435</v>
      </c>
      <c r="H51" s="1">
        <v>54.1</v>
      </c>
      <c r="I51" s="1">
        <v>128.30000000000001</v>
      </c>
      <c r="J51" s="1">
        <v>0.58703779233333331</v>
      </c>
      <c r="K51" s="1">
        <v>0.61734740899999996</v>
      </c>
      <c r="L51" s="1">
        <v>0.68293216999999995</v>
      </c>
      <c r="M51" s="3">
        <v>0.69981194099999999</v>
      </c>
      <c r="N51" s="1" t="s">
        <v>108</v>
      </c>
      <c r="O51" s="1">
        <v>2</v>
      </c>
      <c r="P51" s="1">
        <v>19</v>
      </c>
      <c r="Q51" s="1">
        <v>21.1</v>
      </c>
      <c r="R51" s="1">
        <v>0.66669717333333323</v>
      </c>
      <c r="S51" s="1">
        <v>0.14673506917116144</v>
      </c>
      <c r="T51" t="s">
        <v>197</v>
      </c>
      <c r="U51" s="1">
        <v>90958</v>
      </c>
      <c r="V51">
        <f t="shared" si="0"/>
        <v>0.55098232249373402</v>
      </c>
      <c r="W51" s="1">
        <f t="shared" si="1"/>
        <v>35.1</v>
      </c>
      <c r="X51">
        <f t="shared" si="2"/>
        <v>0.93842556499999996</v>
      </c>
      <c r="Y51">
        <f t="shared" si="3"/>
        <v>107.20000000000002</v>
      </c>
      <c r="Z51" s="1">
        <v>1</v>
      </c>
      <c r="AA51">
        <v>99</v>
      </c>
      <c r="AB51">
        <v>1.01E-2</v>
      </c>
      <c r="AC51">
        <v>1</v>
      </c>
      <c r="AD51">
        <v>97</v>
      </c>
      <c r="AE51">
        <v>1.03E-2</v>
      </c>
      <c r="AF51" t="s">
        <v>2590</v>
      </c>
      <c r="AG51" t="s">
        <v>2588</v>
      </c>
    </row>
    <row r="52" spans="1:33">
      <c r="A52" s="2" t="s">
        <v>9</v>
      </c>
      <c r="B52" s="2" t="s">
        <v>109</v>
      </c>
      <c r="C52" s="1">
        <v>0.49695889599999998</v>
      </c>
      <c r="D52">
        <v>0.62537463599999998</v>
      </c>
      <c r="E52">
        <v>0.63877984499999996</v>
      </c>
      <c r="F52" s="1" t="s">
        <v>147</v>
      </c>
      <c r="G52" s="1">
        <v>1.061574435</v>
      </c>
      <c r="H52" s="1">
        <v>54.1</v>
      </c>
      <c r="I52" s="1">
        <v>128.30000000000001</v>
      </c>
      <c r="J52" s="1">
        <v>0.58703779233333331</v>
      </c>
      <c r="K52" s="1">
        <v>0.51638908800000005</v>
      </c>
      <c r="L52" s="1">
        <v>0.68684605300000001</v>
      </c>
      <c r="M52" s="3">
        <v>0.66065444600000001</v>
      </c>
      <c r="N52" s="1" t="s">
        <v>110</v>
      </c>
      <c r="O52" s="1">
        <v>1.2897862229999999</v>
      </c>
      <c r="P52" s="1">
        <v>49.4</v>
      </c>
      <c r="Q52" s="1">
        <v>84.2</v>
      </c>
      <c r="R52" s="1">
        <v>0.62129652899999999</v>
      </c>
      <c r="S52" s="1">
        <v>6.807911308216319E-2</v>
      </c>
      <c r="T52" t="s">
        <v>198</v>
      </c>
      <c r="U52" s="1">
        <v>4402</v>
      </c>
      <c r="V52">
        <f t="shared" si="0"/>
        <v>0.40485000424636991</v>
      </c>
      <c r="W52" s="1">
        <f t="shared" si="1"/>
        <v>4.7000000000000028</v>
      </c>
      <c r="X52">
        <f t="shared" si="2"/>
        <v>0.22821178799999986</v>
      </c>
      <c r="Y52">
        <f t="shared" si="3"/>
        <v>44.100000000000009</v>
      </c>
      <c r="Z52" s="1">
        <v>20</v>
      </c>
      <c r="AA52">
        <v>80</v>
      </c>
      <c r="AB52">
        <v>0.25</v>
      </c>
      <c r="AC52">
        <v>26</v>
      </c>
      <c r="AD52">
        <v>93</v>
      </c>
      <c r="AE52">
        <v>0.27960000000000002</v>
      </c>
      <c r="AF52" t="s">
        <v>2590</v>
      </c>
      <c r="AG52" t="s">
        <v>2589</v>
      </c>
    </row>
    <row r="53" spans="1:33">
      <c r="A53" s="2" t="s">
        <v>9</v>
      </c>
      <c r="B53" s="2" t="s">
        <v>111</v>
      </c>
      <c r="C53" s="1">
        <v>0.49695889599999998</v>
      </c>
      <c r="D53">
        <v>0.62537463599999998</v>
      </c>
      <c r="E53">
        <v>0.63877984499999996</v>
      </c>
      <c r="F53" s="1" t="s">
        <v>147</v>
      </c>
      <c r="G53" s="1">
        <v>1.061574435</v>
      </c>
      <c r="H53" s="1">
        <v>54.1</v>
      </c>
      <c r="I53" s="1">
        <v>128.30000000000001</v>
      </c>
      <c r="J53" s="1">
        <v>0.58703779233333331</v>
      </c>
      <c r="K53" s="1">
        <v>0.60132418300000001</v>
      </c>
      <c r="L53" s="1">
        <v>0.67605095299999995</v>
      </c>
      <c r="M53" s="3">
        <v>0.74222981799999999</v>
      </c>
      <c r="N53" s="1" t="s">
        <v>112</v>
      </c>
      <c r="O53" s="1">
        <v>1.561403509</v>
      </c>
      <c r="P53" s="1">
        <v>30</v>
      </c>
      <c r="Q53" s="1">
        <v>45.6</v>
      </c>
      <c r="R53" s="1">
        <v>0.67320165133333332</v>
      </c>
      <c r="S53" s="1">
        <v>0.15544162617837476</v>
      </c>
      <c r="T53" t="s">
        <v>199</v>
      </c>
      <c r="U53" s="1">
        <v>893</v>
      </c>
      <c r="V53">
        <f t="shared" si="0"/>
        <v>0.32787238432094962</v>
      </c>
      <c r="W53" s="1">
        <f t="shared" si="1"/>
        <v>24.1</v>
      </c>
      <c r="X53">
        <f t="shared" si="2"/>
        <v>0.49982907399999998</v>
      </c>
      <c r="Y53">
        <f t="shared" si="3"/>
        <v>82.700000000000017</v>
      </c>
      <c r="Z53" s="1">
        <v>1</v>
      </c>
      <c r="AA53">
        <v>99</v>
      </c>
      <c r="AB53">
        <v>1.01E-2</v>
      </c>
      <c r="AC53">
        <v>2</v>
      </c>
      <c r="AD53">
        <v>112</v>
      </c>
      <c r="AE53">
        <v>1.7899999999999999E-2</v>
      </c>
      <c r="AF53" t="s">
        <v>2590</v>
      </c>
      <c r="AG53" t="s">
        <v>2591</v>
      </c>
    </row>
    <row r="54" spans="1:33">
      <c r="A54" s="2" t="s">
        <v>9</v>
      </c>
      <c r="B54" s="2" t="s">
        <v>113</v>
      </c>
      <c r="C54" s="1">
        <v>0.49695889599999998</v>
      </c>
      <c r="D54">
        <v>0.62537463599999998</v>
      </c>
      <c r="E54">
        <v>0.63877984499999996</v>
      </c>
      <c r="F54" s="1" t="s">
        <v>147</v>
      </c>
      <c r="G54" s="1">
        <v>1.061574435</v>
      </c>
      <c r="H54" s="1">
        <v>54.1</v>
      </c>
      <c r="I54" s="1">
        <v>128.30000000000001</v>
      </c>
      <c r="J54" s="1">
        <v>0.58703779233333331</v>
      </c>
      <c r="K54" s="1">
        <v>0.57440698499999998</v>
      </c>
      <c r="L54" s="1">
        <v>0.66920790399999996</v>
      </c>
      <c r="M54" s="3">
        <v>0.71602402300000001</v>
      </c>
      <c r="N54" s="1" t="s">
        <v>114</v>
      </c>
      <c r="O54" s="1">
        <v>2.5573248409999998</v>
      </c>
      <c r="P54" s="1">
        <v>34.299999999999997</v>
      </c>
      <c r="Q54" s="1">
        <v>31.4</v>
      </c>
      <c r="R54" s="1">
        <v>0.65321297066666661</v>
      </c>
      <c r="S54" s="1">
        <v>0.11783982734291253</v>
      </c>
      <c r="T54" t="s">
        <v>200</v>
      </c>
      <c r="U54" s="1">
        <v>1338</v>
      </c>
      <c r="V54">
        <f t="shared" si="0"/>
        <v>0.34738401260353385</v>
      </c>
      <c r="W54" s="1">
        <f t="shared" si="1"/>
        <v>19.800000000000004</v>
      </c>
      <c r="X54">
        <f t="shared" si="2"/>
        <v>1.4957504059999998</v>
      </c>
      <c r="Y54">
        <f t="shared" si="3"/>
        <v>96.9</v>
      </c>
      <c r="Z54" s="1">
        <v>0</v>
      </c>
      <c r="AA54">
        <v>100</v>
      </c>
      <c r="AB54">
        <v>0</v>
      </c>
      <c r="AC54">
        <v>0</v>
      </c>
      <c r="AD54">
        <v>108</v>
      </c>
      <c r="AE54">
        <v>0</v>
      </c>
      <c r="AF54" t="s">
        <v>2590</v>
      </c>
      <c r="AG54" t="s">
        <v>2593</v>
      </c>
    </row>
    <row r="55" spans="1:33">
      <c r="A55" s="2" t="s">
        <v>9</v>
      </c>
      <c r="B55" s="2" t="s">
        <v>115</v>
      </c>
      <c r="C55" s="1">
        <v>0.49695889599999998</v>
      </c>
      <c r="D55">
        <v>0.62537463599999998</v>
      </c>
      <c r="E55">
        <v>0.63877984499999996</v>
      </c>
      <c r="F55" s="1" t="s">
        <v>147</v>
      </c>
      <c r="G55" s="1">
        <v>1.061574435</v>
      </c>
      <c r="H55" s="1">
        <v>54.1</v>
      </c>
      <c r="I55" s="1">
        <v>128.30000000000001</v>
      </c>
      <c r="J55" s="1">
        <v>0.58703779233333331</v>
      </c>
      <c r="K55" s="1">
        <v>0.55237211100000005</v>
      </c>
      <c r="L55" s="1">
        <v>0.65961031000000003</v>
      </c>
      <c r="M55" s="3">
        <v>0.69215541599999997</v>
      </c>
      <c r="N55" s="1" t="s">
        <v>116</v>
      </c>
      <c r="O55" s="1">
        <v>1.149700599</v>
      </c>
      <c r="P55" s="1">
        <v>66.900000000000006</v>
      </c>
      <c r="Q55" s="1">
        <v>133.6</v>
      </c>
      <c r="R55" s="1">
        <v>0.63471261233333331</v>
      </c>
      <c r="S55" s="1">
        <v>8.4211978663647102E-2</v>
      </c>
      <c r="T55" t="s">
        <v>201</v>
      </c>
      <c r="U55" s="1">
        <v>6379</v>
      </c>
      <c r="V55">
        <f t="shared" si="0"/>
        <v>0.42275028912782892</v>
      </c>
      <c r="W55" s="1">
        <f t="shared" si="1"/>
        <v>12.800000000000004</v>
      </c>
      <c r="X55">
        <f t="shared" si="2"/>
        <v>8.8126163999999951E-2</v>
      </c>
      <c r="Y55">
        <f t="shared" si="3"/>
        <v>5.2999999999999829</v>
      </c>
      <c r="Z55" s="1">
        <v>10</v>
      </c>
      <c r="AA55">
        <v>90</v>
      </c>
      <c r="AB55">
        <v>0.1111</v>
      </c>
      <c r="AC55">
        <v>12</v>
      </c>
      <c r="AD55">
        <v>101</v>
      </c>
      <c r="AE55">
        <v>0.1188</v>
      </c>
      <c r="AF55" t="s">
        <v>2590</v>
      </c>
      <c r="AG55" t="s">
        <v>2589</v>
      </c>
    </row>
    <row r="56" spans="1:33">
      <c r="A56" s="2" t="s">
        <v>9</v>
      </c>
      <c r="B56" s="2" t="s">
        <v>117</v>
      </c>
      <c r="C56" s="1">
        <v>0.49695889599999998</v>
      </c>
      <c r="D56">
        <v>0.62537463599999998</v>
      </c>
      <c r="E56">
        <v>0.63877984499999996</v>
      </c>
      <c r="F56" s="1" t="s">
        <v>147</v>
      </c>
      <c r="G56" s="1">
        <v>1.061574435</v>
      </c>
      <c r="H56" s="1">
        <v>54.1</v>
      </c>
      <c r="I56" s="1">
        <v>128.30000000000001</v>
      </c>
      <c r="J56" s="1">
        <v>0.58703779233333331</v>
      </c>
      <c r="K56" s="1">
        <v>0.52788907299999999</v>
      </c>
      <c r="L56" s="1">
        <v>0.665074418</v>
      </c>
      <c r="M56" s="3">
        <v>0.69056128699999997</v>
      </c>
      <c r="N56" s="1" t="s">
        <v>118</v>
      </c>
      <c r="O56" s="1">
        <v>1.0818253339999999</v>
      </c>
      <c r="P56" s="1">
        <v>58.4</v>
      </c>
      <c r="Q56" s="1">
        <v>127.1</v>
      </c>
      <c r="R56" s="1">
        <v>0.62784159266666661</v>
      </c>
      <c r="S56" s="1">
        <v>7.2208491714605277E-2</v>
      </c>
      <c r="T56" t="s">
        <v>202</v>
      </c>
      <c r="U56" s="1">
        <v>10528</v>
      </c>
      <c r="V56">
        <f t="shared" si="0"/>
        <v>0.44692731958554227</v>
      </c>
      <c r="W56" s="1">
        <f t="shared" si="1"/>
        <v>4.2999999999999972</v>
      </c>
      <c r="X56">
        <f t="shared" si="2"/>
        <v>2.0250898999999878E-2</v>
      </c>
      <c r="Y56">
        <f t="shared" si="3"/>
        <v>1.2000000000000171</v>
      </c>
      <c r="Z56" s="1">
        <v>12</v>
      </c>
      <c r="AA56">
        <v>88</v>
      </c>
      <c r="AB56">
        <v>0.13639999999999999</v>
      </c>
      <c r="AC56">
        <v>17</v>
      </c>
      <c r="AD56">
        <v>108</v>
      </c>
      <c r="AE56">
        <v>0.15740000000000001</v>
      </c>
      <c r="AF56" t="s">
        <v>2590</v>
      </c>
      <c r="AG56" t="s">
        <v>2589</v>
      </c>
    </row>
    <row r="57" spans="1:33">
      <c r="A57" s="2" t="s">
        <v>9</v>
      </c>
      <c r="B57" s="2" t="s">
        <v>119</v>
      </c>
      <c r="C57" s="1">
        <v>0.49695889599999998</v>
      </c>
      <c r="D57">
        <v>0.62537463599999998</v>
      </c>
      <c r="E57">
        <v>0.63877984499999996</v>
      </c>
      <c r="F57" s="1" t="s">
        <v>147</v>
      </c>
      <c r="G57" s="1">
        <v>1.061574435</v>
      </c>
      <c r="H57" s="1">
        <v>54.1</v>
      </c>
      <c r="I57" s="1">
        <v>128.30000000000001</v>
      </c>
      <c r="J57" s="1">
        <v>0.58703779233333331</v>
      </c>
      <c r="K57" s="1">
        <v>0.48582609999999998</v>
      </c>
      <c r="L57" s="1">
        <v>0.67226483999999997</v>
      </c>
      <c r="M57" s="3">
        <v>0.68571362400000002</v>
      </c>
      <c r="N57" s="1" t="s">
        <v>120</v>
      </c>
      <c r="O57" s="1">
        <v>1.1435028249999999</v>
      </c>
      <c r="P57" s="1">
        <v>42.6</v>
      </c>
      <c r="Q57" s="1">
        <v>88.5</v>
      </c>
      <c r="R57" s="1">
        <v>0.61460152133333334</v>
      </c>
      <c r="S57" s="1">
        <v>6.7271167591770528E-2</v>
      </c>
      <c r="T57" t="s">
        <v>203</v>
      </c>
      <c r="U57" s="1">
        <v>2654</v>
      </c>
      <c r="V57">
        <f t="shared" si="0"/>
        <v>0.38043343539204627</v>
      </c>
      <c r="W57" s="1">
        <f t="shared" si="1"/>
        <v>11.5</v>
      </c>
      <c r="X57">
        <f t="shared" si="2"/>
        <v>8.1928389999999851E-2</v>
      </c>
      <c r="Y57">
        <f t="shared" si="3"/>
        <v>39.800000000000011</v>
      </c>
      <c r="Z57" s="1">
        <v>12</v>
      </c>
      <c r="AA57">
        <v>88</v>
      </c>
      <c r="AB57">
        <v>0.13639999999999999</v>
      </c>
      <c r="AC57">
        <v>14</v>
      </c>
      <c r="AD57">
        <v>99</v>
      </c>
      <c r="AE57">
        <v>0.1414</v>
      </c>
      <c r="AF57" t="s">
        <v>2590</v>
      </c>
      <c r="AG57" t="s">
        <v>2589</v>
      </c>
    </row>
    <row r="58" spans="1:33">
      <c r="A58" s="2" t="s">
        <v>9</v>
      </c>
      <c r="B58" s="2" t="s">
        <v>121</v>
      </c>
      <c r="C58" s="1">
        <v>0.49695889599999998</v>
      </c>
      <c r="D58">
        <v>0.62537463599999998</v>
      </c>
      <c r="E58">
        <v>0.63877984499999996</v>
      </c>
      <c r="F58" s="1" t="s">
        <v>147</v>
      </c>
      <c r="G58" s="1">
        <v>1.061574435</v>
      </c>
      <c r="H58" s="1">
        <v>54.1</v>
      </c>
      <c r="I58" s="1">
        <v>128.30000000000001</v>
      </c>
      <c r="J58" s="1">
        <v>0.58703779233333331</v>
      </c>
      <c r="K58" s="1">
        <v>0.57363214500000004</v>
      </c>
      <c r="L58" s="1">
        <v>0.65876685800000001</v>
      </c>
      <c r="M58" s="3">
        <v>0.71110834000000001</v>
      </c>
      <c r="N58" s="1" t="s">
        <v>122</v>
      </c>
      <c r="O58" s="1">
        <v>2.4518664050000001</v>
      </c>
      <c r="P58" s="1">
        <v>50.1</v>
      </c>
      <c r="Q58" s="1">
        <v>50.9</v>
      </c>
      <c r="R58" s="1">
        <v>0.64783578100000005</v>
      </c>
      <c r="S58" s="1">
        <v>0.11056780178369437</v>
      </c>
      <c r="T58" t="s">
        <v>204</v>
      </c>
      <c r="U58" s="1">
        <v>1348</v>
      </c>
      <c r="V58">
        <f t="shared" si="0"/>
        <v>0.34774332135547792</v>
      </c>
      <c r="W58" s="1">
        <f t="shared" si="1"/>
        <v>4</v>
      </c>
      <c r="X58">
        <f t="shared" si="2"/>
        <v>1.39029197</v>
      </c>
      <c r="Y58">
        <f t="shared" si="3"/>
        <v>77.400000000000006</v>
      </c>
      <c r="Z58" s="1">
        <v>1</v>
      </c>
      <c r="AA58">
        <v>99</v>
      </c>
      <c r="AB58">
        <v>1.01E-2</v>
      </c>
      <c r="AC58">
        <v>2</v>
      </c>
      <c r="AD58">
        <v>118</v>
      </c>
      <c r="AE58">
        <v>1.6899999999999998E-2</v>
      </c>
      <c r="AF58" t="s">
        <v>2590</v>
      </c>
      <c r="AG58" t="s">
        <v>2593</v>
      </c>
    </row>
    <row r="59" spans="1:33">
      <c r="A59" s="2" t="s">
        <v>9</v>
      </c>
      <c r="B59" s="2" t="s">
        <v>123</v>
      </c>
      <c r="C59" s="1">
        <v>0.49695889599999998</v>
      </c>
      <c r="D59">
        <v>0.62537463599999998</v>
      </c>
      <c r="E59">
        <v>0.63877984499999996</v>
      </c>
      <c r="F59" s="1" t="s">
        <v>147</v>
      </c>
      <c r="G59" s="1">
        <v>1.061574435</v>
      </c>
      <c r="H59" s="1">
        <v>54.1</v>
      </c>
      <c r="I59" s="1">
        <v>128.30000000000001</v>
      </c>
      <c r="J59" s="1">
        <v>0.58703779233333331</v>
      </c>
      <c r="K59" s="1">
        <v>0.59184352799999995</v>
      </c>
      <c r="L59" s="1">
        <v>0.67011857600000002</v>
      </c>
      <c r="M59" s="3">
        <v>0.74025419199999998</v>
      </c>
      <c r="N59" s="1" t="s">
        <v>124</v>
      </c>
      <c r="O59" s="1">
        <v>1.7166666669999999</v>
      </c>
      <c r="P59" s="1">
        <v>26</v>
      </c>
      <c r="Q59" s="1">
        <v>36</v>
      </c>
      <c r="R59" s="1">
        <v>0.66740543199999991</v>
      </c>
      <c r="S59" s="1">
        <v>0.14595258358650401</v>
      </c>
      <c r="T59" t="s">
        <v>205</v>
      </c>
      <c r="U59" s="1">
        <v>1695</v>
      </c>
      <c r="V59">
        <f t="shared" si="0"/>
        <v>0.35879663361545566</v>
      </c>
      <c r="W59" s="1">
        <f t="shared" si="1"/>
        <v>28.1</v>
      </c>
      <c r="X59">
        <f t="shared" si="2"/>
        <v>0.65509223199999989</v>
      </c>
      <c r="Y59">
        <f t="shared" si="3"/>
        <v>92.300000000000011</v>
      </c>
      <c r="Z59" s="1">
        <v>0</v>
      </c>
      <c r="AA59">
        <v>100</v>
      </c>
      <c r="AB59">
        <v>0</v>
      </c>
      <c r="AC59">
        <v>0</v>
      </c>
      <c r="AD59">
        <v>115</v>
      </c>
      <c r="AE59">
        <v>0</v>
      </c>
      <c r="AF59" t="s">
        <v>2590</v>
      </c>
      <c r="AG59" t="s">
        <v>2591</v>
      </c>
    </row>
    <row r="60" spans="1:33">
      <c r="A60" s="2" t="s">
        <v>9</v>
      </c>
      <c r="B60" s="2" t="s">
        <v>125</v>
      </c>
      <c r="C60" s="1">
        <v>0.49695889599999998</v>
      </c>
      <c r="D60">
        <v>0.62537463599999998</v>
      </c>
      <c r="E60">
        <v>0.63877984499999996</v>
      </c>
      <c r="F60" s="1" t="s">
        <v>147</v>
      </c>
      <c r="G60" s="1">
        <v>1.061574435</v>
      </c>
      <c r="H60" s="1">
        <v>54.1</v>
      </c>
      <c r="I60" s="1">
        <v>128.30000000000001</v>
      </c>
      <c r="J60" s="1">
        <v>0.58703779233333331</v>
      </c>
      <c r="K60" s="1">
        <v>0.611478776</v>
      </c>
      <c r="L60" s="1">
        <v>0.67681801600000002</v>
      </c>
      <c r="M60" s="3">
        <v>0.73326355300000001</v>
      </c>
      <c r="N60" s="1" t="s">
        <v>126</v>
      </c>
      <c r="O60" s="1">
        <v>1.6431372550000001</v>
      </c>
      <c r="P60" s="1">
        <v>35.1</v>
      </c>
      <c r="Q60" s="1">
        <v>51</v>
      </c>
      <c r="R60" s="1">
        <v>0.67385344833333338</v>
      </c>
      <c r="S60" s="1">
        <v>0.15712541277103484</v>
      </c>
      <c r="T60" t="s">
        <v>206</v>
      </c>
      <c r="U60" s="1">
        <v>672</v>
      </c>
      <c r="V60">
        <f t="shared" si="0"/>
        <v>0.31415214145042503</v>
      </c>
      <c r="W60" s="1">
        <f t="shared" si="1"/>
        <v>19</v>
      </c>
      <c r="X60">
        <f t="shared" si="2"/>
        <v>0.58156282000000004</v>
      </c>
      <c r="Y60">
        <f t="shared" si="3"/>
        <v>77.300000000000011</v>
      </c>
      <c r="Z60" s="1">
        <v>1</v>
      </c>
      <c r="AA60">
        <v>99</v>
      </c>
      <c r="AB60">
        <v>1.01E-2</v>
      </c>
      <c r="AC60">
        <v>2</v>
      </c>
      <c r="AD60">
        <v>123</v>
      </c>
      <c r="AE60">
        <v>1.6299999999999999E-2</v>
      </c>
      <c r="AF60" t="s">
        <v>2590</v>
      </c>
      <c r="AG60" t="s">
        <v>2591</v>
      </c>
    </row>
    <row r="61" spans="1:33">
      <c r="A61" s="2" t="s">
        <v>9</v>
      </c>
      <c r="B61" s="2" t="s">
        <v>127</v>
      </c>
      <c r="C61" s="1">
        <v>0.49695889599999998</v>
      </c>
      <c r="D61">
        <v>0.62537463599999998</v>
      </c>
      <c r="E61">
        <v>0.63877984499999996</v>
      </c>
      <c r="F61" s="1" t="s">
        <v>147</v>
      </c>
      <c r="G61" s="1">
        <v>1.061574435</v>
      </c>
      <c r="H61" s="1">
        <v>54.1</v>
      </c>
      <c r="I61" s="1">
        <v>128.30000000000001</v>
      </c>
      <c r="J61" s="1">
        <v>0.58703779233333331</v>
      </c>
      <c r="K61" s="1">
        <v>0.50688118500000001</v>
      </c>
      <c r="L61" s="1">
        <v>0.64616698699999997</v>
      </c>
      <c r="M61" s="3">
        <v>0.65580376299999998</v>
      </c>
      <c r="N61" s="1" t="s">
        <v>128</v>
      </c>
      <c r="O61" s="1">
        <v>1.5447714459999999</v>
      </c>
      <c r="P61" s="1">
        <v>98.4</v>
      </c>
      <c r="Q61" s="1">
        <v>159.69999999999999</v>
      </c>
      <c r="R61" s="1">
        <v>0.60295064500000006</v>
      </c>
      <c r="S61" s="1">
        <v>2.8645897842054922E-2</v>
      </c>
      <c r="T61" t="s">
        <v>207</v>
      </c>
      <c r="U61" s="1">
        <v>9690</v>
      </c>
      <c r="V61">
        <f t="shared" si="0"/>
        <v>0.44292486411675169</v>
      </c>
      <c r="W61" s="1">
        <f t="shared" si="1"/>
        <v>44.300000000000004</v>
      </c>
      <c r="X61">
        <f t="shared" si="2"/>
        <v>0.4831970109999999</v>
      </c>
      <c r="Y61">
        <f t="shared" si="3"/>
        <v>31.399999999999977</v>
      </c>
      <c r="Z61" s="1">
        <v>19</v>
      </c>
      <c r="AA61">
        <v>81</v>
      </c>
      <c r="AB61">
        <v>0.2346</v>
      </c>
      <c r="AC61">
        <v>29</v>
      </c>
      <c r="AD61">
        <v>96</v>
      </c>
      <c r="AE61">
        <v>0.30209999999999998</v>
      </c>
      <c r="AF61" t="s">
        <v>2590</v>
      </c>
      <c r="AG61" t="s">
        <v>2589</v>
      </c>
    </row>
    <row r="62" spans="1:33">
      <c r="A62" s="2" t="s">
        <v>9</v>
      </c>
      <c r="B62" s="2" t="s">
        <v>129</v>
      </c>
      <c r="C62" s="1">
        <v>0.49695889599999998</v>
      </c>
      <c r="D62">
        <v>0.62537463599999998</v>
      </c>
      <c r="E62">
        <v>0.63877984499999996</v>
      </c>
      <c r="F62" s="1" t="s">
        <v>147</v>
      </c>
      <c r="G62" s="1">
        <v>1.061574435</v>
      </c>
      <c r="H62" s="1">
        <v>54.1</v>
      </c>
      <c r="I62" s="1">
        <v>128.30000000000001</v>
      </c>
      <c r="J62" s="1">
        <v>0.58703779233333331</v>
      </c>
      <c r="K62" s="1">
        <v>0.50422724299999999</v>
      </c>
      <c r="L62" s="1">
        <v>0.61050655300000001</v>
      </c>
      <c r="M62" s="3">
        <v>0.63007085299999999</v>
      </c>
      <c r="N62" s="1" t="s">
        <v>130</v>
      </c>
      <c r="O62" s="1">
        <v>1.4142988080000001</v>
      </c>
      <c r="P62" s="1">
        <v>58.7</v>
      </c>
      <c r="Q62" s="1">
        <v>109.1</v>
      </c>
      <c r="R62" s="1">
        <v>0.58160154966666655</v>
      </c>
      <c r="S62" s="1">
        <v>1.8701211240541638E-2</v>
      </c>
      <c r="T62" t="s">
        <v>208</v>
      </c>
      <c r="U62" s="1">
        <v>23126</v>
      </c>
      <c r="V62">
        <f t="shared" si="0"/>
        <v>0.48490005792299345</v>
      </c>
      <c r="W62" s="1">
        <f t="shared" si="1"/>
        <v>4.6000000000000014</v>
      </c>
      <c r="X62">
        <f t="shared" si="2"/>
        <v>0.35272437300000004</v>
      </c>
      <c r="Y62">
        <f t="shared" si="3"/>
        <v>19.200000000000017</v>
      </c>
      <c r="Z62" s="1">
        <v>26</v>
      </c>
      <c r="AA62">
        <v>74</v>
      </c>
      <c r="AB62">
        <v>0.35139999999999999</v>
      </c>
      <c r="AC62">
        <v>26</v>
      </c>
      <c r="AD62">
        <v>82</v>
      </c>
      <c r="AE62">
        <v>0.31709999999999999</v>
      </c>
      <c r="AF62" t="s">
        <v>2590</v>
      </c>
      <c r="AG62" t="s">
        <v>2593</v>
      </c>
    </row>
    <row r="63" spans="1:33">
      <c r="A63" s="2" t="s">
        <v>9</v>
      </c>
      <c r="B63" s="2" t="s">
        <v>131</v>
      </c>
      <c r="C63" s="1">
        <v>0.49695889599999998</v>
      </c>
      <c r="D63">
        <v>0.62537463599999998</v>
      </c>
      <c r="E63">
        <v>0.63877984499999996</v>
      </c>
      <c r="F63" s="1" t="s">
        <v>147</v>
      </c>
      <c r="G63" s="1">
        <v>1.061574435</v>
      </c>
      <c r="H63" s="1">
        <v>54.1</v>
      </c>
      <c r="I63" s="1">
        <v>128.30000000000001</v>
      </c>
      <c r="J63" s="1">
        <v>0.58703779233333331</v>
      </c>
      <c r="K63" s="1">
        <v>0.53830564800000003</v>
      </c>
      <c r="L63" s="1">
        <v>0.65609959100000004</v>
      </c>
      <c r="M63" s="3">
        <v>0.68896664299999999</v>
      </c>
      <c r="N63" s="1" t="s">
        <v>132</v>
      </c>
      <c r="O63" s="1">
        <v>1.0676416820000001</v>
      </c>
      <c r="P63" s="1">
        <v>25</v>
      </c>
      <c r="Q63" s="1">
        <v>54.7</v>
      </c>
      <c r="R63" s="1">
        <v>0.62779062733333335</v>
      </c>
      <c r="S63" s="1">
        <v>7.1918644691028086E-2</v>
      </c>
      <c r="T63" t="s">
        <v>209</v>
      </c>
      <c r="U63" s="1">
        <v>9799</v>
      </c>
      <c r="V63">
        <f t="shared" si="0"/>
        <v>0.4434646397408748</v>
      </c>
      <c r="W63" s="1">
        <f t="shared" si="1"/>
        <v>29.1</v>
      </c>
      <c r="X63">
        <f t="shared" si="2"/>
        <v>6.0672470000000533E-3</v>
      </c>
      <c r="Y63">
        <f t="shared" si="3"/>
        <v>73.600000000000009</v>
      </c>
      <c r="Z63" s="1">
        <v>1</v>
      </c>
      <c r="AA63">
        <v>99</v>
      </c>
      <c r="AB63">
        <v>1.01E-2</v>
      </c>
      <c r="AC63">
        <v>1</v>
      </c>
      <c r="AD63">
        <v>103</v>
      </c>
      <c r="AE63">
        <v>9.7000000000000003E-3</v>
      </c>
      <c r="AF63" t="s">
        <v>2590</v>
      </c>
      <c r="AG63" t="s">
        <v>2589</v>
      </c>
    </row>
    <row r="64" spans="1:33">
      <c r="A64" s="2" t="s">
        <v>9</v>
      </c>
      <c r="B64" s="2" t="s">
        <v>133</v>
      </c>
      <c r="C64" s="1">
        <v>0.49695889599999998</v>
      </c>
      <c r="D64">
        <v>0.62537463599999998</v>
      </c>
      <c r="E64">
        <v>0.63877984499999996</v>
      </c>
      <c r="F64" s="1" t="s">
        <v>147</v>
      </c>
      <c r="G64" s="1">
        <v>1.061574435</v>
      </c>
      <c r="H64" s="1">
        <v>54.1</v>
      </c>
      <c r="I64" s="1">
        <v>128.30000000000001</v>
      </c>
      <c r="J64" s="1">
        <v>0.58703779233333331</v>
      </c>
      <c r="K64" s="1">
        <v>0.65296959200000004</v>
      </c>
      <c r="L64" s="1">
        <v>0.71047257900000005</v>
      </c>
      <c r="M64" s="3">
        <v>0.679994718</v>
      </c>
      <c r="N64" s="1" t="s">
        <v>134</v>
      </c>
      <c r="O64" s="1">
        <v>1.3877068560000001</v>
      </c>
      <c r="P64" s="1">
        <v>25.6</v>
      </c>
      <c r="Q64" s="1">
        <v>42.3</v>
      </c>
      <c r="R64" s="1">
        <v>0.6811456296666667</v>
      </c>
      <c r="S64" s="1">
        <v>0.18242714415799482</v>
      </c>
      <c r="T64" t="s">
        <v>210</v>
      </c>
      <c r="U64" s="1">
        <v>1138</v>
      </c>
      <c r="V64">
        <f t="shared" si="0"/>
        <v>0.33957136245100578</v>
      </c>
      <c r="W64" s="1">
        <f t="shared" si="1"/>
        <v>28.5</v>
      </c>
      <c r="X64">
        <f t="shared" si="2"/>
        <v>0.32613242100000006</v>
      </c>
      <c r="Y64">
        <f t="shared" si="3"/>
        <v>86.000000000000014</v>
      </c>
      <c r="Z64" s="1">
        <v>1</v>
      </c>
      <c r="AA64">
        <v>99</v>
      </c>
      <c r="AB64">
        <v>1.01E-2</v>
      </c>
      <c r="AC64">
        <v>2</v>
      </c>
      <c r="AD64">
        <v>154</v>
      </c>
      <c r="AE64">
        <v>1.2999999999999999E-2</v>
      </c>
      <c r="AF64" t="s">
        <v>2590</v>
      </c>
      <c r="AG64" t="s">
        <v>2591</v>
      </c>
    </row>
    <row r="65" spans="1:33">
      <c r="A65" s="2" t="s">
        <v>9</v>
      </c>
      <c r="B65" s="2" t="s">
        <v>135</v>
      </c>
      <c r="C65" s="1">
        <v>0.49695889599999998</v>
      </c>
      <c r="D65">
        <v>0.62537463599999998</v>
      </c>
      <c r="E65">
        <v>0.63877984499999996</v>
      </c>
      <c r="F65" s="1" t="s">
        <v>147</v>
      </c>
      <c r="G65" s="1">
        <v>1.061574435</v>
      </c>
      <c r="H65" s="1">
        <v>54.1</v>
      </c>
      <c r="I65" s="1">
        <v>128.30000000000001</v>
      </c>
      <c r="J65" s="1">
        <v>0.58703779233333331</v>
      </c>
      <c r="K65" s="1">
        <v>0.62083905900000003</v>
      </c>
      <c r="L65" s="1">
        <v>0.69185057000000005</v>
      </c>
      <c r="M65" s="3">
        <v>0.70435387900000002</v>
      </c>
      <c r="N65" s="1" t="s">
        <v>136</v>
      </c>
      <c r="O65" s="1">
        <v>1.353075171</v>
      </c>
      <c r="P65" s="1">
        <v>25.2</v>
      </c>
      <c r="Q65" s="1">
        <v>43.9</v>
      </c>
      <c r="R65" s="1">
        <v>0.67234783600000003</v>
      </c>
      <c r="S65" s="1">
        <v>0.15512994076293624</v>
      </c>
      <c r="T65" t="s">
        <v>211</v>
      </c>
      <c r="U65" s="1">
        <v>964</v>
      </c>
      <c r="V65">
        <f t="shared" si="0"/>
        <v>0.33156411487809234</v>
      </c>
      <c r="W65" s="1">
        <f t="shared" si="1"/>
        <v>28.900000000000002</v>
      </c>
      <c r="X65">
        <f t="shared" si="2"/>
        <v>0.29150073599999993</v>
      </c>
      <c r="Y65">
        <f t="shared" si="3"/>
        <v>84.4</v>
      </c>
      <c r="Z65" s="1">
        <v>1</v>
      </c>
      <c r="AA65">
        <v>99</v>
      </c>
      <c r="AB65">
        <v>1.01E-2</v>
      </c>
      <c r="AC65">
        <v>3</v>
      </c>
      <c r="AD65">
        <v>123</v>
      </c>
      <c r="AE65">
        <v>2.4400000000000002E-2</v>
      </c>
      <c r="AF65" t="s">
        <v>2590</v>
      </c>
      <c r="AG65" t="s">
        <v>2591</v>
      </c>
    </row>
    <row r="66" spans="1:33">
      <c r="A66" s="2" t="s">
        <v>9</v>
      </c>
      <c r="B66" s="2" t="s">
        <v>137</v>
      </c>
      <c r="C66" s="1">
        <v>0.49695889599999998</v>
      </c>
      <c r="D66">
        <v>0.62537463599999998</v>
      </c>
      <c r="E66">
        <v>0.63877984499999996</v>
      </c>
      <c r="F66" s="1" t="s">
        <v>147</v>
      </c>
      <c r="G66" s="1">
        <v>1.061574435</v>
      </c>
      <c r="H66" s="1">
        <v>54.1</v>
      </c>
      <c r="I66" s="1">
        <v>128.30000000000001</v>
      </c>
      <c r="J66" s="1">
        <v>0.58703779233333331</v>
      </c>
      <c r="K66" s="1">
        <v>0.63291540800000001</v>
      </c>
      <c r="L66" s="1">
        <v>0.77430151800000002</v>
      </c>
      <c r="M66" s="3">
        <v>0.70057116200000003</v>
      </c>
      <c r="N66" s="1" t="s">
        <v>138</v>
      </c>
      <c r="O66" s="1">
        <v>1.1048387099999999</v>
      </c>
      <c r="P66" s="1">
        <v>35.4</v>
      </c>
      <c r="Q66" s="1">
        <v>74.400000000000006</v>
      </c>
      <c r="R66" s="1">
        <v>0.70259602933333332</v>
      </c>
      <c r="S66" s="1">
        <v>0.21090651055394802</v>
      </c>
      <c r="T66" t="s">
        <v>212</v>
      </c>
      <c r="U66" s="1">
        <v>3458</v>
      </c>
      <c r="V66">
        <f t="shared" ref="V66:V129" si="4">LOG10(U66) / 9</f>
        <v>0.39320277654865593</v>
      </c>
      <c r="W66" s="1">
        <f t="shared" ref="W66:W129" si="5">ABS(H66-P66)</f>
        <v>18.700000000000003</v>
      </c>
      <c r="X66">
        <f t="shared" ref="X66:X129" si="6">ABS(G66-O66)</f>
        <v>4.3264274999999852E-2</v>
      </c>
      <c r="Y66">
        <f t="shared" ref="Y66:Y129" si="7">ABS(I66-Q66)</f>
        <v>53.900000000000006</v>
      </c>
      <c r="Z66" s="1">
        <v>8</v>
      </c>
      <c r="AA66">
        <v>92</v>
      </c>
      <c r="AB66">
        <v>8.6999999999999994E-2</v>
      </c>
      <c r="AC66">
        <v>14</v>
      </c>
      <c r="AD66">
        <v>103</v>
      </c>
      <c r="AE66">
        <v>0.13589999999999999</v>
      </c>
      <c r="AF66" t="s">
        <v>2590</v>
      </c>
      <c r="AG66" t="s">
        <v>2589</v>
      </c>
    </row>
    <row r="67" spans="1:33">
      <c r="A67" s="2" t="s">
        <v>9</v>
      </c>
      <c r="B67" s="2" t="s">
        <v>139</v>
      </c>
      <c r="C67" s="1">
        <v>0.49695889599999998</v>
      </c>
      <c r="D67">
        <v>0.62537463599999998</v>
      </c>
      <c r="E67">
        <v>0.63877984499999996</v>
      </c>
      <c r="F67" s="1" t="s">
        <v>147</v>
      </c>
      <c r="G67" s="1">
        <v>1.061574435</v>
      </c>
      <c r="H67" s="1">
        <v>54.1</v>
      </c>
      <c r="I67" s="1">
        <v>128.30000000000001</v>
      </c>
      <c r="J67" s="1">
        <v>0.58703779233333331</v>
      </c>
      <c r="K67" s="1">
        <v>0.52583481399999998</v>
      </c>
      <c r="L67" s="1">
        <v>0.65097824800000004</v>
      </c>
      <c r="M67" s="3">
        <v>0.65942698399999999</v>
      </c>
      <c r="N67" s="1" t="s">
        <v>140</v>
      </c>
      <c r="O67" s="1">
        <v>1.123169681</v>
      </c>
      <c r="P67" s="1">
        <v>56.5</v>
      </c>
      <c r="Q67" s="1">
        <v>116.1</v>
      </c>
      <c r="R67" s="1">
        <v>0.61208001533333334</v>
      </c>
      <c r="S67" s="1">
        <v>4.3768344001967829E-2</v>
      </c>
      <c r="T67" t="s">
        <v>213</v>
      </c>
      <c r="U67" s="1">
        <v>6642</v>
      </c>
      <c r="V67">
        <f t="shared" si="4"/>
        <v>0.42469987458470737</v>
      </c>
      <c r="W67" s="1">
        <f t="shared" si="5"/>
        <v>2.3999999999999986</v>
      </c>
      <c r="X67">
        <f t="shared" si="6"/>
        <v>6.1595245999999992E-2</v>
      </c>
      <c r="Y67">
        <f t="shared" si="7"/>
        <v>12.200000000000017</v>
      </c>
      <c r="Z67" s="1">
        <v>16</v>
      </c>
      <c r="AA67">
        <v>84</v>
      </c>
      <c r="AB67">
        <v>0.1905</v>
      </c>
      <c r="AC67">
        <v>25</v>
      </c>
      <c r="AD67">
        <v>103</v>
      </c>
      <c r="AE67">
        <v>0.2427</v>
      </c>
      <c r="AF67" t="s">
        <v>2590</v>
      </c>
      <c r="AG67" t="s">
        <v>2589</v>
      </c>
    </row>
    <row r="68" spans="1:33">
      <c r="A68" s="2" t="s">
        <v>9</v>
      </c>
      <c r="B68" s="2" t="s">
        <v>141</v>
      </c>
      <c r="C68" s="1">
        <v>0.49695889599999998</v>
      </c>
      <c r="D68">
        <v>0.62537463599999998</v>
      </c>
      <c r="E68">
        <v>0.63877984499999996</v>
      </c>
      <c r="F68" s="1" t="s">
        <v>147</v>
      </c>
      <c r="G68" s="1">
        <v>1.061574435</v>
      </c>
      <c r="H68" s="1">
        <v>54.1</v>
      </c>
      <c r="I68" s="1">
        <v>128.30000000000001</v>
      </c>
      <c r="J68" s="1">
        <v>0.58703779233333331</v>
      </c>
      <c r="K68" s="1">
        <v>0.51109353000000002</v>
      </c>
      <c r="L68" s="1">
        <v>0.62487169300000001</v>
      </c>
      <c r="M68" s="3">
        <v>0.629348248</v>
      </c>
      <c r="N68" s="1" t="s">
        <v>142</v>
      </c>
      <c r="O68" s="1">
        <v>1.171344165</v>
      </c>
      <c r="P68" s="1">
        <v>60.9</v>
      </c>
      <c r="Q68" s="1">
        <v>135.4</v>
      </c>
      <c r="R68" s="1">
        <v>0.58843782366666664</v>
      </c>
      <c r="S68" s="1">
        <v>1.6999877997962636E-2</v>
      </c>
      <c r="T68" t="s">
        <v>214</v>
      </c>
      <c r="U68" s="1">
        <v>19941</v>
      </c>
      <c r="V68">
        <f t="shared" si="4"/>
        <v>0.47774965927708923</v>
      </c>
      <c r="W68" s="1">
        <f t="shared" si="5"/>
        <v>6.7999999999999972</v>
      </c>
      <c r="X68">
        <f t="shared" si="6"/>
        <v>0.10976973000000001</v>
      </c>
      <c r="Y68">
        <f t="shared" si="7"/>
        <v>7.0999999999999943</v>
      </c>
      <c r="Z68" s="1">
        <v>24</v>
      </c>
      <c r="AA68">
        <v>76</v>
      </c>
      <c r="AB68">
        <v>0.31580000000000003</v>
      </c>
      <c r="AC68">
        <v>24</v>
      </c>
      <c r="AD68">
        <v>86</v>
      </c>
      <c r="AE68">
        <v>0.27910000000000001</v>
      </c>
      <c r="AF68" t="s">
        <v>2590</v>
      </c>
      <c r="AG68" t="s">
        <v>2592</v>
      </c>
    </row>
    <row r="69" spans="1:33">
      <c r="A69" s="2" t="s">
        <v>9</v>
      </c>
      <c r="B69" s="2" t="s">
        <v>143</v>
      </c>
      <c r="C69" s="1">
        <v>0.49695889599999998</v>
      </c>
      <c r="D69">
        <v>0.62537463599999998</v>
      </c>
      <c r="E69">
        <v>0.63877984499999996</v>
      </c>
      <c r="F69" s="1" t="s">
        <v>147</v>
      </c>
      <c r="G69" s="1">
        <v>1.061574435</v>
      </c>
      <c r="H69" s="1">
        <v>54.1</v>
      </c>
      <c r="I69" s="1">
        <v>128.30000000000001</v>
      </c>
      <c r="J69" s="1">
        <v>0.58703779233333331</v>
      </c>
      <c r="K69" s="1">
        <v>0.52984414300000005</v>
      </c>
      <c r="L69" s="1">
        <v>0.66186003599999998</v>
      </c>
      <c r="M69" s="3">
        <v>0.66644348499999995</v>
      </c>
      <c r="N69" s="1" t="s">
        <v>144</v>
      </c>
      <c r="O69" s="1">
        <v>1.3529411760000001</v>
      </c>
      <c r="P69" s="1">
        <v>60.7</v>
      </c>
      <c r="Q69" s="1">
        <v>107.1</v>
      </c>
      <c r="R69" s="1">
        <v>0.6193825546666667</v>
      </c>
      <c r="S69" s="1">
        <v>5.6372873453999245E-2</v>
      </c>
      <c r="T69" t="s">
        <v>215</v>
      </c>
      <c r="U69" s="1">
        <v>7860</v>
      </c>
      <c r="V69">
        <f t="shared" si="4"/>
        <v>0.43282472733771199</v>
      </c>
      <c r="W69" s="1">
        <f t="shared" si="5"/>
        <v>6.6000000000000014</v>
      </c>
      <c r="X69">
        <f t="shared" si="6"/>
        <v>0.29136674100000004</v>
      </c>
      <c r="Y69">
        <f t="shared" si="7"/>
        <v>21.200000000000017</v>
      </c>
      <c r="Z69" s="1">
        <v>17</v>
      </c>
      <c r="AA69">
        <v>83</v>
      </c>
      <c r="AB69">
        <v>0.20480000000000001</v>
      </c>
      <c r="AC69">
        <v>23</v>
      </c>
      <c r="AD69">
        <v>107</v>
      </c>
      <c r="AE69">
        <v>0.215</v>
      </c>
      <c r="AF69" t="s">
        <v>2590</v>
      </c>
      <c r="AG69" t="s">
        <v>2589</v>
      </c>
    </row>
    <row r="70" spans="1:33">
      <c r="A70" s="2" t="s">
        <v>9</v>
      </c>
      <c r="B70" s="2" t="s">
        <v>145</v>
      </c>
      <c r="C70" s="1">
        <v>0.49695889599999998</v>
      </c>
      <c r="D70">
        <v>0.62537463599999998</v>
      </c>
      <c r="E70">
        <v>0.63877984499999996</v>
      </c>
      <c r="F70" s="1" t="s">
        <v>147</v>
      </c>
      <c r="G70" s="1">
        <v>1.061574435</v>
      </c>
      <c r="H70" s="1">
        <v>54.1</v>
      </c>
      <c r="I70" s="1">
        <v>128.30000000000001</v>
      </c>
      <c r="J70" s="1">
        <v>0.58703779233333331</v>
      </c>
      <c r="K70" s="1">
        <v>0.63439632599999995</v>
      </c>
      <c r="L70" s="1">
        <v>0.68173804199999999</v>
      </c>
      <c r="M70" s="3">
        <v>0.69641308800000001</v>
      </c>
      <c r="N70" s="1" t="s">
        <v>146</v>
      </c>
      <c r="O70" s="1">
        <v>2.0097323600000001</v>
      </c>
      <c r="P70" s="1">
        <v>35.700000000000003</v>
      </c>
      <c r="Q70" s="1">
        <v>41.1</v>
      </c>
      <c r="R70" s="1">
        <v>0.67084915200000006</v>
      </c>
      <c r="S70" s="1">
        <v>0.15933446394180634</v>
      </c>
      <c r="T70" t="s">
        <v>216</v>
      </c>
      <c r="U70" s="1">
        <v>904</v>
      </c>
      <c r="V70">
        <f t="shared" si="4"/>
        <v>0.32846315894170702</v>
      </c>
      <c r="W70" s="1">
        <f t="shared" si="5"/>
        <v>18.399999999999999</v>
      </c>
      <c r="X70">
        <f t="shared" si="6"/>
        <v>0.94815792500000007</v>
      </c>
      <c r="Y70">
        <f t="shared" si="7"/>
        <v>87.200000000000017</v>
      </c>
      <c r="Z70" s="1">
        <v>1</v>
      </c>
      <c r="AA70">
        <v>99</v>
      </c>
      <c r="AB70">
        <v>1.01E-2</v>
      </c>
      <c r="AC70">
        <v>3</v>
      </c>
      <c r="AD70">
        <v>129</v>
      </c>
      <c r="AE70">
        <v>2.3300000000000001E-2</v>
      </c>
      <c r="AF70" t="s">
        <v>2590</v>
      </c>
      <c r="AG70" t="s">
        <v>2591</v>
      </c>
    </row>
    <row r="71" spans="1:33">
      <c r="A71" s="2" t="s">
        <v>145</v>
      </c>
      <c r="B71" s="2" t="s">
        <v>10</v>
      </c>
      <c r="C71" s="1">
        <v>0.63439632599999995</v>
      </c>
      <c r="D71">
        <v>0.68173804199999999</v>
      </c>
      <c r="E71">
        <v>0.69641308800000001</v>
      </c>
      <c r="F71" s="1" t="s">
        <v>146</v>
      </c>
      <c r="G71" s="1">
        <v>2.0097323600000001</v>
      </c>
      <c r="H71" s="1">
        <v>35.700000000000003</v>
      </c>
      <c r="I71" s="1">
        <v>41.1</v>
      </c>
      <c r="J71" s="1">
        <v>0.67084915200000006</v>
      </c>
      <c r="K71" s="1">
        <v>0.52456325500000001</v>
      </c>
      <c r="L71" s="1">
        <v>0.61925627999999999</v>
      </c>
      <c r="M71" s="3">
        <v>0.72111139899999999</v>
      </c>
      <c r="N71" s="1" t="s">
        <v>12</v>
      </c>
      <c r="O71" s="1">
        <v>0.61690647499999995</v>
      </c>
      <c r="P71" s="1">
        <v>30</v>
      </c>
      <c r="Q71" s="1">
        <v>111.2</v>
      </c>
      <c r="R71" s="1">
        <v>0.62164364466666666</v>
      </c>
      <c r="S71" s="1">
        <v>0.12875278884035246</v>
      </c>
      <c r="T71" t="s">
        <v>218</v>
      </c>
      <c r="U71" s="1">
        <v>162</v>
      </c>
      <c r="V71">
        <f t="shared" si="4"/>
        <v>0.24550166828251452</v>
      </c>
      <c r="W71" s="1">
        <f t="shared" si="5"/>
        <v>5.7000000000000028</v>
      </c>
      <c r="X71">
        <f t="shared" si="6"/>
        <v>1.3928258850000002</v>
      </c>
      <c r="Y71">
        <f t="shared" si="7"/>
        <v>70.099999999999994</v>
      </c>
      <c r="Z71" s="1">
        <v>1</v>
      </c>
      <c r="AA71">
        <v>99</v>
      </c>
      <c r="AB71">
        <v>1.01E-2</v>
      </c>
      <c r="AC71">
        <v>2</v>
      </c>
      <c r="AD71">
        <v>174</v>
      </c>
      <c r="AE71">
        <v>1.15E-2</v>
      </c>
      <c r="AF71" t="s">
        <v>2591</v>
      </c>
      <c r="AG71" t="s">
        <v>2588</v>
      </c>
    </row>
    <row r="72" spans="1:33">
      <c r="A72" s="2" t="s">
        <v>145</v>
      </c>
      <c r="B72" s="2" t="s">
        <v>13</v>
      </c>
      <c r="C72" s="1">
        <v>0.63439632599999995</v>
      </c>
      <c r="D72">
        <v>0.68173804199999999</v>
      </c>
      <c r="E72">
        <v>0.69641308800000001</v>
      </c>
      <c r="F72" s="1" t="s">
        <v>146</v>
      </c>
      <c r="G72" s="1">
        <v>2.0097323600000001</v>
      </c>
      <c r="H72" s="1">
        <v>35.700000000000003</v>
      </c>
      <c r="I72" s="1">
        <v>41.1</v>
      </c>
      <c r="J72" s="1">
        <v>0.67084915200000006</v>
      </c>
      <c r="K72" s="1">
        <v>0.48695497399999998</v>
      </c>
      <c r="L72" s="1">
        <v>0.54991327199999995</v>
      </c>
      <c r="M72" s="3">
        <v>0.67282609299999996</v>
      </c>
      <c r="N72" s="1" t="s">
        <v>14</v>
      </c>
      <c r="O72" s="1">
        <v>1.6052009460000001</v>
      </c>
      <c r="P72" s="1">
        <v>26.6</v>
      </c>
      <c r="Q72" s="1">
        <v>42.3</v>
      </c>
      <c r="R72" s="1">
        <v>0.56989811299999993</v>
      </c>
      <c r="S72" s="1">
        <v>0.19918099457094504</v>
      </c>
      <c r="T72" t="s">
        <v>219</v>
      </c>
      <c r="U72" s="1">
        <v>166</v>
      </c>
      <c r="V72">
        <f t="shared" si="4"/>
        <v>0.24667867644889499</v>
      </c>
      <c r="W72" s="1">
        <f t="shared" si="5"/>
        <v>9.1000000000000014</v>
      </c>
      <c r="X72">
        <f t="shared" si="6"/>
        <v>0.40453141400000003</v>
      </c>
      <c r="Y72">
        <f t="shared" si="7"/>
        <v>1.1999999999999957</v>
      </c>
      <c r="Z72" s="1">
        <v>0</v>
      </c>
      <c r="AA72">
        <v>100</v>
      </c>
      <c r="AB72">
        <v>0</v>
      </c>
      <c r="AC72">
        <v>1</v>
      </c>
      <c r="AD72">
        <v>122</v>
      </c>
      <c r="AE72">
        <v>8.2000000000000007E-3</v>
      </c>
      <c r="AF72" t="s">
        <v>2591</v>
      </c>
      <c r="AG72" t="s">
        <v>2590</v>
      </c>
    </row>
    <row r="73" spans="1:33">
      <c r="A73" s="2" t="s">
        <v>145</v>
      </c>
      <c r="B73" s="2" t="s">
        <v>15</v>
      </c>
      <c r="C73" s="1">
        <v>0.63439632599999995</v>
      </c>
      <c r="D73">
        <v>0.68173804199999999</v>
      </c>
      <c r="E73">
        <v>0.69641308800000001</v>
      </c>
      <c r="F73" s="1" t="s">
        <v>146</v>
      </c>
      <c r="G73" s="1">
        <v>2.0097323600000001</v>
      </c>
      <c r="H73" s="1">
        <v>35.700000000000003</v>
      </c>
      <c r="I73" s="1">
        <v>41.1</v>
      </c>
      <c r="J73" s="1">
        <v>0.67084915200000006</v>
      </c>
      <c r="K73" s="1">
        <v>0.54560998800000005</v>
      </c>
      <c r="L73" s="1">
        <v>0.66721428400000005</v>
      </c>
      <c r="M73" s="3">
        <v>0.72650398400000005</v>
      </c>
      <c r="N73" s="1" t="s">
        <v>16</v>
      </c>
      <c r="O73" s="1">
        <v>5.1392405060000002</v>
      </c>
      <c r="P73" s="1">
        <v>35.9</v>
      </c>
      <c r="Q73" s="1">
        <v>15.8</v>
      </c>
      <c r="R73" s="1">
        <v>0.64644275200000012</v>
      </c>
      <c r="S73" s="1">
        <v>9.486524855802364E-2</v>
      </c>
      <c r="T73" t="s">
        <v>220</v>
      </c>
      <c r="U73" s="1">
        <v>17831</v>
      </c>
      <c r="V73">
        <f t="shared" si="4"/>
        <v>0.47235285555630441</v>
      </c>
      <c r="W73" s="1">
        <f t="shared" si="5"/>
        <v>0.19999999999999574</v>
      </c>
      <c r="X73">
        <f t="shared" si="6"/>
        <v>3.129508146</v>
      </c>
      <c r="Y73">
        <f t="shared" si="7"/>
        <v>25.3</v>
      </c>
      <c r="Z73" s="1">
        <v>20</v>
      </c>
      <c r="AA73">
        <v>80</v>
      </c>
      <c r="AB73">
        <v>0.25</v>
      </c>
      <c r="AC73">
        <v>24</v>
      </c>
      <c r="AD73">
        <v>95</v>
      </c>
      <c r="AE73">
        <v>0.25259999999999999</v>
      </c>
      <c r="AF73" t="s">
        <v>2591</v>
      </c>
      <c r="AG73" t="s">
        <v>2591</v>
      </c>
    </row>
    <row r="74" spans="1:33">
      <c r="A74" s="2" t="s">
        <v>145</v>
      </c>
      <c r="B74" s="2" t="s">
        <v>17</v>
      </c>
      <c r="C74" s="1">
        <v>0.63439632599999995</v>
      </c>
      <c r="D74">
        <v>0.68173804199999999</v>
      </c>
      <c r="E74">
        <v>0.69641308800000001</v>
      </c>
      <c r="F74" s="1" t="s">
        <v>146</v>
      </c>
      <c r="G74" s="1">
        <v>2.0097323600000001</v>
      </c>
      <c r="H74" s="1">
        <v>35.700000000000003</v>
      </c>
      <c r="I74" s="1">
        <v>41.1</v>
      </c>
      <c r="J74" s="1">
        <v>0.67084915200000006</v>
      </c>
      <c r="K74" s="1">
        <v>0.659112378</v>
      </c>
      <c r="L74" s="1">
        <v>0.68333493499999998</v>
      </c>
      <c r="M74" s="3">
        <v>0.70345495199999997</v>
      </c>
      <c r="N74" s="1" t="s">
        <v>18</v>
      </c>
      <c r="O74" s="1">
        <v>1.9463955639999999</v>
      </c>
      <c r="P74" s="1">
        <v>46.3</v>
      </c>
      <c r="Q74" s="1">
        <v>54.1</v>
      </c>
      <c r="R74" s="1">
        <v>0.68196742166666668</v>
      </c>
      <c r="S74" s="1">
        <v>2.5749196925625672E-2</v>
      </c>
      <c r="T74" t="s">
        <v>221</v>
      </c>
      <c r="U74" s="1">
        <v>80805</v>
      </c>
      <c r="V74">
        <f t="shared" si="4"/>
        <v>0.54527091495573732</v>
      </c>
      <c r="W74" s="1">
        <f t="shared" si="5"/>
        <v>10.599999999999994</v>
      </c>
      <c r="X74">
        <f t="shared" si="6"/>
        <v>6.3336796000000195E-2</v>
      </c>
      <c r="Y74">
        <f t="shared" si="7"/>
        <v>13</v>
      </c>
      <c r="Z74" s="1">
        <v>34</v>
      </c>
      <c r="AA74">
        <v>66</v>
      </c>
      <c r="AB74">
        <v>0.51519999999999999</v>
      </c>
      <c r="AC74">
        <v>42</v>
      </c>
      <c r="AD74">
        <v>91</v>
      </c>
      <c r="AE74">
        <v>0.46150000000000002</v>
      </c>
      <c r="AF74" t="s">
        <v>2591</v>
      </c>
      <c r="AG74" t="s">
        <v>2591</v>
      </c>
    </row>
    <row r="75" spans="1:33">
      <c r="A75" s="2" t="s">
        <v>145</v>
      </c>
      <c r="B75" s="2" t="s">
        <v>19</v>
      </c>
      <c r="C75" s="1">
        <v>0.63439632599999995</v>
      </c>
      <c r="D75">
        <v>0.68173804199999999</v>
      </c>
      <c r="E75">
        <v>0.69641308800000001</v>
      </c>
      <c r="F75" s="1" t="s">
        <v>146</v>
      </c>
      <c r="G75" s="1">
        <v>2.0097323600000001</v>
      </c>
      <c r="H75" s="1">
        <v>35.700000000000003</v>
      </c>
      <c r="I75" s="1">
        <v>41.1</v>
      </c>
      <c r="J75" s="1">
        <v>0.67084915200000006</v>
      </c>
      <c r="K75" s="1">
        <v>0.49391595300000002</v>
      </c>
      <c r="L75" s="1">
        <v>0.603599314</v>
      </c>
      <c r="M75" s="3">
        <v>0.63481471599999995</v>
      </c>
      <c r="N75" s="1" t="s">
        <v>20</v>
      </c>
      <c r="O75" s="1">
        <v>1.2140902870000001</v>
      </c>
      <c r="P75" s="1">
        <v>64.900000000000006</v>
      </c>
      <c r="Q75" s="1">
        <v>146.19999999999999</v>
      </c>
      <c r="R75" s="1">
        <v>0.57744332766666662</v>
      </c>
      <c r="S75" s="1">
        <v>0.17214748166827037</v>
      </c>
      <c r="T75" t="s">
        <v>222</v>
      </c>
      <c r="U75" s="1">
        <v>2147</v>
      </c>
      <c r="V75">
        <f t="shared" si="4"/>
        <v>0.37020356049291653</v>
      </c>
      <c r="W75" s="1">
        <f t="shared" si="5"/>
        <v>29.200000000000003</v>
      </c>
      <c r="X75">
        <f t="shared" si="6"/>
        <v>0.79564207300000001</v>
      </c>
      <c r="Y75">
        <f t="shared" si="7"/>
        <v>105.1</v>
      </c>
      <c r="Z75" s="1">
        <v>3</v>
      </c>
      <c r="AA75">
        <v>97</v>
      </c>
      <c r="AB75">
        <v>3.09E-2</v>
      </c>
      <c r="AC75">
        <v>4</v>
      </c>
      <c r="AD75">
        <v>109</v>
      </c>
      <c r="AE75">
        <v>3.6700000000000003E-2</v>
      </c>
      <c r="AF75" t="s">
        <v>2591</v>
      </c>
      <c r="AG75" t="s">
        <v>2593</v>
      </c>
    </row>
    <row r="76" spans="1:33">
      <c r="A76" s="2" t="s">
        <v>145</v>
      </c>
      <c r="B76" s="2" t="s">
        <v>21</v>
      </c>
      <c r="C76" s="1">
        <v>0.63439632599999995</v>
      </c>
      <c r="D76">
        <v>0.68173804199999999</v>
      </c>
      <c r="E76">
        <v>0.69641308800000001</v>
      </c>
      <c r="F76" s="1" t="s">
        <v>146</v>
      </c>
      <c r="G76" s="1">
        <v>2.0097323600000001</v>
      </c>
      <c r="H76" s="1">
        <v>35.700000000000003</v>
      </c>
      <c r="I76" s="1">
        <v>41.1</v>
      </c>
      <c r="J76" s="1">
        <v>0.67084915200000006</v>
      </c>
      <c r="K76" s="1">
        <v>0.53276376800000003</v>
      </c>
      <c r="L76" s="1">
        <v>0.65428149899999999</v>
      </c>
      <c r="M76" s="3">
        <v>0.70160154799999996</v>
      </c>
      <c r="N76" s="1" t="s">
        <v>22</v>
      </c>
      <c r="O76" s="1">
        <v>1.2440604749999999</v>
      </c>
      <c r="P76" s="1">
        <v>24.6</v>
      </c>
      <c r="Q76" s="1">
        <v>46.3</v>
      </c>
      <c r="R76" s="1">
        <v>0.62954893833333336</v>
      </c>
      <c r="S76" s="1">
        <v>0.10540378890868107</v>
      </c>
      <c r="T76" t="s">
        <v>223</v>
      </c>
      <c r="U76" s="1">
        <v>792</v>
      </c>
      <c r="V76">
        <f t="shared" si="4"/>
        <v>0.32208057573216592</v>
      </c>
      <c r="W76" s="1">
        <f t="shared" si="5"/>
        <v>11.100000000000001</v>
      </c>
      <c r="X76">
        <f t="shared" si="6"/>
        <v>0.76567188500000016</v>
      </c>
      <c r="Y76">
        <f t="shared" si="7"/>
        <v>5.1999999999999957</v>
      </c>
      <c r="Z76" s="1">
        <v>1</v>
      </c>
      <c r="AA76">
        <v>99</v>
      </c>
      <c r="AB76">
        <v>1.01E-2</v>
      </c>
      <c r="AC76">
        <v>2</v>
      </c>
      <c r="AD76">
        <v>117</v>
      </c>
      <c r="AE76">
        <v>1.7100000000000001E-2</v>
      </c>
      <c r="AF76" t="s">
        <v>2591</v>
      </c>
      <c r="AG76" t="s">
        <v>2589</v>
      </c>
    </row>
    <row r="77" spans="1:33">
      <c r="A77" s="2" t="s">
        <v>145</v>
      </c>
      <c r="B77" s="2" t="s">
        <v>23</v>
      </c>
      <c r="C77" s="1">
        <v>0.63439632599999995</v>
      </c>
      <c r="D77">
        <v>0.68173804199999999</v>
      </c>
      <c r="E77">
        <v>0.69641308800000001</v>
      </c>
      <c r="F77" s="1" t="s">
        <v>146</v>
      </c>
      <c r="G77" s="1">
        <v>2.0097323600000001</v>
      </c>
      <c r="H77" s="1">
        <v>35.700000000000003</v>
      </c>
      <c r="I77" s="1">
        <v>41.1</v>
      </c>
      <c r="J77" s="1">
        <v>0.67084915200000006</v>
      </c>
      <c r="K77" s="1">
        <v>0.49415677200000002</v>
      </c>
      <c r="L77" s="1">
        <v>0.62090818999999997</v>
      </c>
      <c r="M77" s="3">
        <v>0.63381026900000004</v>
      </c>
      <c r="N77" s="1" t="s">
        <v>24</v>
      </c>
      <c r="O77" s="1">
        <v>1.141304348</v>
      </c>
      <c r="P77" s="1">
        <v>44.4</v>
      </c>
      <c r="Q77" s="1">
        <v>101.2</v>
      </c>
      <c r="R77" s="1">
        <v>0.58295841033333329</v>
      </c>
      <c r="S77" s="1">
        <v>0.16518630798951697</v>
      </c>
      <c r="T77" t="s">
        <v>224</v>
      </c>
      <c r="U77" s="1">
        <v>284</v>
      </c>
      <c r="V77">
        <f t="shared" si="4"/>
        <v>0.27259092667189305</v>
      </c>
      <c r="W77" s="1">
        <f t="shared" si="5"/>
        <v>8.6999999999999957</v>
      </c>
      <c r="X77">
        <f t="shared" si="6"/>
        <v>0.86842801200000008</v>
      </c>
      <c r="Y77">
        <f t="shared" si="7"/>
        <v>60.1</v>
      </c>
      <c r="Z77" s="1">
        <v>1</v>
      </c>
      <c r="AA77">
        <v>99</v>
      </c>
      <c r="AB77">
        <v>1.01E-2</v>
      </c>
      <c r="AC77">
        <v>2</v>
      </c>
      <c r="AD77">
        <v>113</v>
      </c>
      <c r="AE77">
        <v>1.77E-2</v>
      </c>
      <c r="AF77" t="s">
        <v>2591</v>
      </c>
      <c r="AG77" t="s">
        <v>2590</v>
      </c>
    </row>
    <row r="78" spans="1:33">
      <c r="A78" s="2" t="s">
        <v>145</v>
      </c>
      <c r="B78" s="2" t="s">
        <v>25</v>
      </c>
      <c r="C78" s="1">
        <v>0.63439632599999995</v>
      </c>
      <c r="D78">
        <v>0.68173804199999999</v>
      </c>
      <c r="E78">
        <v>0.69641308800000001</v>
      </c>
      <c r="F78" s="1" t="s">
        <v>146</v>
      </c>
      <c r="G78" s="1">
        <v>2.0097323600000001</v>
      </c>
      <c r="H78" s="1">
        <v>35.700000000000003</v>
      </c>
      <c r="I78" s="1">
        <v>41.1</v>
      </c>
      <c r="J78" s="1">
        <v>0.67084915200000006</v>
      </c>
      <c r="K78" s="1">
        <v>0.53959274199999996</v>
      </c>
      <c r="L78" s="1">
        <v>0.64971567399999997</v>
      </c>
      <c r="M78" s="3">
        <v>0.65028459999999999</v>
      </c>
      <c r="N78" s="1" t="s">
        <v>26</v>
      </c>
      <c r="O78" s="1">
        <v>1.623046875</v>
      </c>
      <c r="P78" s="1">
        <v>34.700000000000003</v>
      </c>
      <c r="Q78" s="1">
        <v>51.2</v>
      </c>
      <c r="R78" s="1">
        <v>0.61319767199999997</v>
      </c>
      <c r="S78" s="1">
        <v>0.11018615610292713</v>
      </c>
      <c r="T78" t="s">
        <v>225</v>
      </c>
      <c r="U78" s="1">
        <v>369</v>
      </c>
      <c r="V78">
        <f t="shared" si="4"/>
        <v>0.28522515179545116</v>
      </c>
      <c r="W78" s="1">
        <f t="shared" si="5"/>
        <v>1</v>
      </c>
      <c r="X78">
        <f t="shared" si="6"/>
        <v>0.38668548500000011</v>
      </c>
      <c r="Y78">
        <f t="shared" si="7"/>
        <v>10.100000000000001</v>
      </c>
      <c r="Z78" s="1">
        <v>0</v>
      </c>
      <c r="AA78">
        <v>100</v>
      </c>
      <c r="AB78">
        <v>0</v>
      </c>
      <c r="AC78">
        <v>0</v>
      </c>
      <c r="AD78">
        <v>117</v>
      </c>
      <c r="AE78">
        <v>0</v>
      </c>
      <c r="AF78" t="s">
        <v>2591</v>
      </c>
      <c r="AG78" t="s">
        <v>2594</v>
      </c>
    </row>
    <row r="79" spans="1:33">
      <c r="A79" s="2" t="s">
        <v>145</v>
      </c>
      <c r="B79" s="2" t="s">
        <v>27</v>
      </c>
      <c r="C79" s="1">
        <v>0.63439632599999995</v>
      </c>
      <c r="D79">
        <v>0.68173804199999999</v>
      </c>
      <c r="E79">
        <v>0.69641308800000001</v>
      </c>
      <c r="F79" s="1" t="s">
        <v>146</v>
      </c>
      <c r="G79" s="1">
        <v>2.0097323600000001</v>
      </c>
      <c r="H79" s="1">
        <v>35.700000000000003</v>
      </c>
      <c r="I79" s="1">
        <v>41.1</v>
      </c>
      <c r="J79" s="1">
        <v>0.67084915200000006</v>
      </c>
      <c r="K79" s="1">
        <v>0.518608662</v>
      </c>
      <c r="L79" s="1">
        <v>0.64320369700000002</v>
      </c>
      <c r="M79" s="3">
        <v>0.62228994199999998</v>
      </c>
      <c r="N79" s="1" t="s">
        <v>28</v>
      </c>
      <c r="O79" s="1">
        <v>1.8717391299999999</v>
      </c>
      <c r="P79" s="1">
        <v>33.700000000000003</v>
      </c>
      <c r="Q79" s="1">
        <v>46</v>
      </c>
      <c r="R79" s="1">
        <v>0.59470076699999996</v>
      </c>
      <c r="S79" s="1">
        <v>0.14277926898570825</v>
      </c>
      <c r="T79" t="s">
        <v>226</v>
      </c>
      <c r="U79" s="1">
        <v>132</v>
      </c>
      <c r="V79">
        <f t="shared" si="4"/>
        <v>0.23561932568953889</v>
      </c>
      <c r="W79" s="1">
        <f t="shared" si="5"/>
        <v>2</v>
      </c>
      <c r="X79">
        <f t="shared" si="6"/>
        <v>0.13799323000000019</v>
      </c>
      <c r="Y79">
        <f t="shared" si="7"/>
        <v>4.8999999999999986</v>
      </c>
      <c r="Z79" s="1">
        <v>1</v>
      </c>
      <c r="AA79">
        <v>99</v>
      </c>
      <c r="AB79">
        <v>1.01E-2</v>
      </c>
      <c r="AC79">
        <v>2</v>
      </c>
      <c r="AD79">
        <v>122</v>
      </c>
      <c r="AE79">
        <v>1.6400000000000001E-2</v>
      </c>
      <c r="AF79" t="s">
        <v>2591</v>
      </c>
      <c r="AG79" t="s">
        <v>2590</v>
      </c>
    </row>
    <row r="80" spans="1:33">
      <c r="A80" s="2" t="s">
        <v>145</v>
      </c>
      <c r="B80" s="2" t="s">
        <v>29</v>
      </c>
      <c r="C80" s="1">
        <v>0.63439632599999995</v>
      </c>
      <c r="D80">
        <v>0.68173804199999999</v>
      </c>
      <c r="E80">
        <v>0.69641308800000001</v>
      </c>
      <c r="F80" s="1" t="s">
        <v>146</v>
      </c>
      <c r="G80" s="1">
        <v>2.0097323600000001</v>
      </c>
      <c r="H80" s="1">
        <v>35.700000000000003</v>
      </c>
      <c r="I80" s="1">
        <v>41.1</v>
      </c>
      <c r="J80" s="1">
        <v>0.67084915200000006</v>
      </c>
      <c r="K80" s="1">
        <v>0.59351545100000003</v>
      </c>
      <c r="L80" s="1">
        <v>0.68136602400000001</v>
      </c>
      <c r="M80" s="3">
        <v>0.73518087600000004</v>
      </c>
      <c r="N80" s="1" t="s">
        <v>30</v>
      </c>
      <c r="O80" s="1">
        <v>2.849112426</v>
      </c>
      <c r="P80" s="1">
        <v>37.9</v>
      </c>
      <c r="Q80" s="1">
        <v>33.799999999999997</v>
      </c>
      <c r="R80" s="1">
        <v>0.67002078366666673</v>
      </c>
      <c r="S80" s="1">
        <v>5.634115480331308E-2</v>
      </c>
      <c r="T80" t="s">
        <v>227</v>
      </c>
      <c r="U80" s="1">
        <v>5297</v>
      </c>
      <c r="V80">
        <f t="shared" si="4"/>
        <v>0.4137811081039553</v>
      </c>
      <c r="W80" s="1">
        <f t="shared" si="5"/>
        <v>2.1999999999999957</v>
      </c>
      <c r="X80">
        <f t="shared" si="6"/>
        <v>0.83938006599999992</v>
      </c>
      <c r="Y80">
        <f t="shared" si="7"/>
        <v>7.3000000000000043</v>
      </c>
      <c r="Z80" s="1">
        <v>19</v>
      </c>
      <c r="AA80">
        <v>81</v>
      </c>
      <c r="AB80">
        <v>0.2346</v>
      </c>
      <c r="AC80">
        <v>20</v>
      </c>
      <c r="AD80">
        <v>93</v>
      </c>
      <c r="AE80">
        <v>0.21510000000000001</v>
      </c>
      <c r="AF80" t="s">
        <v>2591</v>
      </c>
      <c r="AG80" t="s">
        <v>2593</v>
      </c>
    </row>
    <row r="81" spans="1:33">
      <c r="A81" s="2" t="s">
        <v>145</v>
      </c>
      <c r="B81" s="2" t="s">
        <v>31</v>
      </c>
      <c r="C81" s="1">
        <v>0.63439632599999995</v>
      </c>
      <c r="D81">
        <v>0.68173804199999999</v>
      </c>
      <c r="E81">
        <v>0.69641308800000001</v>
      </c>
      <c r="F81" s="1" t="s">
        <v>146</v>
      </c>
      <c r="G81" s="1">
        <v>2.0097323600000001</v>
      </c>
      <c r="H81" s="1">
        <v>35.700000000000003</v>
      </c>
      <c r="I81" s="1">
        <v>41.1</v>
      </c>
      <c r="J81" s="1">
        <v>0.67084915200000006</v>
      </c>
      <c r="K81" s="1">
        <v>0.47727961800000002</v>
      </c>
      <c r="L81" s="1">
        <v>0.66941086400000005</v>
      </c>
      <c r="M81" s="3">
        <v>0.69294815300000001</v>
      </c>
      <c r="N81" s="1" t="s">
        <v>32</v>
      </c>
      <c r="O81" s="1">
        <v>1.341891892</v>
      </c>
      <c r="P81" s="1">
        <v>42.1</v>
      </c>
      <c r="Q81" s="1">
        <v>74</v>
      </c>
      <c r="R81" s="1">
        <v>0.61321287833333338</v>
      </c>
      <c r="S81" s="1">
        <v>0.15763763835060191</v>
      </c>
      <c r="T81" t="s">
        <v>228</v>
      </c>
      <c r="U81" s="1">
        <v>505</v>
      </c>
      <c r="V81">
        <f t="shared" si="4"/>
        <v>0.30036570867985124</v>
      </c>
      <c r="W81" s="1">
        <f t="shared" si="5"/>
        <v>6.3999999999999986</v>
      </c>
      <c r="X81">
        <f t="shared" si="6"/>
        <v>0.66784046800000008</v>
      </c>
      <c r="Y81">
        <f t="shared" si="7"/>
        <v>32.9</v>
      </c>
      <c r="Z81" s="1">
        <v>1</v>
      </c>
      <c r="AA81">
        <v>99</v>
      </c>
      <c r="AB81">
        <v>1.01E-2</v>
      </c>
      <c r="AC81">
        <v>3</v>
      </c>
      <c r="AD81">
        <v>118</v>
      </c>
      <c r="AE81">
        <v>2.5399999999999999E-2</v>
      </c>
      <c r="AF81" t="s">
        <v>2591</v>
      </c>
      <c r="AG81" t="s">
        <v>2589</v>
      </c>
    </row>
    <row r="82" spans="1:33">
      <c r="A82" s="2" t="s">
        <v>145</v>
      </c>
      <c r="B82" s="2" t="s">
        <v>33</v>
      </c>
      <c r="C82" s="1">
        <v>0.63439632599999995</v>
      </c>
      <c r="D82">
        <v>0.68173804199999999</v>
      </c>
      <c r="E82">
        <v>0.69641308800000001</v>
      </c>
      <c r="F82" s="1" t="s">
        <v>146</v>
      </c>
      <c r="G82" s="1">
        <v>2.0097323600000001</v>
      </c>
      <c r="H82" s="1">
        <v>35.700000000000003</v>
      </c>
      <c r="I82" s="1">
        <v>41.1</v>
      </c>
      <c r="J82" s="1">
        <v>0.67084915200000006</v>
      </c>
      <c r="K82" s="1">
        <v>0.51347926600000005</v>
      </c>
      <c r="L82" s="1">
        <v>0.63144379399999995</v>
      </c>
      <c r="M82" s="3">
        <v>0.64189093500000005</v>
      </c>
      <c r="N82" s="1" t="s">
        <v>34</v>
      </c>
      <c r="O82" s="1">
        <v>2.3123667380000001</v>
      </c>
      <c r="P82" s="1">
        <v>79.099999999999994</v>
      </c>
      <c r="Q82" s="1">
        <v>93.8</v>
      </c>
      <c r="R82" s="1">
        <v>0.59560466500000009</v>
      </c>
      <c r="S82" s="1">
        <v>0.14185595492852773</v>
      </c>
      <c r="T82" t="s">
        <v>229</v>
      </c>
      <c r="U82" s="1">
        <v>418</v>
      </c>
      <c r="V82">
        <f t="shared" si="4"/>
        <v>0.29124180908611502</v>
      </c>
      <c r="W82" s="1">
        <f t="shared" si="5"/>
        <v>43.399999999999991</v>
      </c>
      <c r="X82">
        <f t="shared" si="6"/>
        <v>0.30263437800000004</v>
      </c>
      <c r="Y82">
        <f t="shared" si="7"/>
        <v>52.699999999999996</v>
      </c>
      <c r="Z82" s="1">
        <v>1</v>
      </c>
      <c r="AA82">
        <v>99</v>
      </c>
      <c r="AB82">
        <v>1.01E-2</v>
      </c>
      <c r="AC82">
        <v>2</v>
      </c>
      <c r="AD82">
        <v>113</v>
      </c>
      <c r="AE82">
        <v>1.77E-2</v>
      </c>
      <c r="AF82" t="s">
        <v>2591</v>
      </c>
      <c r="AG82" t="s">
        <v>2590</v>
      </c>
    </row>
    <row r="83" spans="1:33">
      <c r="A83" s="2" t="s">
        <v>145</v>
      </c>
      <c r="B83" s="2" t="s">
        <v>35</v>
      </c>
      <c r="C83" s="1">
        <v>0.63439632599999995</v>
      </c>
      <c r="D83">
        <v>0.68173804199999999</v>
      </c>
      <c r="E83">
        <v>0.69641308800000001</v>
      </c>
      <c r="F83" s="1" t="s">
        <v>146</v>
      </c>
      <c r="G83" s="1">
        <v>2.0097323600000001</v>
      </c>
      <c r="H83" s="1">
        <v>35.700000000000003</v>
      </c>
      <c r="I83" s="1">
        <v>41.1</v>
      </c>
      <c r="J83" s="1">
        <v>0.67084915200000006</v>
      </c>
      <c r="K83" s="1">
        <v>0.52542897600000005</v>
      </c>
      <c r="L83" s="1">
        <v>0.60774736299999998</v>
      </c>
      <c r="M83" s="3">
        <v>0.62585751700000003</v>
      </c>
      <c r="N83" s="1" t="s">
        <v>36</v>
      </c>
      <c r="O83" s="1">
        <v>0.98848810399999998</v>
      </c>
      <c r="P83" s="1">
        <v>54.2</v>
      </c>
      <c r="Q83" s="1">
        <v>130.30000000000001</v>
      </c>
      <c r="R83" s="1">
        <v>0.58634461866666665</v>
      </c>
      <c r="S83" s="1">
        <v>0.1494208571252339</v>
      </c>
      <c r="T83" t="s">
        <v>230</v>
      </c>
      <c r="U83" s="1">
        <v>1173</v>
      </c>
      <c r="V83">
        <f t="shared" si="4"/>
        <v>0.34103311245728102</v>
      </c>
      <c r="W83" s="1">
        <f t="shared" si="5"/>
        <v>18.5</v>
      </c>
      <c r="X83">
        <f t="shared" si="6"/>
        <v>1.0212442560000001</v>
      </c>
      <c r="Y83">
        <f t="shared" si="7"/>
        <v>89.200000000000017</v>
      </c>
      <c r="Z83" s="1">
        <v>1</v>
      </c>
      <c r="AA83">
        <v>99</v>
      </c>
      <c r="AB83">
        <v>1.01E-2</v>
      </c>
      <c r="AC83">
        <v>3</v>
      </c>
      <c r="AD83">
        <v>111</v>
      </c>
      <c r="AE83">
        <v>2.7E-2</v>
      </c>
      <c r="AF83" t="s">
        <v>2591</v>
      </c>
      <c r="AG83" t="s">
        <v>2589</v>
      </c>
    </row>
    <row r="84" spans="1:33">
      <c r="A84" s="2" t="s">
        <v>145</v>
      </c>
      <c r="B84" s="2" t="s">
        <v>37</v>
      </c>
      <c r="C84" s="1">
        <v>0.63439632599999995</v>
      </c>
      <c r="D84">
        <v>0.68173804199999999</v>
      </c>
      <c r="E84">
        <v>0.69641308800000001</v>
      </c>
      <c r="F84" s="1" t="s">
        <v>146</v>
      </c>
      <c r="G84" s="1">
        <v>2.0097323600000001</v>
      </c>
      <c r="H84" s="1">
        <v>35.700000000000003</v>
      </c>
      <c r="I84" s="1">
        <v>41.1</v>
      </c>
      <c r="J84" s="1">
        <v>0.67084915200000006</v>
      </c>
      <c r="K84" s="1">
        <v>0.50856695500000004</v>
      </c>
      <c r="L84" s="1">
        <v>0.654733224</v>
      </c>
      <c r="M84" s="3">
        <v>0.61418267199999999</v>
      </c>
      <c r="N84" s="1" t="s">
        <v>38</v>
      </c>
      <c r="O84" s="1">
        <v>0.64065708399999999</v>
      </c>
      <c r="P84" s="1">
        <v>41.9</v>
      </c>
      <c r="Q84" s="1">
        <v>146.1</v>
      </c>
      <c r="R84" s="1">
        <v>0.59249428366666679</v>
      </c>
      <c r="S84" s="1">
        <v>0.15272240214520527</v>
      </c>
      <c r="T84" t="s">
        <v>231</v>
      </c>
      <c r="U84" s="1">
        <v>361</v>
      </c>
      <c r="V84">
        <f t="shared" si="4"/>
        <v>0.28416746687840644</v>
      </c>
      <c r="W84" s="1">
        <f t="shared" si="5"/>
        <v>6.1999999999999957</v>
      </c>
      <c r="X84">
        <f t="shared" si="6"/>
        <v>1.3690752760000002</v>
      </c>
      <c r="Y84">
        <f t="shared" si="7"/>
        <v>105</v>
      </c>
      <c r="Z84" s="1">
        <v>1</v>
      </c>
      <c r="AA84">
        <v>99</v>
      </c>
      <c r="AB84">
        <v>1.01E-2</v>
      </c>
      <c r="AC84">
        <v>2</v>
      </c>
      <c r="AD84">
        <v>111</v>
      </c>
      <c r="AE84">
        <v>1.7999999999999999E-2</v>
      </c>
      <c r="AF84" t="s">
        <v>2591</v>
      </c>
      <c r="AG84" t="s">
        <v>2590</v>
      </c>
    </row>
    <row r="85" spans="1:33">
      <c r="A85" s="2" t="s">
        <v>145</v>
      </c>
      <c r="B85" s="2" t="s">
        <v>39</v>
      </c>
      <c r="C85" s="1">
        <v>0.63439632599999995</v>
      </c>
      <c r="D85">
        <v>0.68173804199999999</v>
      </c>
      <c r="E85">
        <v>0.69641308800000001</v>
      </c>
      <c r="F85" s="1" t="s">
        <v>146</v>
      </c>
      <c r="G85" s="1">
        <v>2.0097323600000001</v>
      </c>
      <c r="H85" s="1">
        <v>35.700000000000003</v>
      </c>
      <c r="I85" s="1">
        <v>41.1</v>
      </c>
      <c r="J85" s="1">
        <v>0.67084915200000006</v>
      </c>
      <c r="K85" s="1">
        <v>0.60811616199999996</v>
      </c>
      <c r="L85" s="1">
        <v>0.721105683</v>
      </c>
      <c r="M85" s="3">
        <v>0.741016169</v>
      </c>
      <c r="N85" s="1" t="s">
        <v>40</v>
      </c>
      <c r="O85" s="1">
        <v>1.0601915180000001</v>
      </c>
      <c r="P85" s="1">
        <v>34</v>
      </c>
      <c r="Q85" s="1">
        <v>73.099999999999994</v>
      </c>
      <c r="R85" s="1">
        <v>0.69007933799999999</v>
      </c>
      <c r="S85" s="1">
        <v>6.5037627666331255E-2</v>
      </c>
      <c r="T85" t="s">
        <v>232</v>
      </c>
      <c r="U85" s="1">
        <v>584</v>
      </c>
      <c r="V85">
        <f t="shared" si="4"/>
        <v>0.30737920523471107</v>
      </c>
      <c r="W85" s="1">
        <f t="shared" si="5"/>
        <v>1.7000000000000028</v>
      </c>
      <c r="X85">
        <f t="shared" si="6"/>
        <v>0.949540842</v>
      </c>
      <c r="Y85">
        <f t="shared" si="7"/>
        <v>31.999999999999993</v>
      </c>
      <c r="Z85" s="1">
        <v>1</v>
      </c>
      <c r="AA85">
        <v>99</v>
      </c>
      <c r="AB85">
        <v>1.01E-2</v>
      </c>
      <c r="AC85">
        <v>2</v>
      </c>
      <c r="AD85">
        <v>114</v>
      </c>
      <c r="AE85">
        <v>1.7500000000000002E-2</v>
      </c>
      <c r="AF85" t="s">
        <v>2591</v>
      </c>
      <c r="AG85" t="s">
        <v>2589</v>
      </c>
    </row>
    <row r="86" spans="1:33">
      <c r="A86" s="2" t="s">
        <v>145</v>
      </c>
      <c r="B86" s="2" t="s">
        <v>41</v>
      </c>
      <c r="C86" s="1">
        <v>0.63439632599999995</v>
      </c>
      <c r="D86">
        <v>0.68173804199999999</v>
      </c>
      <c r="E86">
        <v>0.69641308800000001</v>
      </c>
      <c r="F86" s="1" t="s">
        <v>146</v>
      </c>
      <c r="G86" s="1">
        <v>2.0097323600000001</v>
      </c>
      <c r="H86" s="1">
        <v>35.700000000000003</v>
      </c>
      <c r="I86" s="1">
        <v>41.1</v>
      </c>
      <c r="J86" s="1">
        <v>0.67084915200000006</v>
      </c>
      <c r="K86" s="1">
        <v>0.60402244999999999</v>
      </c>
      <c r="L86" s="1">
        <v>0.669189213</v>
      </c>
      <c r="M86" s="3">
        <v>0.69821693799999995</v>
      </c>
      <c r="N86" s="1" t="s">
        <v>42</v>
      </c>
      <c r="O86" s="1">
        <v>1.3243902439999999</v>
      </c>
      <c r="P86" s="1">
        <v>23</v>
      </c>
      <c r="Q86" s="1">
        <v>41</v>
      </c>
      <c r="R86" s="1">
        <v>0.65714286700000002</v>
      </c>
      <c r="S86" s="1">
        <v>3.2913512838302662E-2</v>
      </c>
      <c r="T86" t="s">
        <v>233</v>
      </c>
      <c r="U86" s="1">
        <v>220976</v>
      </c>
      <c r="V86">
        <f t="shared" si="4"/>
        <v>0.59381612310248588</v>
      </c>
      <c r="W86" s="1">
        <f t="shared" si="5"/>
        <v>12.700000000000003</v>
      </c>
      <c r="X86">
        <f t="shared" si="6"/>
        <v>0.68534211600000017</v>
      </c>
      <c r="Y86">
        <f t="shared" si="7"/>
        <v>0.10000000000000142</v>
      </c>
      <c r="Z86" s="1">
        <v>27</v>
      </c>
      <c r="AA86">
        <v>73</v>
      </c>
      <c r="AB86">
        <v>0.36990000000000001</v>
      </c>
      <c r="AC86">
        <v>36</v>
      </c>
      <c r="AD86">
        <v>94</v>
      </c>
      <c r="AE86">
        <v>0.38300000000000001</v>
      </c>
      <c r="AF86" t="s">
        <v>2591</v>
      </c>
      <c r="AG86" t="s">
        <v>2591</v>
      </c>
    </row>
    <row r="87" spans="1:33">
      <c r="A87" s="2" t="s">
        <v>145</v>
      </c>
      <c r="B87" s="2" t="s">
        <v>43</v>
      </c>
      <c r="C87" s="1">
        <v>0.63439632599999995</v>
      </c>
      <c r="D87">
        <v>0.68173804199999999</v>
      </c>
      <c r="E87">
        <v>0.69641308800000001</v>
      </c>
      <c r="F87" s="1" t="s">
        <v>146</v>
      </c>
      <c r="G87" s="1">
        <v>2.0097323600000001</v>
      </c>
      <c r="H87" s="1">
        <v>35.700000000000003</v>
      </c>
      <c r="I87" s="1">
        <v>41.1</v>
      </c>
      <c r="J87" s="1">
        <v>0.67084915200000006</v>
      </c>
      <c r="K87" s="1">
        <v>0.54180634699999997</v>
      </c>
      <c r="L87" s="1">
        <v>0.59470779900000004</v>
      </c>
      <c r="M87" s="3">
        <v>0.69518155599999998</v>
      </c>
      <c r="N87" s="1" t="s">
        <v>44</v>
      </c>
      <c r="O87" s="1">
        <v>1.7403685090000001</v>
      </c>
      <c r="P87" s="1">
        <v>41.2</v>
      </c>
      <c r="Q87" s="1">
        <v>59.7</v>
      </c>
      <c r="R87" s="1">
        <v>0.61056523400000007</v>
      </c>
      <c r="S87" s="1">
        <v>0.12707747274370271</v>
      </c>
      <c r="T87" t="s">
        <v>234</v>
      </c>
      <c r="U87" s="1">
        <v>4933</v>
      </c>
      <c r="V87">
        <f t="shared" si="4"/>
        <v>0.41034567949579348</v>
      </c>
      <c r="W87" s="1">
        <f t="shared" si="5"/>
        <v>5.5</v>
      </c>
      <c r="X87">
        <f t="shared" si="6"/>
        <v>0.26936385100000004</v>
      </c>
      <c r="Y87">
        <f t="shared" si="7"/>
        <v>18.600000000000001</v>
      </c>
      <c r="Z87" s="1">
        <v>5</v>
      </c>
      <c r="AA87">
        <v>95</v>
      </c>
      <c r="AB87">
        <v>5.2600000000000001E-2</v>
      </c>
      <c r="AC87">
        <v>7</v>
      </c>
      <c r="AD87">
        <v>145</v>
      </c>
      <c r="AE87">
        <v>4.8300000000000003E-2</v>
      </c>
      <c r="AF87" t="s">
        <v>2591</v>
      </c>
      <c r="AG87" t="s">
        <v>2589</v>
      </c>
    </row>
    <row r="88" spans="1:33">
      <c r="A88" s="2" t="s">
        <v>145</v>
      </c>
      <c r="B88" s="2" t="s">
        <v>45</v>
      </c>
      <c r="C88" s="1">
        <v>0.63439632599999995</v>
      </c>
      <c r="D88">
        <v>0.68173804199999999</v>
      </c>
      <c r="E88">
        <v>0.69641308800000001</v>
      </c>
      <c r="F88" s="1" t="s">
        <v>146</v>
      </c>
      <c r="G88" s="1">
        <v>2.0097323600000001</v>
      </c>
      <c r="H88" s="1">
        <v>35.700000000000003</v>
      </c>
      <c r="I88" s="1">
        <v>41.1</v>
      </c>
      <c r="J88" s="1">
        <v>0.67084915200000006</v>
      </c>
      <c r="K88" s="1">
        <v>0.50907007599999998</v>
      </c>
      <c r="L88" s="1">
        <v>0.68428041399999995</v>
      </c>
      <c r="M88" s="3">
        <v>0.67454742099999998</v>
      </c>
      <c r="N88" s="1" t="s">
        <v>46</v>
      </c>
      <c r="O88" s="1">
        <v>0.98140043799999999</v>
      </c>
      <c r="P88" s="1">
        <v>38.9</v>
      </c>
      <c r="Q88" s="1">
        <v>91.4</v>
      </c>
      <c r="R88" s="1">
        <v>0.62263263699999993</v>
      </c>
      <c r="S88" s="1">
        <v>0.12724480338231406</v>
      </c>
      <c r="T88" t="s">
        <v>235</v>
      </c>
      <c r="U88" s="1">
        <v>695</v>
      </c>
      <c r="V88">
        <f t="shared" si="4"/>
        <v>0.3157760893989015</v>
      </c>
      <c r="W88" s="1">
        <f t="shared" si="5"/>
        <v>3.1999999999999957</v>
      </c>
      <c r="X88">
        <f t="shared" si="6"/>
        <v>1.028331922</v>
      </c>
      <c r="Y88">
        <f t="shared" si="7"/>
        <v>50.300000000000004</v>
      </c>
      <c r="Z88" s="1">
        <v>1</v>
      </c>
      <c r="AA88">
        <v>99</v>
      </c>
      <c r="AB88">
        <v>1.01E-2</v>
      </c>
      <c r="AC88">
        <v>3</v>
      </c>
      <c r="AD88">
        <v>129</v>
      </c>
      <c r="AE88">
        <v>2.3300000000000001E-2</v>
      </c>
      <c r="AF88" t="s">
        <v>2591</v>
      </c>
      <c r="AG88" t="s">
        <v>2589</v>
      </c>
    </row>
    <row r="89" spans="1:33">
      <c r="A89" s="2" t="s">
        <v>145</v>
      </c>
      <c r="B89" s="2" t="s">
        <v>47</v>
      </c>
      <c r="C89" s="1">
        <v>0.63439632599999995</v>
      </c>
      <c r="D89">
        <v>0.68173804199999999</v>
      </c>
      <c r="E89">
        <v>0.69641308800000001</v>
      </c>
      <c r="F89" s="1" t="s">
        <v>146</v>
      </c>
      <c r="G89" s="1">
        <v>2.0097323600000001</v>
      </c>
      <c r="H89" s="1">
        <v>35.700000000000003</v>
      </c>
      <c r="I89" s="1">
        <v>41.1</v>
      </c>
      <c r="J89" s="1">
        <v>0.67084915200000006</v>
      </c>
      <c r="K89" s="1">
        <v>0.50612154099999995</v>
      </c>
      <c r="L89" s="1">
        <v>0.55940039100000005</v>
      </c>
      <c r="M89" s="3">
        <v>0.66789001699999995</v>
      </c>
      <c r="N89" s="1" t="s">
        <v>48</v>
      </c>
      <c r="O89" s="1">
        <v>1.242622951</v>
      </c>
      <c r="P89" s="1">
        <v>17.8</v>
      </c>
      <c r="Q89" s="1">
        <v>30.5</v>
      </c>
      <c r="R89" s="1">
        <v>0.57780398300000002</v>
      </c>
      <c r="S89" s="1">
        <v>0.17953965271845954</v>
      </c>
      <c r="T89" t="s">
        <v>236</v>
      </c>
      <c r="U89" s="1">
        <v>491</v>
      </c>
      <c r="V89">
        <f t="shared" si="4"/>
        <v>0.29900905468032984</v>
      </c>
      <c r="W89" s="1">
        <f t="shared" si="5"/>
        <v>17.900000000000002</v>
      </c>
      <c r="X89">
        <f t="shared" si="6"/>
        <v>0.76710940900000013</v>
      </c>
      <c r="Y89">
        <f t="shared" si="7"/>
        <v>10.600000000000001</v>
      </c>
      <c r="Z89" s="1">
        <v>1</v>
      </c>
      <c r="AA89">
        <v>99</v>
      </c>
      <c r="AB89">
        <v>1.01E-2</v>
      </c>
      <c r="AC89">
        <v>2</v>
      </c>
      <c r="AD89">
        <v>137</v>
      </c>
      <c r="AE89">
        <v>1.46E-2</v>
      </c>
      <c r="AF89" t="s">
        <v>2591</v>
      </c>
      <c r="AG89" t="s">
        <v>2590</v>
      </c>
    </row>
    <row r="90" spans="1:33">
      <c r="A90" s="2" t="s">
        <v>145</v>
      </c>
      <c r="B90" s="2" t="s">
        <v>49</v>
      </c>
      <c r="C90" s="1">
        <v>0.63439632599999995</v>
      </c>
      <c r="D90">
        <v>0.68173804199999999</v>
      </c>
      <c r="E90">
        <v>0.69641308800000001</v>
      </c>
      <c r="F90" s="1" t="s">
        <v>146</v>
      </c>
      <c r="G90" s="1">
        <v>2.0097323600000001</v>
      </c>
      <c r="H90" s="1">
        <v>35.700000000000003</v>
      </c>
      <c r="I90" s="1">
        <v>41.1</v>
      </c>
      <c r="J90" s="1">
        <v>0.67084915200000006</v>
      </c>
      <c r="K90" s="1">
        <v>0.50647110500000003</v>
      </c>
      <c r="L90" s="1">
        <v>0.55713136799999996</v>
      </c>
      <c r="M90" s="3">
        <v>0.63402682300000002</v>
      </c>
      <c r="N90" s="1" t="s">
        <v>50</v>
      </c>
      <c r="O90" s="1">
        <v>1.876675603</v>
      </c>
      <c r="P90" s="1">
        <v>28.8</v>
      </c>
      <c r="Q90" s="1">
        <v>37.299999999999997</v>
      </c>
      <c r="R90" s="1">
        <v>0.56587643200000004</v>
      </c>
      <c r="S90" s="1">
        <v>0.18916588337723939</v>
      </c>
      <c r="T90" t="s">
        <v>237</v>
      </c>
      <c r="U90" s="1">
        <v>384</v>
      </c>
      <c r="V90">
        <f t="shared" si="4"/>
        <v>0.28714791381861454</v>
      </c>
      <c r="W90" s="1">
        <f t="shared" si="5"/>
        <v>6.9000000000000021</v>
      </c>
      <c r="X90">
        <f t="shared" si="6"/>
        <v>0.13305675700000008</v>
      </c>
      <c r="Y90">
        <f t="shared" si="7"/>
        <v>3.8000000000000043</v>
      </c>
      <c r="Z90" s="1">
        <v>1</v>
      </c>
      <c r="AA90">
        <v>99</v>
      </c>
      <c r="AB90">
        <v>1.01E-2</v>
      </c>
      <c r="AC90">
        <v>2</v>
      </c>
      <c r="AD90">
        <v>111</v>
      </c>
      <c r="AE90">
        <v>1.7999999999999999E-2</v>
      </c>
      <c r="AF90" t="s">
        <v>2591</v>
      </c>
      <c r="AG90" t="s">
        <v>2590</v>
      </c>
    </row>
    <row r="91" spans="1:33">
      <c r="A91" s="2" t="s">
        <v>145</v>
      </c>
      <c r="B91" s="2" t="s">
        <v>51</v>
      </c>
      <c r="C91" s="1">
        <v>0.63439632599999995</v>
      </c>
      <c r="D91">
        <v>0.68173804199999999</v>
      </c>
      <c r="E91">
        <v>0.69641308800000001</v>
      </c>
      <c r="F91" s="1" t="s">
        <v>146</v>
      </c>
      <c r="G91" s="1">
        <v>2.0097323600000001</v>
      </c>
      <c r="H91" s="1">
        <v>35.700000000000003</v>
      </c>
      <c r="I91" s="1">
        <v>41.1</v>
      </c>
      <c r="J91" s="1">
        <v>0.67084915200000006</v>
      </c>
      <c r="K91" s="1">
        <v>0.60067161999999996</v>
      </c>
      <c r="L91" s="1">
        <v>0.68094129999999997</v>
      </c>
      <c r="M91" s="3">
        <v>0.73595931299999995</v>
      </c>
      <c r="N91" s="1" t="s">
        <v>52</v>
      </c>
      <c r="O91" s="1">
        <v>1.858638743</v>
      </c>
      <c r="P91" s="1">
        <v>29.4</v>
      </c>
      <c r="Q91" s="1">
        <v>38.200000000000003</v>
      </c>
      <c r="R91" s="1">
        <v>0.67252407766666666</v>
      </c>
      <c r="S91" s="1">
        <v>5.1979750906979337E-2</v>
      </c>
      <c r="T91" t="s">
        <v>238</v>
      </c>
      <c r="U91" s="1">
        <v>12659</v>
      </c>
      <c r="V91">
        <f t="shared" si="4"/>
        <v>0.45582215554055366</v>
      </c>
      <c r="W91" s="1">
        <f t="shared" si="5"/>
        <v>6.3000000000000043</v>
      </c>
      <c r="X91">
        <f t="shared" si="6"/>
        <v>0.15109361700000012</v>
      </c>
      <c r="Y91">
        <f t="shared" si="7"/>
        <v>2.8999999999999986</v>
      </c>
      <c r="Z91" s="1">
        <v>22</v>
      </c>
      <c r="AA91">
        <v>78</v>
      </c>
      <c r="AB91">
        <v>0.28210000000000002</v>
      </c>
      <c r="AC91">
        <v>25</v>
      </c>
      <c r="AD91">
        <v>97</v>
      </c>
      <c r="AE91">
        <v>0.25769999999999998</v>
      </c>
      <c r="AF91" t="s">
        <v>2591</v>
      </c>
      <c r="AG91" t="s">
        <v>2591</v>
      </c>
    </row>
    <row r="92" spans="1:33">
      <c r="A92" s="2" t="s">
        <v>145</v>
      </c>
      <c r="B92" s="2" t="s">
        <v>53</v>
      </c>
      <c r="C92" s="1">
        <v>0.63439632599999995</v>
      </c>
      <c r="D92">
        <v>0.68173804199999999</v>
      </c>
      <c r="E92">
        <v>0.69641308800000001</v>
      </c>
      <c r="F92" s="1" t="s">
        <v>146</v>
      </c>
      <c r="G92" s="1">
        <v>2.0097323600000001</v>
      </c>
      <c r="H92" s="1">
        <v>35.700000000000003</v>
      </c>
      <c r="I92" s="1">
        <v>41.1</v>
      </c>
      <c r="J92" s="1">
        <v>0.67084915200000006</v>
      </c>
      <c r="K92" s="1">
        <v>0.54695832700000002</v>
      </c>
      <c r="L92" s="1">
        <v>0.659790137</v>
      </c>
      <c r="M92" s="3">
        <v>0.70662085500000005</v>
      </c>
      <c r="N92" s="1" t="s">
        <v>54</v>
      </c>
      <c r="O92" s="1">
        <v>2.5053995680000001</v>
      </c>
      <c r="P92" s="1">
        <v>43.9</v>
      </c>
      <c r="Q92" s="1">
        <v>46.3</v>
      </c>
      <c r="R92" s="1">
        <v>0.63778977300000006</v>
      </c>
      <c r="S92" s="1">
        <v>9.0726582158369137E-2</v>
      </c>
      <c r="T92" t="s">
        <v>239</v>
      </c>
      <c r="U92" s="1">
        <v>8291</v>
      </c>
      <c r="V92">
        <f t="shared" si="4"/>
        <v>0.43540076834944247</v>
      </c>
      <c r="W92" s="1">
        <f t="shared" si="5"/>
        <v>8.1999999999999957</v>
      </c>
      <c r="X92">
        <f t="shared" si="6"/>
        <v>0.49566720799999997</v>
      </c>
      <c r="Y92">
        <f t="shared" si="7"/>
        <v>5.1999999999999957</v>
      </c>
      <c r="Z92" s="1">
        <v>20</v>
      </c>
      <c r="AA92">
        <v>80</v>
      </c>
      <c r="AB92">
        <v>0.25</v>
      </c>
      <c r="AC92">
        <v>25</v>
      </c>
      <c r="AD92">
        <v>97</v>
      </c>
      <c r="AE92">
        <v>0.25769999999999998</v>
      </c>
      <c r="AF92" t="s">
        <v>2591</v>
      </c>
      <c r="AG92" t="s">
        <v>2593</v>
      </c>
    </row>
    <row r="93" spans="1:33">
      <c r="A93" s="2" t="s">
        <v>145</v>
      </c>
      <c r="B93" s="2" t="s">
        <v>55</v>
      </c>
      <c r="C93" s="1">
        <v>0.63439632599999995</v>
      </c>
      <c r="D93">
        <v>0.68173804199999999</v>
      </c>
      <c r="E93">
        <v>0.69641308800000001</v>
      </c>
      <c r="F93" s="1" t="s">
        <v>146</v>
      </c>
      <c r="G93" s="1">
        <v>2.0097323600000001</v>
      </c>
      <c r="H93" s="1">
        <v>35.700000000000003</v>
      </c>
      <c r="I93" s="1">
        <v>41.1</v>
      </c>
      <c r="J93" s="1">
        <v>0.67084915200000006</v>
      </c>
      <c r="K93" s="1">
        <v>0.52971861799999997</v>
      </c>
      <c r="L93" s="1">
        <v>0.62258244500000004</v>
      </c>
      <c r="M93" s="3">
        <v>0.63939760400000001</v>
      </c>
      <c r="N93" s="1" t="s">
        <v>56</v>
      </c>
      <c r="O93" s="1">
        <v>1.0796934869999999</v>
      </c>
      <c r="P93" s="1">
        <v>55.3</v>
      </c>
      <c r="Q93" s="1">
        <v>130.5</v>
      </c>
      <c r="R93" s="1">
        <v>0.59723288899999993</v>
      </c>
      <c r="S93" s="1">
        <v>0.13306980357809925</v>
      </c>
      <c r="T93" t="s">
        <v>240</v>
      </c>
      <c r="U93" s="1">
        <v>4419</v>
      </c>
      <c r="V93">
        <f t="shared" si="4"/>
        <v>0.40503600017358815</v>
      </c>
      <c r="W93" s="1">
        <f t="shared" si="5"/>
        <v>19.599999999999994</v>
      </c>
      <c r="X93">
        <f t="shared" si="6"/>
        <v>0.93003887300000021</v>
      </c>
      <c r="Y93">
        <f t="shared" si="7"/>
        <v>89.4</v>
      </c>
      <c r="Z93" s="1">
        <v>2</v>
      </c>
      <c r="AA93">
        <v>98</v>
      </c>
      <c r="AB93">
        <v>2.0400000000000001E-2</v>
      </c>
      <c r="AC93">
        <v>3</v>
      </c>
      <c r="AD93">
        <v>111</v>
      </c>
      <c r="AE93">
        <v>2.7E-2</v>
      </c>
      <c r="AF93" t="s">
        <v>2591</v>
      </c>
      <c r="AG93" t="s">
        <v>2592</v>
      </c>
    </row>
    <row r="94" spans="1:33">
      <c r="A94" s="2" t="s">
        <v>145</v>
      </c>
      <c r="B94" s="2" t="s">
        <v>57</v>
      </c>
      <c r="C94" s="1">
        <v>0.63439632599999995</v>
      </c>
      <c r="D94">
        <v>0.68173804199999999</v>
      </c>
      <c r="E94">
        <v>0.69641308800000001</v>
      </c>
      <c r="F94" s="1" t="s">
        <v>146</v>
      </c>
      <c r="G94" s="1">
        <v>2.0097323600000001</v>
      </c>
      <c r="H94" s="1">
        <v>35.700000000000003</v>
      </c>
      <c r="I94" s="1">
        <v>41.1</v>
      </c>
      <c r="J94" s="1">
        <v>0.67084915200000006</v>
      </c>
      <c r="K94" s="1">
        <v>0.528732855</v>
      </c>
      <c r="L94" s="1">
        <v>0.63387497599999998</v>
      </c>
      <c r="M94" s="3">
        <v>0.63337360200000004</v>
      </c>
      <c r="N94" s="1" t="s">
        <v>58</v>
      </c>
      <c r="O94" s="1">
        <v>1.386610879</v>
      </c>
      <c r="P94" s="1">
        <v>69</v>
      </c>
      <c r="Q94" s="1">
        <v>119.5</v>
      </c>
      <c r="R94" s="1">
        <v>0.59866047766666663</v>
      </c>
      <c r="S94" s="1">
        <v>0.13202128232157262</v>
      </c>
      <c r="T94" t="s">
        <v>241</v>
      </c>
      <c r="U94" s="1">
        <v>1377</v>
      </c>
      <c r="V94">
        <f t="shared" si="4"/>
        <v>0.34877043780632483</v>
      </c>
      <c r="W94" s="1">
        <f t="shared" si="5"/>
        <v>33.299999999999997</v>
      </c>
      <c r="X94">
        <f t="shared" si="6"/>
        <v>0.62312148100000009</v>
      </c>
      <c r="Y94">
        <f t="shared" si="7"/>
        <v>78.400000000000006</v>
      </c>
      <c r="Z94" s="1">
        <v>2</v>
      </c>
      <c r="AA94">
        <v>98</v>
      </c>
      <c r="AB94">
        <v>2.0400000000000001E-2</v>
      </c>
      <c r="AC94">
        <v>3</v>
      </c>
      <c r="AD94">
        <v>117</v>
      </c>
      <c r="AE94">
        <v>2.5600000000000001E-2</v>
      </c>
      <c r="AF94" t="s">
        <v>2591</v>
      </c>
      <c r="AG94" t="s">
        <v>2589</v>
      </c>
    </row>
    <row r="95" spans="1:33">
      <c r="A95" s="2" t="s">
        <v>145</v>
      </c>
      <c r="B95" s="2" t="s">
        <v>59</v>
      </c>
      <c r="C95" s="1">
        <v>0.63439632599999995</v>
      </c>
      <c r="D95">
        <v>0.68173804199999999</v>
      </c>
      <c r="E95">
        <v>0.69641308800000001</v>
      </c>
      <c r="F95" s="1" t="s">
        <v>146</v>
      </c>
      <c r="G95" s="1">
        <v>2.0097323600000001</v>
      </c>
      <c r="H95" s="1">
        <v>35.700000000000003</v>
      </c>
      <c r="I95" s="1">
        <v>41.1</v>
      </c>
      <c r="J95" s="1">
        <v>0.67084915200000006</v>
      </c>
      <c r="K95" s="1">
        <v>0.56225432799999997</v>
      </c>
      <c r="L95" s="1">
        <v>0.68100706499999997</v>
      </c>
      <c r="M95" s="3">
        <v>0.67505263699999996</v>
      </c>
      <c r="N95" s="1" t="s">
        <v>60</v>
      </c>
      <c r="O95" s="1">
        <v>1.1501154730000001</v>
      </c>
      <c r="P95" s="1">
        <v>60.5</v>
      </c>
      <c r="Q95" s="1">
        <v>129.9</v>
      </c>
      <c r="R95" s="1">
        <v>0.63943801</v>
      </c>
      <c r="S95" s="1">
        <v>7.5241418578665398E-2</v>
      </c>
      <c r="T95" t="s">
        <v>242</v>
      </c>
      <c r="U95" s="1">
        <v>1866</v>
      </c>
      <c r="V95">
        <f t="shared" si="4"/>
        <v>0.3634346266011646</v>
      </c>
      <c r="W95" s="1">
        <f t="shared" si="5"/>
        <v>24.799999999999997</v>
      </c>
      <c r="X95">
        <f t="shared" si="6"/>
        <v>0.85961688700000005</v>
      </c>
      <c r="Y95">
        <f t="shared" si="7"/>
        <v>88.800000000000011</v>
      </c>
      <c r="Z95" s="1">
        <v>1</v>
      </c>
      <c r="AA95">
        <v>99</v>
      </c>
      <c r="AB95">
        <v>1.01E-2</v>
      </c>
      <c r="AC95">
        <v>3</v>
      </c>
      <c r="AD95">
        <v>136</v>
      </c>
      <c r="AE95">
        <v>2.2100000000000002E-2</v>
      </c>
      <c r="AF95" t="s">
        <v>2591</v>
      </c>
      <c r="AG95" t="s">
        <v>2589</v>
      </c>
    </row>
    <row r="96" spans="1:33">
      <c r="A96" s="2" t="s">
        <v>145</v>
      </c>
      <c r="B96" s="2" t="s">
        <v>61</v>
      </c>
      <c r="C96" s="1">
        <v>0.63439632599999995</v>
      </c>
      <c r="D96">
        <v>0.68173804199999999</v>
      </c>
      <c r="E96">
        <v>0.69641308800000001</v>
      </c>
      <c r="F96" s="1" t="s">
        <v>146</v>
      </c>
      <c r="G96" s="1">
        <v>2.0097323600000001</v>
      </c>
      <c r="H96" s="1">
        <v>35.700000000000003</v>
      </c>
      <c r="I96" s="1">
        <v>41.1</v>
      </c>
      <c r="J96" s="1">
        <v>0.67084915200000006</v>
      </c>
      <c r="K96" s="1">
        <v>0.62063455999999995</v>
      </c>
      <c r="L96" s="1">
        <v>0.67798104299999995</v>
      </c>
      <c r="M96" s="3">
        <v>0.72175371600000005</v>
      </c>
      <c r="N96" s="1" t="s">
        <v>62</v>
      </c>
      <c r="O96" s="1">
        <v>7.5471698109999998</v>
      </c>
      <c r="P96" s="1">
        <v>26.4</v>
      </c>
      <c r="Q96" s="1">
        <v>10.6</v>
      </c>
      <c r="R96" s="1">
        <v>0.6734564396666668</v>
      </c>
      <c r="S96" s="1">
        <v>2.9080039070798088E-2</v>
      </c>
      <c r="T96" t="s">
        <v>243</v>
      </c>
      <c r="U96" s="1">
        <v>653</v>
      </c>
      <c r="V96">
        <f t="shared" si="4"/>
        <v>0.31276813125278596</v>
      </c>
      <c r="W96" s="1">
        <f t="shared" si="5"/>
        <v>9.3000000000000043</v>
      </c>
      <c r="X96">
        <f t="shared" si="6"/>
        <v>5.5374374509999997</v>
      </c>
      <c r="Y96">
        <f t="shared" si="7"/>
        <v>30.5</v>
      </c>
      <c r="Z96" s="1">
        <v>0</v>
      </c>
      <c r="AA96">
        <v>100</v>
      </c>
      <c r="AB96">
        <v>0</v>
      </c>
      <c r="AC96">
        <v>0</v>
      </c>
      <c r="AD96">
        <v>114</v>
      </c>
      <c r="AE96">
        <v>0</v>
      </c>
      <c r="AF96" t="s">
        <v>2591</v>
      </c>
      <c r="AG96" t="s">
        <v>2588</v>
      </c>
    </row>
    <row r="97" spans="1:33">
      <c r="A97" s="2" t="s">
        <v>145</v>
      </c>
      <c r="B97" s="2" t="s">
        <v>63</v>
      </c>
      <c r="C97" s="1">
        <v>0.63439632599999995</v>
      </c>
      <c r="D97">
        <v>0.68173804199999999</v>
      </c>
      <c r="E97">
        <v>0.69641308800000001</v>
      </c>
      <c r="F97" s="1" t="s">
        <v>146</v>
      </c>
      <c r="G97" s="1">
        <v>2.0097323600000001</v>
      </c>
      <c r="H97" s="1">
        <v>35.700000000000003</v>
      </c>
      <c r="I97" s="1">
        <v>41.1</v>
      </c>
      <c r="J97" s="1">
        <v>0.67084915200000006</v>
      </c>
      <c r="K97" s="1">
        <v>0.44311141399999998</v>
      </c>
      <c r="L97" s="1">
        <v>0.57053969199999999</v>
      </c>
      <c r="M97" s="3">
        <v>0.59266330599999995</v>
      </c>
      <c r="N97" s="1" t="s">
        <v>64</v>
      </c>
      <c r="O97" s="1">
        <v>0.89618138400000003</v>
      </c>
      <c r="P97" s="1">
        <v>29.7</v>
      </c>
      <c r="Q97" s="1">
        <v>83.8</v>
      </c>
      <c r="R97" s="1">
        <v>0.53543813733333334</v>
      </c>
      <c r="S97" s="1">
        <v>0.2443747283714455</v>
      </c>
      <c r="T97" t="s">
        <v>244</v>
      </c>
      <c r="U97" s="1">
        <v>193</v>
      </c>
      <c r="V97">
        <f t="shared" si="4"/>
        <v>0.2539508121119749</v>
      </c>
      <c r="W97" s="1">
        <f t="shared" si="5"/>
        <v>6.0000000000000036</v>
      </c>
      <c r="X97">
        <f t="shared" si="6"/>
        <v>1.113550976</v>
      </c>
      <c r="Y97">
        <f t="shared" si="7"/>
        <v>42.699999999999996</v>
      </c>
      <c r="Z97" s="1">
        <v>1</v>
      </c>
      <c r="AA97">
        <v>99</v>
      </c>
      <c r="AB97">
        <v>1.01E-2</v>
      </c>
      <c r="AC97">
        <v>2</v>
      </c>
      <c r="AD97">
        <v>119</v>
      </c>
      <c r="AE97">
        <v>1.6799999999999999E-2</v>
      </c>
      <c r="AF97" t="s">
        <v>2591</v>
      </c>
      <c r="AG97" t="s">
        <v>2590</v>
      </c>
    </row>
    <row r="98" spans="1:33">
      <c r="A98" s="2" t="s">
        <v>145</v>
      </c>
      <c r="B98" s="2" t="s">
        <v>65</v>
      </c>
      <c r="C98" s="1">
        <v>0.63439632599999995</v>
      </c>
      <c r="D98">
        <v>0.68173804199999999</v>
      </c>
      <c r="E98">
        <v>0.69641308800000001</v>
      </c>
      <c r="F98" s="1" t="s">
        <v>146</v>
      </c>
      <c r="G98" s="1">
        <v>2.0097323600000001</v>
      </c>
      <c r="H98" s="1">
        <v>35.700000000000003</v>
      </c>
      <c r="I98" s="1">
        <v>41.1</v>
      </c>
      <c r="J98" s="1">
        <v>0.67084915200000006</v>
      </c>
      <c r="K98" s="1">
        <v>0.67377447499999998</v>
      </c>
      <c r="L98" s="1">
        <v>0.69144672900000004</v>
      </c>
      <c r="M98" s="3">
        <v>0.73046409700000003</v>
      </c>
      <c r="N98" s="1" t="s">
        <v>66</v>
      </c>
      <c r="O98" s="1">
        <v>1.8507462690000001</v>
      </c>
      <c r="P98" s="1">
        <v>34.5</v>
      </c>
      <c r="Q98" s="1">
        <v>46.9</v>
      </c>
      <c r="R98" s="1">
        <v>0.69856176700000006</v>
      </c>
      <c r="S98" s="1">
        <v>5.2956287972706843E-2</v>
      </c>
      <c r="T98" t="s">
        <v>245</v>
      </c>
      <c r="U98" s="1">
        <v>5694</v>
      </c>
      <c r="V98">
        <f t="shared" si="4"/>
        <v>0.41726860697899293</v>
      </c>
      <c r="W98" s="1">
        <f t="shared" si="5"/>
        <v>1.2000000000000028</v>
      </c>
      <c r="X98">
        <f t="shared" si="6"/>
        <v>0.15898609100000005</v>
      </c>
      <c r="Y98">
        <f t="shared" si="7"/>
        <v>5.7999999999999972</v>
      </c>
      <c r="Z98" s="1">
        <v>5</v>
      </c>
      <c r="AA98">
        <v>95</v>
      </c>
      <c r="AB98">
        <v>5.2600000000000001E-2</v>
      </c>
      <c r="AC98">
        <v>5</v>
      </c>
      <c r="AD98">
        <v>98</v>
      </c>
      <c r="AE98">
        <v>5.0999999999999997E-2</v>
      </c>
      <c r="AF98" t="s">
        <v>2591</v>
      </c>
      <c r="AG98" t="s">
        <v>2593</v>
      </c>
    </row>
    <row r="99" spans="1:33">
      <c r="A99" s="2" t="s">
        <v>145</v>
      </c>
      <c r="B99" s="2" t="s">
        <v>67</v>
      </c>
      <c r="C99" s="1">
        <v>0.63439632599999995</v>
      </c>
      <c r="D99">
        <v>0.68173804199999999</v>
      </c>
      <c r="E99">
        <v>0.69641308800000001</v>
      </c>
      <c r="F99" s="1" t="s">
        <v>146</v>
      </c>
      <c r="G99" s="1">
        <v>2.0097323600000001</v>
      </c>
      <c r="H99" s="1">
        <v>35.700000000000003</v>
      </c>
      <c r="I99" s="1">
        <v>41.1</v>
      </c>
      <c r="J99" s="1">
        <v>0.67084915200000006</v>
      </c>
      <c r="K99" s="1">
        <v>0.53971122199999999</v>
      </c>
      <c r="L99" s="1">
        <v>0.621203065</v>
      </c>
      <c r="M99" s="3">
        <v>0.67806811499999997</v>
      </c>
      <c r="N99" s="1" t="s">
        <v>68</v>
      </c>
      <c r="O99" s="1">
        <v>1.5131894480000001</v>
      </c>
      <c r="P99" s="1">
        <v>27.2</v>
      </c>
      <c r="Q99" s="1">
        <v>41.7</v>
      </c>
      <c r="R99" s="1">
        <v>0.61299413400000002</v>
      </c>
      <c r="S99" s="1">
        <v>0.1138696201550355</v>
      </c>
      <c r="T99" t="s">
        <v>246</v>
      </c>
      <c r="U99" s="1">
        <v>1952</v>
      </c>
      <c r="V99">
        <f t="shared" si="4"/>
        <v>0.36560886814785254</v>
      </c>
      <c r="W99" s="1">
        <f t="shared" si="5"/>
        <v>8.5000000000000036</v>
      </c>
      <c r="X99">
        <f t="shared" si="6"/>
        <v>0.496542912</v>
      </c>
      <c r="Y99">
        <f t="shared" si="7"/>
        <v>0.60000000000000142</v>
      </c>
      <c r="Z99" s="1">
        <v>1</v>
      </c>
      <c r="AA99">
        <v>99</v>
      </c>
      <c r="AB99">
        <v>1.01E-2</v>
      </c>
      <c r="AC99">
        <v>2</v>
      </c>
      <c r="AD99">
        <v>112</v>
      </c>
      <c r="AE99">
        <v>1.7899999999999999E-2</v>
      </c>
      <c r="AF99" t="s">
        <v>2591</v>
      </c>
      <c r="AG99" t="s">
        <v>2588</v>
      </c>
    </row>
    <row r="100" spans="1:33">
      <c r="A100" s="2" t="s">
        <v>145</v>
      </c>
      <c r="B100" s="2" t="s">
        <v>69</v>
      </c>
      <c r="C100" s="1">
        <v>0.63439632599999995</v>
      </c>
      <c r="D100">
        <v>0.68173804199999999</v>
      </c>
      <c r="E100">
        <v>0.69641308800000001</v>
      </c>
      <c r="F100" s="1" t="s">
        <v>146</v>
      </c>
      <c r="G100" s="1">
        <v>2.0097323600000001</v>
      </c>
      <c r="H100" s="1">
        <v>35.700000000000003</v>
      </c>
      <c r="I100" s="1">
        <v>41.1</v>
      </c>
      <c r="J100" s="1">
        <v>0.67084915200000006</v>
      </c>
      <c r="K100" s="1">
        <v>0.50188385300000005</v>
      </c>
      <c r="L100" s="1">
        <v>0.64580031500000001</v>
      </c>
      <c r="M100" s="3">
        <v>0.66006355800000005</v>
      </c>
      <c r="N100" s="1" t="s">
        <v>70</v>
      </c>
      <c r="O100" s="1">
        <v>1.2401055409999999</v>
      </c>
      <c r="P100" s="1">
        <v>43.4</v>
      </c>
      <c r="Q100" s="1">
        <v>75.8</v>
      </c>
      <c r="R100" s="1">
        <v>0.60258257533333337</v>
      </c>
      <c r="S100" s="1">
        <v>0.14202944783995722</v>
      </c>
      <c r="T100" t="s">
        <v>247</v>
      </c>
      <c r="U100" s="1">
        <v>618</v>
      </c>
      <c r="V100">
        <f t="shared" si="4"/>
        <v>0.31010983056542396</v>
      </c>
      <c r="W100" s="1">
        <f t="shared" si="5"/>
        <v>7.6999999999999957</v>
      </c>
      <c r="X100">
        <f t="shared" si="6"/>
        <v>0.76962681900000018</v>
      </c>
      <c r="Y100">
        <f t="shared" si="7"/>
        <v>34.699999999999996</v>
      </c>
      <c r="Z100" s="1">
        <v>1</v>
      </c>
      <c r="AA100">
        <v>99</v>
      </c>
      <c r="AB100">
        <v>1.01E-2</v>
      </c>
      <c r="AC100">
        <v>3</v>
      </c>
      <c r="AD100">
        <v>118</v>
      </c>
      <c r="AE100">
        <v>2.5399999999999999E-2</v>
      </c>
      <c r="AF100" t="s">
        <v>2591</v>
      </c>
      <c r="AG100" t="s">
        <v>2589</v>
      </c>
    </row>
    <row r="101" spans="1:33">
      <c r="A101" s="2" t="s">
        <v>145</v>
      </c>
      <c r="B101" s="2" t="s">
        <v>71</v>
      </c>
      <c r="C101" s="1">
        <v>0.63439632599999995</v>
      </c>
      <c r="D101">
        <v>0.68173804199999999</v>
      </c>
      <c r="E101">
        <v>0.69641308800000001</v>
      </c>
      <c r="F101" s="1" t="s">
        <v>146</v>
      </c>
      <c r="G101" s="1">
        <v>2.0097323600000001</v>
      </c>
      <c r="H101" s="1">
        <v>35.700000000000003</v>
      </c>
      <c r="I101" s="1">
        <v>41.1</v>
      </c>
      <c r="J101" s="1">
        <v>0.67084915200000006</v>
      </c>
      <c r="K101" s="1">
        <v>0.53267569100000001</v>
      </c>
      <c r="L101" s="1">
        <v>0.64507433599999997</v>
      </c>
      <c r="M101" s="3">
        <v>0.66598465100000004</v>
      </c>
      <c r="N101" s="1" t="s">
        <v>72</v>
      </c>
      <c r="O101" s="1">
        <v>0.97289666900000005</v>
      </c>
      <c r="P101" s="1">
        <v>64.8</v>
      </c>
      <c r="Q101" s="1">
        <v>177.1</v>
      </c>
      <c r="R101" s="1">
        <v>0.61457822600000001</v>
      </c>
      <c r="S101" s="1">
        <v>0.11232633128844108</v>
      </c>
      <c r="T101" t="s">
        <v>248</v>
      </c>
      <c r="U101" s="1">
        <v>3105</v>
      </c>
      <c r="V101">
        <f t="shared" si="4"/>
        <v>0.38800684494584436</v>
      </c>
      <c r="W101" s="1">
        <f t="shared" si="5"/>
        <v>29.099999999999994</v>
      </c>
      <c r="X101">
        <f t="shared" si="6"/>
        <v>1.0368356910000001</v>
      </c>
      <c r="Y101">
        <f t="shared" si="7"/>
        <v>136</v>
      </c>
      <c r="Z101" s="1">
        <v>5</v>
      </c>
      <c r="AA101">
        <v>95</v>
      </c>
      <c r="AB101">
        <v>5.2600000000000001E-2</v>
      </c>
      <c r="AC101">
        <v>5</v>
      </c>
      <c r="AD101">
        <v>127</v>
      </c>
      <c r="AE101">
        <v>3.9399999999999998E-2</v>
      </c>
      <c r="AF101" t="s">
        <v>2591</v>
      </c>
      <c r="AG101" t="s">
        <v>2589</v>
      </c>
    </row>
    <row r="102" spans="1:33">
      <c r="A102" s="2" t="s">
        <v>145</v>
      </c>
      <c r="B102" s="2" t="s">
        <v>73</v>
      </c>
      <c r="C102" s="1">
        <v>0.63439632599999995</v>
      </c>
      <c r="D102">
        <v>0.68173804199999999</v>
      </c>
      <c r="E102">
        <v>0.69641308800000001</v>
      </c>
      <c r="F102" s="1" t="s">
        <v>146</v>
      </c>
      <c r="G102" s="1">
        <v>2.0097323600000001</v>
      </c>
      <c r="H102" s="1">
        <v>35.700000000000003</v>
      </c>
      <c r="I102" s="1">
        <v>41.1</v>
      </c>
      <c r="J102" s="1">
        <v>0.67084915200000006</v>
      </c>
      <c r="K102" s="1">
        <v>0.55697925299999995</v>
      </c>
      <c r="L102" s="1">
        <v>0.64461978399999997</v>
      </c>
      <c r="M102" s="3">
        <v>0.69570690000000002</v>
      </c>
      <c r="N102" s="1" t="s">
        <v>74</v>
      </c>
      <c r="O102" s="1">
        <v>1.23433584</v>
      </c>
      <c r="P102" s="1">
        <v>44</v>
      </c>
      <c r="Q102" s="1">
        <v>79.8</v>
      </c>
      <c r="R102" s="1">
        <v>0.63243531233333328</v>
      </c>
      <c r="S102" s="1">
        <v>8.5858412344587631E-2</v>
      </c>
      <c r="T102" t="s">
        <v>249</v>
      </c>
      <c r="U102" s="1">
        <v>627</v>
      </c>
      <c r="V102">
        <f t="shared" si="4"/>
        <v>0.31080750453674627</v>
      </c>
      <c r="W102" s="1">
        <f t="shared" si="5"/>
        <v>8.2999999999999972</v>
      </c>
      <c r="X102">
        <f t="shared" si="6"/>
        <v>0.77539652000000014</v>
      </c>
      <c r="Y102">
        <f t="shared" si="7"/>
        <v>38.699999999999996</v>
      </c>
      <c r="Z102" s="1">
        <v>1</v>
      </c>
      <c r="AA102">
        <v>99</v>
      </c>
      <c r="AB102">
        <v>1.01E-2</v>
      </c>
      <c r="AC102">
        <v>3</v>
      </c>
      <c r="AD102">
        <v>114</v>
      </c>
      <c r="AE102">
        <v>2.63E-2</v>
      </c>
      <c r="AF102" t="s">
        <v>2591</v>
      </c>
      <c r="AG102" t="s">
        <v>2589</v>
      </c>
    </row>
    <row r="103" spans="1:33">
      <c r="A103" s="2" t="s">
        <v>145</v>
      </c>
      <c r="B103" s="2" t="s">
        <v>75</v>
      </c>
      <c r="C103" s="1">
        <v>0.63439632599999995</v>
      </c>
      <c r="D103">
        <v>0.68173804199999999</v>
      </c>
      <c r="E103">
        <v>0.69641308800000001</v>
      </c>
      <c r="F103" s="1" t="s">
        <v>146</v>
      </c>
      <c r="G103" s="1">
        <v>2.0097323600000001</v>
      </c>
      <c r="H103" s="1">
        <v>35.700000000000003</v>
      </c>
      <c r="I103" s="1">
        <v>41.1</v>
      </c>
      <c r="J103" s="1">
        <v>0.67084915200000006</v>
      </c>
      <c r="K103" s="1">
        <v>0.50354843500000002</v>
      </c>
      <c r="L103" s="1">
        <v>0.59724402499999996</v>
      </c>
      <c r="M103" s="3">
        <v>0.70308254199999998</v>
      </c>
      <c r="N103" s="1" t="s">
        <v>76</v>
      </c>
      <c r="O103" s="1">
        <v>1.2696850390000001</v>
      </c>
      <c r="P103" s="1">
        <v>26.6</v>
      </c>
      <c r="Q103" s="1">
        <v>50.8</v>
      </c>
      <c r="R103" s="1">
        <v>0.60129166733333339</v>
      </c>
      <c r="S103" s="1">
        <v>0.15590026011717323</v>
      </c>
      <c r="T103" t="s">
        <v>250</v>
      </c>
      <c r="U103" s="1">
        <v>905</v>
      </c>
      <c r="V103">
        <f t="shared" si="4"/>
        <v>0.32851650880057814</v>
      </c>
      <c r="W103" s="1">
        <f t="shared" si="5"/>
        <v>9.1000000000000014</v>
      </c>
      <c r="X103">
        <f t="shared" si="6"/>
        <v>0.74004732100000004</v>
      </c>
      <c r="Y103">
        <f t="shared" si="7"/>
        <v>9.6999999999999957</v>
      </c>
      <c r="Z103" s="1">
        <v>1</v>
      </c>
      <c r="AA103">
        <v>99</v>
      </c>
      <c r="AB103">
        <v>1.01E-2</v>
      </c>
      <c r="AC103">
        <v>2</v>
      </c>
      <c r="AD103">
        <v>115</v>
      </c>
      <c r="AE103">
        <v>1.7399999999999999E-2</v>
      </c>
      <c r="AF103" t="s">
        <v>2591</v>
      </c>
      <c r="AG103" t="s">
        <v>2594</v>
      </c>
    </row>
    <row r="104" spans="1:33">
      <c r="A104" s="2" t="s">
        <v>145</v>
      </c>
      <c r="B104" s="2" t="s">
        <v>77</v>
      </c>
      <c r="C104" s="1">
        <v>0.63439632599999995</v>
      </c>
      <c r="D104">
        <v>0.68173804199999999</v>
      </c>
      <c r="E104">
        <v>0.69641308800000001</v>
      </c>
      <c r="F104" s="1" t="s">
        <v>146</v>
      </c>
      <c r="G104" s="1">
        <v>2.0097323600000001</v>
      </c>
      <c r="H104" s="1">
        <v>35.700000000000003</v>
      </c>
      <c r="I104" s="1">
        <v>41.1</v>
      </c>
      <c r="J104" s="1">
        <v>0.67084915200000006</v>
      </c>
      <c r="K104" s="1">
        <v>0.54630843299999998</v>
      </c>
      <c r="L104" s="1">
        <v>0.68935555900000001</v>
      </c>
      <c r="M104" s="3">
        <v>0.65478744899999997</v>
      </c>
      <c r="N104" s="1" t="s">
        <v>78</v>
      </c>
      <c r="O104" s="1">
        <v>1.3914285710000001</v>
      </c>
      <c r="P104" s="1">
        <v>56.5</v>
      </c>
      <c r="Q104" s="1">
        <v>105</v>
      </c>
      <c r="R104" s="1">
        <v>0.63015048033333343</v>
      </c>
      <c r="S104" s="1">
        <v>9.772511079852024E-2</v>
      </c>
      <c r="T104" t="s">
        <v>251</v>
      </c>
      <c r="U104" s="1">
        <v>654</v>
      </c>
      <c r="V104">
        <f t="shared" si="4"/>
        <v>0.3128419720360297</v>
      </c>
      <c r="W104" s="1">
        <f t="shared" si="5"/>
        <v>20.799999999999997</v>
      </c>
      <c r="X104">
        <f t="shared" si="6"/>
        <v>0.61830378900000005</v>
      </c>
      <c r="Y104">
        <f t="shared" si="7"/>
        <v>63.9</v>
      </c>
      <c r="Z104" s="1">
        <v>1</v>
      </c>
      <c r="AA104">
        <v>99</v>
      </c>
      <c r="AB104">
        <v>1.01E-2</v>
      </c>
      <c r="AC104">
        <v>2</v>
      </c>
      <c r="AD104">
        <v>104</v>
      </c>
      <c r="AE104">
        <v>1.9199999999999998E-2</v>
      </c>
      <c r="AF104" t="s">
        <v>2591</v>
      </c>
      <c r="AG104" t="s">
        <v>2590</v>
      </c>
    </row>
    <row r="105" spans="1:33">
      <c r="A105" s="2" t="s">
        <v>145</v>
      </c>
      <c r="B105" s="2" t="s">
        <v>79</v>
      </c>
      <c r="C105" s="1">
        <v>0.63439632599999995</v>
      </c>
      <c r="D105">
        <v>0.68173804199999999</v>
      </c>
      <c r="E105">
        <v>0.69641308800000001</v>
      </c>
      <c r="F105" s="1" t="s">
        <v>146</v>
      </c>
      <c r="G105" s="1">
        <v>2.0097323600000001</v>
      </c>
      <c r="H105" s="1">
        <v>35.700000000000003</v>
      </c>
      <c r="I105" s="1">
        <v>41.1</v>
      </c>
      <c r="J105" s="1">
        <v>0.67084915200000006</v>
      </c>
      <c r="K105" s="1">
        <v>0.63652882899999996</v>
      </c>
      <c r="L105" s="1">
        <v>0.77536518600000004</v>
      </c>
      <c r="M105" s="3">
        <v>0.610415606</v>
      </c>
      <c r="N105" s="1" t="s">
        <v>80</v>
      </c>
      <c r="O105" s="1">
        <v>0.95325542600000002</v>
      </c>
      <c r="P105" s="1">
        <v>45.6</v>
      </c>
      <c r="Q105" s="1">
        <v>119.8</v>
      </c>
      <c r="R105" s="1">
        <v>0.67410320700000004</v>
      </c>
      <c r="S105" s="1">
        <v>0.12714620156725909</v>
      </c>
      <c r="T105" t="s">
        <v>252</v>
      </c>
      <c r="U105" s="1">
        <v>779</v>
      </c>
      <c r="V105">
        <f t="shared" si="4"/>
        <v>0.32128193974139602</v>
      </c>
      <c r="W105" s="1">
        <f t="shared" si="5"/>
        <v>9.8999999999999986</v>
      </c>
      <c r="X105">
        <f t="shared" si="6"/>
        <v>1.056476934</v>
      </c>
      <c r="Y105">
        <f t="shared" si="7"/>
        <v>78.699999999999989</v>
      </c>
      <c r="Z105" s="1">
        <v>0</v>
      </c>
      <c r="AA105">
        <v>100</v>
      </c>
      <c r="AB105">
        <v>0</v>
      </c>
      <c r="AC105">
        <v>1</v>
      </c>
      <c r="AD105">
        <v>96</v>
      </c>
      <c r="AE105">
        <v>1.04E-2</v>
      </c>
      <c r="AF105" t="s">
        <v>2591</v>
      </c>
      <c r="AG105" t="s">
        <v>2590</v>
      </c>
    </row>
    <row r="106" spans="1:33">
      <c r="A106" s="2" t="s">
        <v>145</v>
      </c>
      <c r="B106" s="2" t="s">
        <v>81</v>
      </c>
      <c r="C106" s="1">
        <v>0.63439632599999995</v>
      </c>
      <c r="D106">
        <v>0.68173804199999999</v>
      </c>
      <c r="E106">
        <v>0.69641308800000001</v>
      </c>
      <c r="F106" s="1" t="s">
        <v>146</v>
      </c>
      <c r="G106" s="1">
        <v>2.0097323600000001</v>
      </c>
      <c r="H106" s="1">
        <v>35.700000000000003</v>
      </c>
      <c r="I106" s="1">
        <v>41.1</v>
      </c>
      <c r="J106" s="1">
        <v>0.67084915200000006</v>
      </c>
      <c r="K106" s="1">
        <v>0.50183280699999999</v>
      </c>
      <c r="L106" s="1">
        <v>0.68550824600000004</v>
      </c>
      <c r="M106" s="3">
        <v>0.66941488999999998</v>
      </c>
      <c r="N106" s="1" t="s">
        <v>82</v>
      </c>
      <c r="O106" s="1">
        <v>1.4359576970000001</v>
      </c>
      <c r="P106" s="1">
        <v>51</v>
      </c>
      <c r="Q106" s="1">
        <v>85.1</v>
      </c>
      <c r="R106" s="1">
        <v>0.61891864766666671</v>
      </c>
      <c r="S106" s="1">
        <v>0.1353373699430877</v>
      </c>
      <c r="T106" t="s">
        <v>253</v>
      </c>
      <c r="U106" s="1">
        <v>6446</v>
      </c>
      <c r="V106">
        <f t="shared" si="4"/>
        <v>0.42325447790847953</v>
      </c>
      <c r="W106" s="1">
        <f t="shared" si="5"/>
        <v>15.299999999999997</v>
      </c>
      <c r="X106">
        <f t="shared" si="6"/>
        <v>0.57377466300000002</v>
      </c>
      <c r="Y106">
        <f t="shared" si="7"/>
        <v>43.999999999999993</v>
      </c>
      <c r="Z106" s="1">
        <v>3</v>
      </c>
      <c r="AA106">
        <v>97</v>
      </c>
      <c r="AB106">
        <v>3.09E-2</v>
      </c>
      <c r="AC106">
        <v>3</v>
      </c>
      <c r="AD106">
        <v>105</v>
      </c>
      <c r="AE106">
        <v>2.86E-2</v>
      </c>
      <c r="AF106" t="s">
        <v>2591</v>
      </c>
      <c r="AG106" t="s">
        <v>2589</v>
      </c>
    </row>
    <row r="107" spans="1:33">
      <c r="A107" s="2" t="s">
        <v>145</v>
      </c>
      <c r="B107" s="2" t="s">
        <v>83</v>
      </c>
      <c r="C107" s="1">
        <v>0.63439632599999995</v>
      </c>
      <c r="D107">
        <v>0.68173804199999999</v>
      </c>
      <c r="E107">
        <v>0.69641308800000001</v>
      </c>
      <c r="F107" s="1" t="s">
        <v>146</v>
      </c>
      <c r="G107" s="1">
        <v>2.0097323600000001</v>
      </c>
      <c r="H107" s="1">
        <v>35.700000000000003</v>
      </c>
      <c r="I107" s="1">
        <v>41.1</v>
      </c>
      <c r="J107" s="1">
        <v>0.67084915200000006</v>
      </c>
      <c r="K107" s="1">
        <v>0.51815179099999997</v>
      </c>
      <c r="L107" s="1">
        <v>0.50115949400000004</v>
      </c>
      <c r="M107" s="3">
        <v>0.68053170600000001</v>
      </c>
      <c r="N107" s="1" t="s">
        <v>84</v>
      </c>
      <c r="O107" s="1">
        <v>1.760323887</v>
      </c>
      <c r="P107" s="1">
        <v>83.4</v>
      </c>
      <c r="Q107" s="1">
        <v>123.5</v>
      </c>
      <c r="R107" s="1">
        <v>0.56661433033333342</v>
      </c>
      <c r="S107" s="1">
        <v>0.21534535567173124</v>
      </c>
      <c r="T107" t="s">
        <v>254</v>
      </c>
      <c r="U107" s="1">
        <v>2377</v>
      </c>
      <c r="V107">
        <f t="shared" si="4"/>
        <v>0.37511435352535338</v>
      </c>
      <c r="W107" s="1">
        <f t="shared" si="5"/>
        <v>47.7</v>
      </c>
      <c r="X107">
        <f t="shared" si="6"/>
        <v>0.24940847300000013</v>
      </c>
      <c r="Y107">
        <f t="shared" si="7"/>
        <v>82.4</v>
      </c>
      <c r="Z107" s="1">
        <v>1</v>
      </c>
      <c r="AA107">
        <v>99</v>
      </c>
      <c r="AB107">
        <v>1.01E-2</v>
      </c>
      <c r="AC107">
        <v>2</v>
      </c>
      <c r="AD107">
        <v>101</v>
      </c>
      <c r="AE107">
        <v>1.9800000000000002E-2</v>
      </c>
      <c r="AF107" t="s">
        <v>2591</v>
      </c>
      <c r="AG107" t="s">
        <v>2589</v>
      </c>
    </row>
    <row r="108" spans="1:33">
      <c r="A108" s="2" t="s">
        <v>145</v>
      </c>
      <c r="B108" s="2" t="s">
        <v>85</v>
      </c>
      <c r="C108" s="1">
        <v>0.63439632599999995</v>
      </c>
      <c r="D108">
        <v>0.68173804199999999</v>
      </c>
      <c r="E108">
        <v>0.69641308800000001</v>
      </c>
      <c r="F108" s="1" t="s">
        <v>146</v>
      </c>
      <c r="G108" s="1">
        <v>2.0097323600000001</v>
      </c>
      <c r="H108" s="1">
        <v>35.700000000000003</v>
      </c>
      <c r="I108" s="1">
        <v>41.1</v>
      </c>
      <c r="J108" s="1">
        <v>0.67084915200000006</v>
      </c>
      <c r="K108" s="1">
        <v>0.522280945</v>
      </c>
      <c r="L108" s="1">
        <v>0.58016629799999997</v>
      </c>
      <c r="M108" s="3">
        <v>0.62446713499999995</v>
      </c>
      <c r="N108" s="1" t="s">
        <v>86</v>
      </c>
      <c r="O108" s="1">
        <v>0.57177615599999998</v>
      </c>
      <c r="P108" s="1">
        <v>19.5</v>
      </c>
      <c r="Q108" s="1">
        <v>82.2</v>
      </c>
      <c r="R108" s="1">
        <v>0.57563812599999997</v>
      </c>
      <c r="S108" s="1">
        <v>0.16751984356802305</v>
      </c>
      <c r="T108" t="s">
        <v>255</v>
      </c>
      <c r="U108" s="1">
        <v>122</v>
      </c>
      <c r="V108">
        <f t="shared" si="4"/>
        <v>0.23181775896386092</v>
      </c>
      <c r="W108" s="1">
        <f t="shared" si="5"/>
        <v>16.200000000000003</v>
      </c>
      <c r="X108">
        <f t="shared" si="6"/>
        <v>1.4379562040000002</v>
      </c>
      <c r="Y108">
        <f t="shared" si="7"/>
        <v>41.1</v>
      </c>
      <c r="Z108" s="1">
        <v>1</v>
      </c>
      <c r="AA108">
        <v>99</v>
      </c>
      <c r="AB108">
        <v>1.01E-2</v>
      </c>
      <c r="AC108">
        <v>2</v>
      </c>
      <c r="AD108">
        <v>166</v>
      </c>
      <c r="AE108">
        <v>1.2E-2</v>
      </c>
      <c r="AF108" t="s">
        <v>2591</v>
      </c>
      <c r="AG108" t="s">
        <v>2590</v>
      </c>
    </row>
    <row r="109" spans="1:33">
      <c r="A109" s="2" t="s">
        <v>145</v>
      </c>
      <c r="B109" s="2" t="s">
        <v>87</v>
      </c>
      <c r="C109" s="1">
        <v>0.63439632599999995</v>
      </c>
      <c r="D109">
        <v>0.68173804199999999</v>
      </c>
      <c r="E109">
        <v>0.69641308800000001</v>
      </c>
      <c r="F109" s="1" t="s">
        <v>146</v>
      </c>
      <c r="G109" s="1">
        <v>2.0097323600000001</v>
      </c>
      <c r="H109" s="1">
        <v>35.700000000000003</v>
      </c>
      <c r="I109" s="1">
        <v>41.1</v>
      </c>
      <c r="J109" s="1">
        <v>0.67084915200000006</v>
      </c>
      <c r="K109" s="1">
        <v>0.46780425199999998</v>
      </c>
      <c r="L109" s="1">
        <v>0.54149707400000002</v>
      </c>
      <c r="M109" s="3">
        <v>0.61626236400000001</v>
      </c>
      <c r="N109" s="1" t="s">
        <v>88</v>
      </c>
      <c r="O109" s="1">
        <v>1.395454545</v>
      </c>
      <c r="P109" s="1">
        <v>65.2</v>
      </c>
      <c r="Q109" s="1">
        <v>110</v>
      </c>
      <c r="R109" s="1">
        <v>0.54185456333333337</v>
      </c>
      <c r="S109" s="1">
        <v>0.23204436382494331</v>
      </c>
      <c r="T109" t="s">
        <v>256</v>
      </c>
      <c r="U109" s="1">
        <v>3707</v>
      </c>
      <c r="V109">
        <f t="shared" si="4"/>
        <v>0.39655806511439595</v>
      </c>
      <c r="W109" s="1">
        <f t="shared" si="5"/>
        <v>29.5</v>
      </c>
      <c r="X109">
        <f t="shared" si="6"/>
        <v>0.61427781500000012</v>
      </c>
      <c r="Y109">
        <f t="shared" si="7"/>
        <v>68.900000000000006</v>
      </c>
      <c r="Z109" s="1">
        <v>1</v>
      </c>
      <c r="AA109">
        <v>99</v>
      </c>
      <c r="AB109">
        <v>1.01E-2</v>
      </c>
      <c r="AC109">
        <v>2</v>
      </c>
      <c r="AD109">
        <v>99</v>
      </c>
      <c r="AE109">
        <v>2.0199999999999999E-2</v>
      </c>
      <c r="AF109" t="s">
        <v>2591</v>
      </c>
      <c r="AG109" t="s">
        <v>2590</v>
      </c>
    </row>
    <row r="110" spans="1:33">
      <c r="A110" s="2" t="s">
        <v>145</v>
      </c>
      <c r="B110" s="2" t="s">
        <v>89</v>
      </c>
      <c r="C110" s="1">
        <v>0.63439632599999995</v>
      </c>
      <c r="D110">
        <v>0.68173804199999999</v>
      </c>
      <c r="E110">
        <v>0.69641308800000001</v>
      </c>
      <c r="F110" s="1" t="s">
        <v>146</v>
      </c>
      <c r="G110" s="1">
        <v>2.0097323600000001</v>
      </c>
      <c r="H110" s="1">
        <v>35.700000000000003</v>
      </c>
      <c r="I110" s="1">
        <v>41.1</v>
      </c>
      <c r="J110" s="1">
        <v>0.67084915200000006</v>
      </c>
      <c r="K110" s="1">
        <v>0.51097051500000001</v>
      </c>
      <c r="L110" s="1">
        <v>0.61917891400000002</v>
      </c>
      <c r="M110" s="3">
        <v>0.60984479800000002</v>
      </c>
      <c r="N110" s="1" t="s">
        <v>90</v>
      </c>
      <c r="O110" s="1">
        <v>1.429752066</v>
      </c>
      <c r="P110" s="1">
        <v>59.8</v>
      </c>
      <c r="Q110" s="1">
        <v>108.9</v>
      </c>
      <c r="R110" s="1">
        <v>0.57999807566666661</v>
      </c>
      <c r="S110" s="1">
        <v>0.1632226827087834</v>
      </c>
      <c r="T110" t="s">
        <v>257</v>
      </c>
      <c r="U110" s="1">
        <v>3445</v>
      </c>
      <c r="V110">
        <f t="shared" si="4"/>
        <v>0.39302102513818271</v>
      </c>
      <c r="W110" s="1">
        <f t="shared" si="5"/>
        <v>24.099999999999994</v>
      </c>
      <c r="X110">
        <f t="shared" si="6"/>
        <v>0.57998029400000006</v>
      </c>
      <c r="Y110">
        <f t="shared" si="7"/>
        <v>67.800000000000011</v>
      </c>
      <c r="Z110" s="1">
        <v>2</v>
      </c>
      <c r="AA110">
        <v>98</v>
      </c>
      <c r="AB110">
        <v>2.0400000000000001E-2</v>
      </c>
      <c r="AC110">
        <v>3</v>
      </c>
      <c r="AD110">
        <v>107</v>
      </c>
      <c r="AE110">
        <v>2.8000000000000001E-2</v>
      </c>
      <c r="AF110" t="s">
        <v>2591</v>
      </c>
      <c r="AG110" t="s">
        <v>2589</v>
      </c>
    </row>
    <row r="111" spans="1:33">
      <c r="A111" s="2" t="s">
        <v>145</v>
      </c>
      <c r="B111" s="2" t="s">
        <v>91</v>
      </c>
      <c r="C111" s="1">
        <v>0.63439632599999995</v>
      </c>
      <c r="D111">
        <v>0.68173804199999999</v>
      </c>
      <c r="E111">
        <v>0.69641308800000001</v>
      </c>
      <c r="F111" s="1" t="s">
        <v>146</v>
      </c>
      <c r="G111" s="1">
        <v>2.0097323600000001</v>
      </c>
      <c r="H111" s="1">
        <v>35.700000000000003</v>
      </c>
      <c r="I111" s="1">
        <v>41.1</v>
      </c>
      <c r="J111" s="1">
        <v>0.67084915200000006</v>
      </c>
      <c r="K111" s="1">
        <v>0.37439919700000002</v>
      </c>
      <c r="L111" s="1">
        <v>0.508839347</v>
      </c>
      <c r="M111" s="3">
        <v>0.52701193599999996</v>
      </c>
      <c r="N111" s="1" t="s">
        <v>92</v>
      </c>
      <c r="O111" s="1">
        <v>1.911504425</v>
      </c>
      <c r="P111" s="1">
        <v>24.6</v>
      </c>
      <c r="Q111" s="1">
        <v>33.9</v>
      </c>
      <c r="R111" s="1">
        <v>0.47008349333333332</v>
      </c>
      <c r="S111" s="1">
        <v>0.35523121501336669</v>
      </c>
      <c r="T111" t="s">
        <v>258</v>
      </c>
      <c r="U111" s="1">
        <v>418</v>
      </c>
      <c r="V111">
        <f t="shared" si="4"/>
        <v>0.29124180908611502</v>
      </c>
      <c r="W111" s="1">
        <f t="shared" si="5"/>
        <v>11.100000000000001</v>
      </c>
      <c r="X111">
        <f t="shared" si="6"/>
        <v>9.8227935000000155E-2</v>
      </c>
      <c r="Y111">
        <f t="shared" si="7"/>
        <v>7.2000000000000028</v>
      </c>
      <c r="Z111" s="1">
        <v>1</v>
      </c>
      <c r="AA111">
        <v>99</v>
      </c>
      <c r="AB111">
        <v>1.01E-2</v>
      </c>
      <c r="AC111">
        <v>2</v>
      </c>
      <c r="AD111">
        <v>115</v>
      </c>
      <c r="AE111">
        <v>1.7399999999999999E-2</v>
      </c>
      <c r="AF111" t="s">
        <v>2591</v>
      </c>
      <c r="AG111" t="s">
        <v>2590</v>
      </c>
    </row>
    <row r="112" spans="1:33">
      <c r="A112" s="2" t="s">
        <v>145</v>
      </c>
      <c r="B112" s="2" t="s">
        <v>93</v>
      </c>
      <c r="C112" s="1">
        <v>0.63439632599999995</v>
      </c>
      <c r="D112">
        <v>0.68173804199999999</v>
      </c>
      <c r="E112">
        <v>0.69641308800000001</v>
      </c>
      <c r="F112" s="1" t="s">
        <v>146</v>
      </c>
      <c r="G112" s="1">
        <v>2.0097323600000001</v>
      </c>
      <c r="H112" s="1">
        <v>35.700000000000003</v>
      </c>
      <c r="I112" s="1">
        <v>41.1</v>
      </c>
      <c r="J112" s="1">
        <v>0.67084915200000006</v>
      </c>
      <c r="K112" s="1">
        <v>0.54134617200000001</v>
      </c>
      <c r="L112" s="1">
        <v>0.674899633</v>
      </c>
      <c r="M112" s="3">
        <v>0.719840174</v>
      </c>
      <c r="N112" s="1" t="s">
        <v>94</v>
      </c>
      <c r="O112" s="1">
        <v>1.175388967</v>
      </c>
      <c r="P112" s="1">
        <v>36.6</v>
      </c>
      <c r="Q112" s="1">
        <v>70.7</v>
      </c>
      <c r="R112" s="1">
        <v>0.64536199299999997</v>
      </c>
      <c r="S112" s="1">
        <v>9.619731470018475E-2</v>
      </c>
      <c r="T112" t="s">
        <v>259</v>
      </c>
      <c r="U112" s="1">
        <v>614</v>
      </c>
      <c r="V112">
        <f t="shared" si="4"/>
        <v>0.30979648568235196</v>
      </c>
      <c r="W112" s="1">
        <f t="shared" si="5"/>
        <v>0.89999999999999858</v>
      </c>
      <c r="X112">
        <f t="shared" si="6"/>
        <v>0.83434339300000016</v>
      </c>
      <c r="Y112">
        <f t="shared" si="7"/>
        <v>29.6</v>
      </c>
      <c r="Z112" s="1">
        <v>1</v>
      </c>
      <c r="AA112">
        <v>99</v>
      </c>
      <c r="AB112">
        <v>1.01E-2</v>
      </c>
      <c r="AC112">
        <v>2</v>
      </c>
      <c r="AD112">
        <v>106</v>
      </c>
      <c r="AE112">
        <v>1.89E-2</v>
      </c>
      <c r="AF112" t="s">
        <v>2591</v>
      </c>
      <c r="AG112" t="s">
        <v>2589</v>
      </c>
    </row>
    <row r="113" spans="1:33">
      <c r="A113" s="2" t="s">
        <v>145</v>
      </c>
      <c r="B113" s="2" t="s">
        <v>95</v>
      </c>
      <c r="C113" s="1">
        <v>0.63439632599999995</v>
      </c>
      <c r="D113">
        <v>0.68173804199999999</v>
      </c>
      <c r="E113">
        <v>0.69641308800000001</v>
      </c>
      <c r="F113" s="1" t="s">
        <v>146</v>
      </c>
      <c r="G113" s="1">
        <v>2.0097323600000001</v>
      </c>
      <c r="H113" s="1">
        <v>35.700000000000003</v>
      </c>
      <c r="I113" s="1">
        <v>41.1</v>
      </c>
      <c r="J113" s="1">
        <v>0.67084915200000006</v>
      </c>
      <c r="K113" s="1">
        <v>0.59462093100000002</v>
      </c>
      <c r="L113" s="1">
        <v>0.68038960500000001</v>
      </c>
      <c r="M113" s="3">
        <v>0.72533004899999998</v>
      </c>
      <c r="N113" s="1" t="s">
        <v>96</v>
      </c>
      <c r="O113" s="1">
        <v>1.9717647060000001</v>
      </c>
      <c r="P113" s="1">
        <v>34.6</v>
      </c>
      <c r="Q113" s="1">
        <v>42.5</v>
      </c>
      <c r="R113" s="1">
        <v>0.66678019499999996</v>
      </c>
      <c r="S113" s="1">
        <v>4.9194420041550523E-2</v>
      </c>
      <c r="T113" t="s">
        <v>260</v>
      </c>
      <c r="U113" s="1">
        <v>4678</v>
      </c>
      <c r="V113">
        <f t="shared" si="4"/>
        <v>0.40778446860812601</v>
      </c>
      <c r="W113" s="1">
        <f t="shared" si="5"/>
        <v>1.1000000000000014</v>
      </c>
      <c r="X113">
        <f t="shared" si="6"/>
        <v>3.7967654000000017E-2</v>
      </c>
      <c r="Y113">
        <f t="shared" si="7"/>
        <v>1.3999999999999986</v>
      </c>
      <c r="Z113" s="1">
        <v>19</v>
      </c>
      <c r="AA113">
        <v>81</v>
      </c>
      <c r="AB113">
        <v>0.2346</v>
      </c>
      <c r="AC113">
        <v>20</v>
      </c>
      <c r="AD113">
        <v>94</v>
      </c>
      <c r="AE113">
        <v>0.21279999999999999</v>
      </c>
      <c r="AF113" t="s">
        <v>2591</v>
      </c>
      <c r="AG113" t="s">
        <v>2593</v>
      </c>
    </row>
    <row r="114" spans="1:33">
      <c r="A114" s="2" t="s">
        <v>145</v>
      </c>
      <c r="B114" s="2" t="s">
        <v>97</v>
      </c>
      <c r="C114" s="1">
        <v>0.63439632599999995</v>
      </c>
      <c r="D114">
        <v>0.68173804199999999</v>
      </c>
      <c r="E114">
        <v>0.69641308800000001</v>
      </c>
      <c r="F114" s="1" t="s">
        <v>146</v>
      </c>
      <c r="G114" s="1">
        <v>2.0097323600000001</v>
      </c>
      <c r="H114" s="1">
        <v>35.700000000000003</v>
      </c>
      <c r="I114" s="1">
        <v>41.1</v>
      </c>
      <c r="J114" s="1">
        <v>0.67084915200000006</v>
      </c>
      <c r="K114" s="1">
        <v>0.63674842300000001</v>
      </c>
      <c r="L114" s="1">
        <v>0.68532635500000005</v>
      </c>
      <c r="M114" s="3">
        <v>0.727031494</v>
      </c>
      <c r="N114" s="1" t="s">
        <v>98</v>
      </c>
      <c r="O114" s="1">
        <v>2.360103627</v>
      </c>
      <c r="P114" s="1">
        <v>36.799999999999997</v>
      </c>
      <c r="Q114" s="1">
        <v>38.6</v>
      </c>
      <c r="R114" s="1">
        <v>0.68303542400000017</v>
      </c>
      <c r="S114" s="1">
        <v>3.091755385641325E-2</v>
      </c>
      <c r="T114" t="s">
        <v>261</v>
      </c>
      <c r="U114" s="1">
        <v>4125</v>
      </c>
      <c r="V114">
        <f t="shared" si="4"/>
        <v>0.40171377254288265</v>
      </c>
      <c r="W114" s="1">
        <f t="shared" si="5"/>
        <v>1.0999999999999943</v>
      </c>
      <c r="X114">
        <f t="shared" si="6"/>
        <v>0.35037126699999988</v>
      </c>
      <c r="Y114">
        <f t="shared" si="7"/>
        <v>2.5</v>
      </c>
      <c r="Z114" s="1">
        <v>15</v>
      </c>
      <c r="AA114">
        <v>85</v>
      </c>
      <c r="AB114">
        <v>0.17649999999999999</v>
      </c>
      <c r="AC114">
        <v>18</v>
      </c>
      <c r="AD114">
        <v>96</v>
      </c>
      <c r="AE114">
        <v>0.1875</v>
      </c>
      <c r="AF114" t="s">
        <v>2591</v>
      </c>
      <c r="AG114" t="s">
        <v>2593</v>
      </c>
    </row>
    <row r="115" spans="1:33">
      <c r="A115" s="2" t="s">
        <v>145</v>
      </c>
      <c r="B115" s="2" t="s">
        <v>99</v>
      </c>
      <c r="C115" s="1">
        <v>0.63439632599999995</v>
      </c>
      <c r="D115">
        <v>0.68173804199999999</v>
      </c>
      <c r="E115">
        <v>0.69641308800000001</v>
      </c>
      <c r="F115" s="1" t="s">
        <v>146</v>
      </c>
      <c r="G115" s="1">
        <v>2.0097323600000001</v>
      </c>
      <c r="H115" s="1">
        <v>35.700000000000003</v>
      </c>
      <c r="I115" s="1">
        <v>41.1</v>
      </c>
      <c r="J115" s="1">
        <v>0.67084915200000006</v>
      </c>
      <c r="K115" s="1">
        <v>0.52525630099999998</v>
      </c>
      <c r="L115" s="1">
        <v>0.68706170200000005</v>
      </c>
      <c r="M115" s="3">
        <v>0.71473597300000002</v>
      </c>
      <c r="N115" s="1" t="s">
        <v>100</v>
      </c>
      <c r="O115" s="1">
        <v>1.72605042</v>
      </c>
      <c r="P115" s="1">
        <v>46.5</v>
      </c>
      <c r="Q115" s="1">
        <v>59.5</v>
      </c>
      <c r="R115" s="1">
        <v>0.64235132533333339</v>
      </c>
      <c r="S115" s="1">
        <v>0.110795372319964</v>
      </c>
      <c r="T115" t="s">
        <v>262</v>
      </c>
      <c r="U115" s="1">
        <v>1202</v>
      </c>
      <c r="V115">
        <f t="shared" si="4"/>
        <v>0.34221160751852453</v>
      </c>
      <c r="W115" s="1">
        <f t="shared" si="5"/>
        <v>10.799999999999997</v>
      </c>
      <c r="X115">
        <f t="shared" si="6"/>
        <v>0.28368194000000013</v>
      </c>
      <c r="Y115">
        <f t="shared" si="7"/>
        <v>18.399999999999999</v>
      </c>
      <c r="Z115" s="1">
        <v>0</v>
      </c>
      <c r="AA115">
        <v>100</v>
      </c>
      <c r="AB115">
        <v>0</v>
      </c>
      <c r="AC115">
        <v>0</v>
      </c>
      <c r="AD115">
        <v>116</v>
      </c>
      <c r="AE115">
        <v>0</v>
      </c>
      <c r="AF115" t="s">
        <v>2591</v>
      </c>
      <c r="AG115" t="s">
        <v>2589</v>
      </c>
    </row>
    <row r="116" spans="1:33">
      <c r="A116" s="2" t="s">
        <v>145</v>
      </c>
      <c r="B116" s="2" t="s">
        <v>148</v>
      </c>
      <c r="C116" s="1">
        <v>0.63439632599999995</v>
      </c>
      <c r="D116">
        <v>0.68173804199999999</v>
      </c>
      <c r="E116">
        <v>0.69641308800000001</v>
      </c>
      <c r="F116" s="1" t="s">
        <v>146</v>
      </c>
      <c r="G116" s="1">
        <v>2.0097323600000001</v>
      </c>
      <c r="H116" s="1">
        <v>35.700000000000003</v>
      </c>
      <c r="I116" s="1">
        <v>41.1</v>
      </c>
      <c r="J116" s="1">
        <v>0.67084915200000006</v>
      </c>
      <c r="K116" s="1">
        <v>0.52246277500000005</v>
      </c>
      <c r="L116" s="1">
        <v>0.64036274199999998</v>
      </c>
      <c r="M116" s="3">
        <v>0.62317592099999997</v>
      </c>
      <c r="N116" s="1" t="s">
        <v>149</v>
      </c>
      <c r="O116" s="1">
        <v>1.201000834</v>
      </c>
      <c r="P116" s="1">
        <v>59.2</v>
      </c>
      <c r="Q116" s="1">
        <v>119.9</v>
      </c>
      <c r="R116" s="1">
        <v>0.59533381266666663</v>
      </c>
      <c r="S116" s="1">
        <v>0.14001684869952427</v>
      </c>
      <c r="T116" t="s">
        <v>285</v>
      </c>
      <c r="U116" s="1">
        <v>997</v>
      </c>
      <c r="V116">
        <f t="shared" si="4"/>
        <v>0.33318835092351734</v>
      </c>
      <c r="W116" s="1">
        <f t="shared" si="5"/>
        <v>23.5</v>
      </c>
      <c r="X116">
        <f t="shared" si="6"/>
        <v>0.80873152600000009</v>
      </c>
      <c r="Y116">
        <f t="shared" si="7"/>
        <v>78.800000000000011</v>
      </c>
      <c r="Z116" s="1">
        <v>2</v>
      </c>
      <c r="AA116">
        <v>98</v>
      </c>
      <c r="AB116">
        <v>2.0400000000000001E-2</v>
      </c>
      <c r="AC116">
        <v>3</v>
      </c>
      <c r="AD116">
        <v>108</v>
      </c>
      <c r="AE116">
        <v>2.7799999999999998E-2</v>
      </c>
      <c r="AF116" t="s">
        <v>2591</v>
      </c>
      <c r="AG116" t="s">
        <v>2589</v>
      </c>
    </row>
    <row r="117" spans="1:33">
      <c r="A117" s="2" t="s">
        <v>145</v>
      </c>
      <c r="B117" s="2" t="s">
        <v>101</v>
      </c>
      <c r="C117" s="1">
        <v>0.63439632599999995</v>
      </c>
      <c r="D117">
        <v>0.68173804199999999</v>
      </c>
      <c r="E117">
        <v>0.69641308800000001</v>
      </c>
      <c r="F117" s="1" t="s">
        <v>146</v>
      </c>
      <c r="G117" s="1">
        <v>2.0097323600000001</v>
      </c>
      <c r="H117" s="1">
        <v>35.700000000000003</v>
      </c>
      <c r="I117" s="1">
        <v>41.1</v>
      </c>
      <c r="J117" s="1">
        <v>0.67084915200000006</v>
      </c>
      <c r="K117" s="1">
        <v>0.57277697599999999</v>
      </c>
      <c r="L117" s="1">
        <v>0.64568820599999999</v>
      </c>
      <c r="M117" s="3">
        <v>0.70909993500000001</v>
      </c>
      <c r="N117" s="1" t="s">
        <v>102</v>
      </c>
      <c r="O117" s="1">
        <v>1.2818181820000001</v>
      </c>
      <c r="P117" s="1">
        <v>58</v>
      </c>
      <c r="Q117" s="1">
        <v>110</v>
      </c>
      <c r="R117" s="1">
        <v>0.64252170566666666</v>
      </c>
      <c r="S117" s="1">
        <v>7.2508558507605153E-2</v>
      </c>
      <c r="T117" t="s">
        <v>263</v>
      </c>
      <c r="U117" s="1">
        <v>1855</v>
      </c>
      <c r="V117">
        <f t="shared" si="4"/>
        <v>0.36314932377234055</v>
      </c>
      <c r="W117" s="1">
        <f t="shared" si="5"/>
        <v>22.299999999999997</v>
      </c>
      <c r="X117">
        <f t="shared" si="6"/>
        <v>0.72791417800000002</v>
      </c>
      <c r="Y117">
        <f t="shared" si="7"/>
        <v>68.900000000000006</v>
      </c>
      <c r="Z117" s="1">
        <v>2</v>
      </c>
      <c r="AA117">
        <v>98</v>
      </c>
      <c r="AB117">
        <v>2.0400000000000001E-2</v>
      </c>
      <c r="AC117">
        <v>3</v>
      </c>
      <c r="AD117">
        <v>106</v>
      </c>
      <c r="AE117">
        <v>2.8299999999999999E-2</v>
      </c>
      <c r="AF117" t="s">
        <v>2591</v>
      </c>
      <c r="AG117" t="s">
        <v>2589</v>
      </c>
    </row>
    <row r="118" spans="1:33">
      <c r="A118" s="2" t="s">
        <v>145</v>
      </c>
      <c r="B118" s="2" t="s">
        <v>103</v>
      </c>
      <c r="C118" s="1">
        <v>0.63439632599999995</v>
      </c>
      <c r="D118">
        <v>0.68173804199999999</v>
      </c>
      <c r="E118">
        <v>0.69641308800000001</v>
      </c>
      <c r="F118" s="1" t="s">
        <v>146</v>
      </c>
      <c r="G118" s="1">
        <v>2.0097323600000001</v>
      </c>
      <c r="H118" s="1">
        <v>35.700000000000003</v>
      </c>
      <c r="I118" s="1">
        <v>41.1</v>
      </c>
      <c r="J118" s="1">
        <v>0.67084915200000006</v>
      </c>
      <c r="K118" s="1">
        <v>0.58538445800000005</v>
      </c>
      <c r="L118" s="1">
        <v>0.70461059999999998</v>
      </c>
      <c r="M118" s="3">
        <v>0.67846608399999997</v>
      </c>
      <c r="N118" s="1" t="s">
        <v>104</v>
      </c>
      <c r="O118" s="1">
        <v>1.1020080320000001</v>
      </c>
      <c r="P118" s="1">
        <v>58.7</v>
      </c>
      <c r="Q118" s="1">
        <v>124.5</v>
      </c>
      <c r="R118" s="1">
        <v>0.65615371400000011</v>
      </c>
      <c r="S118" s="1">
        <v>5.6986069059804391E-2</v>
      </c>
      <c r="T118" t="s">
        <v>264</v>
      </c>
      <c r="U118" s="1">
        <v>779</v>
      </c>
      <c r="V118">
        <f t="shared" si="4"/>
        <v>0.32128193974139602</v>
      </c>
      <c r="W118" s="1">
        <f t="shared" si="5"/>
        <v>23</v>
      </c>
      <c r="X118">
        <f t="shared" si="6"/>
        <v>0.90772432800000002</v>
      </c>
      <c r="Y118">
        <f t="shared" si="7"/>
        <v>83.4</v>
      </c>
      <c r="Z118" s="1">
        <v>0</v>
      </c>
      <c r="AA118">
        <v>100</v>
      </c>
      <c r="AB118">
        <v>0</v>
      </c>
      <c r="AC118">
        <v>1</v>
      </c>
      <c r="AD118">
        <v>109</v>
      </c>
      <c r="AE118">
        <v>9.1999999999999998E-3</v>
      </c>
      <c r="AF118" t="s">
        <v>2591</v>
      </c>
      <c r="AG118" t="s">
        <v>2589</v>
      </c>
    </row>
    <row r="119" spans="1:33">
      <c r="A119" s="2" t="s">
        <v>145</v>
      </c>
      <c r="B119" s="2" t="s">
        <v>105</v>
      </c>
      <c r="C119" s="1">
        <v>0.63439632599999995</v>
      </c>
      <c r="D119">
        <v>0.68173804199999999</v>
      </c>
      <c r="E119">
        <v>0.69641308800000001</v>
      </c>
      <c r="F119" s="1" t="s">
        <v>146</v>
      </c>
      <c r="G119" s="1">
        <v>2.0097323600000001</v>
      </c>
      <c r="H119" s="1">
        <v>35.700000000000003</v>
      </c>
      <c r="I119" s="1">
        <v>41.1</v>
      </c>
      <c r="J119" s="1">
        <v>0.67084915200000006</v>
      </c>
      <c r="K119" s="1">
        <v>0.56210716000000005</v>
      </c>
      <c r="L119" s="1">
        <v>0.68032504299999996</v>
      </c>
      <c r="M119" s="3">
        <v>0.71115907899999997</v>
      </c>
      <c r="N119" s="1" t="s">
        <v>106</v>
      </c>
      <c r="O119" s="1">
        <v>1.0978593270000001</v>
      </c>
      <c r="P119" s="1">
        <v>43.5</v>
      </c>
      <c r="Q119" s="1">
        <v>98.1</v>
      </c>
      <c r="R119" s="1">
        <v>0.65119709399999992</v>
      </c>
      <c r="S119" s="1">
        <v>7.3791356795505678E-2</v>
      </c>
      <c r="T119" t="s">
        <v>265</v>
      </c>
      <c r="U119" s="1">
        <v>29007</v>
      </c>
      <c r="V119">
        <f t="shared" si="4"/>
        <v>0.49583364610573999</v>
      </c>
      <c r="W119" s="1">
        <f t="shared" si="5"/>
        <v>7.7999999999999972</v>
      </c>
      <c r="X119">
        <f t="shared" si="6"/>
        <v>0.911873033</v>
      </c>
      <c r="Y119">
        <f t="shared" si="7"/>
        <v>56.999999999999993</v>
      </c>
      <c r="Z119" s="1">
        <v>16</v>
      </c>
      <c r="AA119">
        <v>84</v>
      </c>
      <c r="AB119">
        <v>0.1905</v>
      </c>
      <c r="AC119">
        <v>21</v>
      </c>
      <c r="AD119">
        <v>107</v>
      </c>
      <c r="AE119">
        <v>0.1963</v>
      </c>
      <c r="AF119" t="s">
        <v>2591</v>
      </c>
      <c r="AG119" t="s">
        <v>2589</v>
      </c>
    </row>
    <row r="120" spans="1:33">
      <c r="A120" s="2" t="s">
        <v>145</v>
      </c>
      <c r="B120" s="2" t="s">
        <v>107</v>
      </c>
      <c r="C120" s="1">
        <v>0.63439632599999995</v>
      </c>
      <c r="D120">
        <v>0.68173804199999999</v>
      </c>
      <c r="E120">
        <v>0.69641308800000001</v>
      </c>
      <c r="F120" s="1" t="s">
        <v>146</v>
      </c>
      <c r="G120" s="1">
        <v>2.0097323600000001</v>
      </c>
      <c r="H120" s="1">
        <v>35.700000000000003</v>
      </c>
      <c r="I120" s="1">
        <v>41.1</v>
      </c>
      <c r="J120" s="1">
        <v>0.67084915200000006</v>
      </c>
      <c r="K120" s="1">
        <v>0.61734740899999996</v>
      </c>
      <c r="L120" s="1">
        <v>0.68293216999999995</v>
      </c>
      <c r="M120" s="3">
        <v>0.69981194099999999</v>
      </c>
      <c r="N120" s="1" t="s">
        <v>108</v>
      </c>
      <c r="O120" s="1">
        <v>2</v>
      </c>
      <c r="P120" s="1">
        <v>19</v>
      </c>
      <c r="Q120" s="1">
        <v>21.1</v>
      </c>
      <c r="R120" s="1">
        <v>0.66669717333333323</v>
      </c>
      <c r="S120" s="1">
        <v>1.7425375584729348E-2</v>
      </c>
      <c r="T120" t="s">
        <v>266</v>
      </c>
      <c r="U120" s="1">
        <v>423</v>
      </c>
      <c r="V120">
        <f t="shared" si="4"/>
        <v>0.2918155963750047</v>
      </c>
      <c r="W120" s="1">
        <f t="shared" si="5"/>
        <v>16.700000000000003</v>
      </c>
      <c r="X120">
        <f t="shared" si="6"/>
        <v>9.7323600000001065E-3</v>
      </c>
      <c r="Y120">
        <f t="shared" si="7"/>
        <v>20</v>
      </c>
      <c r="Z120" s="1">
        <v>0</v>
      </c>
      <c r="AA120">
        <v>100</v>
      </c>
      <c r="AB120">
        <v>0</v>
      </c>
      <c r="AC120">
        <v>0</v>
      </c>
      <c r="AD120">
        <v>104</v>
      </c>
      <c r="AE120">
        <v>0</v>
      </c>
      <c r="AF120" t="s">
        <v>2591</v>
      </c>
      <c r="AG120" t="s">
        <v>2588</v>
      </c>
    </row>
    <row r="121" spans="1:33">
      <c r="A121" s="2" t="s">
        <v>145</v>
      </c>
      <c r="B121" s="2" t="s">
        <v>109</v>
      </c>
      <c r="C121" s="1">
        <v>0.63439632599999995</v>
      </c>
      <c r="D121">
        <v>0.68173804199999999</v>
      </c>
      <c r="E121">
        <v>0.69641308800000001</v>
      </c>
      <c r="F121" s="1" t="s">
        <v>146</v>
      </c>
      <c r="G121" s="1">
        <v>2.0097323600000001</v>
      </c>
      <c r="H121" s="1">
        <v>35.700000000000003</v>
      </c>
      <c r="I121" s="1">
        <v>41.1</v>
      </c>
      <c r="J121" s="1">
        <v>0.67084915200000006</v>
      </c>
      <c r="K121" s="1">
        <v>0.51638908800000005</v>
      </c>
      <c r="L121" s="1">
        <v>0.68684605300000001</v>
      </c>
      <c r="M121" s="3">
        <v>0.66065444600000001</v>
      </c>
      <c r="N121" s="1" t="s">
        <v>110</v>
      </c>
      <c r="O121" s="1">
        <v>1.2897862229999999</v>
      </c>
      <c r="P121" s="1">
        <v>49.4</v>
      </c>
      <c r="Q121" s="1">
        <v>84.2</v>
      </c>
      <c r="R121" s="1">
        <v>0.62129652899999999</v>
      </c>
      <c r="S121" s="1">
        <v>0.12341183279754379</v>
      </c>
      <c r="T121" t="s">
        <v>267</v>
      </c>
      <c r="U121" s="1">
        <v>684</v>
      </c>
      <c r="V121">
        <f t="shared" si="4"/>
        <v>0.31500623352445734</v>
      </c>
      <c r="W121" s="1">
        <f t="shared" si="5"/>
        <v>13.699999999999996</v>
      </c>
      <c r="X121">
        <f t="shared" si="6"/>
        <v>0.71994613700000021</v>
      </c>
      <c r="Y121">
        <f t="shared" si="7"/>
        <v>43.1</v>
      </c>
      <c r="Z121" s="1">
        <v>1</v>
      </c>
      <c r="AA121">
        <v>99</v>
      </c>
      <c r="AB121">
        <v>1.01E-2</v>
      </c>
      <c r="AC121">
        <v>3</v>
      </c>
      <c r="AD121">
        <v>122</v>
      </c>
      <c r="AE121">
        <v>2.46E-2</v>
      </c>
      <c r="AF121" t="s">
        <v>2591</v>
      </c>
      <c r="AG121" t="s">
        <v>2589</v>
      </c>
    </row>
    <row r="122" spans="1:33">
      <c r="A122" s="2" t="s">
        <v>145</v>
      </c>
      <c r="B122" s="2" t="s">
        <v>111</v>
      </c>
      <c r="C122" s="1">
        <v>0.63439632599999995</v>
      </c>
      <c r="D122">
        <v>0.68173804199999999</v>
      </c>
      <c r="E122">
        <v>0.69641308800000001</v>
      </c>
      <c r="F122" s="1" t="s">
        <v>146</v>
      </c>
      <c r="G122" s="1">
        <v>2.0097323600000001</v>
      </c>
      <c r="H122" s="1">
        <v>35.700000000000003</v>
      </c>
      <c r="I122" s="1">
        <v>41.1</v>
      </c>
      <c r="J122" s="1">
        <v>0.67084915200000006</v>
      </c>
      <c r="K122" s="1">
        <v>0.60132418300000001</v>
      </c>
      <c r="L122" s="1">
        <v>0.67605095299999995</v>
      </c>
      <c r="M122" s="3">
        <v>0.74222981799999999</v>
      </c>
      <c r="N122" s="1" t="s">
        <v>112</v>
      </c>
      <c r="O122" s="1">
        <v>1.561403509</v>
      </c>
      <c r="P122" s="1">
        <v>30</v>
      </c>
      <c r="Q122" s="1">
        <v>45.6</v>
      </c>
      <c r="R122" s="1">
        <v>0.67320165133333332</v>
      </c>
      <c r="S122" s="1">
        <v>5.6791569548651007E-2</v>
      </c>
      <c r="T122" t="s">
        <v>268</v>
      </c>
      <c r="U122" s="1">
        <v>9406</v>
      </c>
      <c r="V122">
        <f t="shared" si="4"/>
        <v>0.44148944160111786</v>
      </c>
      <c r="W122" s="1">
        <f t="shared" si="5"/>
        <v>5.7000000000000028</v>
      </c>
      <c r="X122">
        <f t="shared" si="6"/>
        <v>0.44832885100000008</v>
      </c>
      <c r="Y122">
        <f t="shared" si="7"/>
        <v>4.5</v>
      </c>
      <c r="Z122" s="1">
        <v>21</v>
      </c>
      <c r="AA122">
        <v>79</v>
      </c>
      <c r="AB122">
        <v>0.26579999999999998</v>
      </c>
      <c r="AC122">
        <v>24</v>
      </c>
      <c r="AD122">
        <v>96</v>
      </c>
      <c r="AE122">
        <v>0.25</v>
      </c>
      <c r="AF122" t="s">
        <v>2591</v>
      </c>
      <c r="AG122" t="s">
        <v>2591</v>
      </c>
    </row>
    <row r="123" spans="1:33">
      <c r="A123" s="2" t="s">
        <v>145</v>
      </c>
      <c r="B123" s="2" t="s">
        <v>113</v>
      </c>
      <c r="C123" s="1">
        <v>0.63439632599999995</v>
      </c>
      <c r="D123">
        <v>0.68173804199999999</v>
      </c>
      <c r="E123">
        <v>0.69641308800000001</v>
      </c>
      <c r="F123" s="1" t="s">
        <v>146</v>
      </c>
      <c r="G123" s="1">
        <v>2.0097323600000001</v>
      </c>
      <c r="H123" s="1">
        <v>35.700000000000003</v>
      </c>
      <c r="I123" s="1">
        <v>41.1</v>
      </c>
      <c r="J123" s="1">
        <v>0.67084915200000006</v>
      </c>
      <c r="K123" s="1">
        <v>0.57440698499999998</v>
      </c>
      <c r="L123" s="1">
        <v>0.66920790399999996</v>
      </c>
      <c r="M123" s="3">
        <v>0.71602402300000001</v>
      </c>
      <c r="N123" s="1" t="s">
        <v>114</v>
      </c>
      <c r="O123" s="1">
        <v>2.5573248409999998</v>
      </c>
      <c r="P123" s="1">
        <v>34.299999999999997</v>
      </c>
      <c r="Q123" s="1">
        <v>31.4</v>
      </c>
      <c r="R123" s="1">
        <v>0.65321297066666661</v>
      </c>
      <c r="S123" s="1">
        <v>6.4345273046957752E-2</v>
      </c>
      <c r="T123" t="s">
        <v>269</v>
      </c>
      <c r="U123" s="1">
        <v>7750</v>
      </c>
      <c r="V123">
        <f t="shared" si="4"/>
        <v>0.43214463361181221</v>
      </c>
      <c r="W123" s="1">
        <f t="shared" si="5"/>
        <v>1.4000000000000057</v>
      </c>
      <c r="X123">
        <f t="shared" si="6"/>
        <v>0.54759248099999969</v>
      </c>
      <c r="Y123">
        <f t="shared" si="7"/>
        <v>9.7000000000000028</v>
      </c>
      <c r="Z123" s="1">
        <v>15</v>
      </c>
      <c r="AA123">
        <v>85</v>
      </c>
      <c r="AB123">
        <v>0.17649999999999999</v>
      </c>
      <c r="AC123">
        <v>16</v>
      </c>
      <c r="AD123">
        <v>98</v>
      </c>
      <c r="AE123">
        <v>0.1633</v>
      </c>
      <c r="AF123" t="s">
        <v>2591</v>
      </c>
      <c r="AG123" t="s">
        <v>2593</v>
      </c>
    </row>
    <row r="124" spans="1:33">
      <c r="A124" s="2" t="s">
        <v>145</v>
      </c>
      <c r="B124" s="2" t="s">
        <v>115</v>
      </c>
      <c r="C124" s="1">
        <v>0.63439632599999995</v>
      </c>
      <c r="D124">
        <v>0.68173804199999999</v>
      </c>
      <c r="E124">
        <v>0.69641308800000001</v>
      </c>
      <c r="F124" s="1" t="s">
        <v>146</v>
      </c>
      <c r="G124" s="1">
        <v>2.0097323600000001</v>
      </c>
      <c r="H124" s="1">
        <v>35.700000000000003</v>
      </c>
      <c r="I124" s="1">
        <v>41.1</v>
      </c>
      <c r="J124" s="1">
        <v>0.67084915200000006</v>
      </c>
      <c r="K124" s="1">
        <v>0.55237211100000005</v>
      </c>
      <c r="L124" s="1">
        <v>0.65961031000000003</v>
      </c>
      <c r="M124" s="3">
        <v>0.69215541599999997</v>
      </c>
      <c r="N124" s="1" t="s">
        <v>116</v>
      </c>
      <c r="O124" s="1">
        <v>1.149700599</v>
      </c>
      <c r="P124" s="1">
        <v>66.900000000000006</v>
      </c>
      <c r="Q124" s="1">
        <v>133.6</v>
      </c>
      <c r="R124" s="1">
        <v>0.63471261233333331</v>
      </c>
      <c r="S124" s="1">
        <v>8.5063130325009881E-2</v>
      </c>
      <c r="T124" t="s">
        <v>270</v>
      </c>
      <c r="U124" s="1">
        <v>3233</v>
      </c>
      <c r="V124">
        <f t="shared" si="4"/>
        <v>0.38995618940128401</v>
      </c>
      <c r="W124" s="1">
        <f t="shared" si="5"/>
        <v>31.200000000000003</v>
      </c>
      <c r="X124">
        <f t="shared" si="6"/>
        <v>0.86003176100000012</v>
      </c>
      <c r="Y124">
        <f t="shared" si="7"/>
        <v>92.5</v>
      </c>
      <c r="Z124" s="1">
        <v>1</v>
      </c>
      <c r="AA124">
        <v>99</v>
      </c>
      <c r="AB124">
        <v>1.01E-2</v>
      </c>
      <c r="AC124">
        <v>3</v>
      </c>
      <c r="AD124">
        <v>116</v>
      </c>
      <c r="AE124">
        <v>2.5899999999999999E-2</v>
      </c>
      <c r="AF124" t="s">
        <v>2591</v>
      </c>
      <c r="AG124" t="s">
        <v>2589</v>
      </c>
    </row>
    <row r="125" spans="1:33">
      <c r="A125" s="2" t="s">
        <v>145</v>
      </c>
      <c r="B125" s="2" t="s">
        <v>117</v>
      </c>
      <c r="C125" s="1">
        <v>0.63439632599999995</v>
      </c>
      <c r="D125">
        <v>0.68173804199999999</v>
      </c>
      <c r="E125">
        <v>0.69641308800000001</v>
      </c>
      <c r="F125" s="1" t="s">
        <v>146</v>
      </c>
      <c r="G125" s="1">
        <v>2.0097323600000001</v>
      </c>
      <c r="H125" s="1">
        <v>35.700000000000003</v>
      </c>
      <c r="I125" s="1">
        <v>41.1</v>
      </c>
      <c r="J125" s="1">
        <v>0.67084915200000006</v>
      </c>
      <c r="K125" s="1">
        <v>0.52788907299999999</v>
      </c>
      <c r="L125" s="1">
        <v>0.665074418</v>
      </c>
      <c r="M125" s="3">
        <v>0.69056128699999997</v>
      </c>
      <c r="N125" s="1" t="s">
        <v>118</v>
      </c>
      <c r="O125" s="1">
        <v>1.0818253339999999</v>
      </c>
      <c r="P125" s="1">
        <v>58.4</v>
      </c>
      <c r="Q125" s="1">
        <v>127.1</v>
      </c>
      <c r="R125" s="1">
        <v>0.62784159266666661</v>
      </c>
      <c r="S125" s="1">
        <v>0.10796163615545561</v>
      </c>
      <c r="T125" t="s">
        <v>271</v>
      </c>
      <c r="U125" s="1">
        <v>2094</v>
      </c>
      <c r="V125">
        <f t="shared" si="4"/>
        <v>0.36899740859364705</v>
      </c>
      <c r="W125" s="1">
        <f t="shared" si="5"/>
        <v>22.699999999999996</v>
      </c>
      <c r="X125">
        <f t="shared" si="6"/>
        <v>0.92790702600000019</v>
      </c>
      <c r="Y125">
        <f t="shared" si="7"/>
        <v>86</v>
      </c>
      <c r="Z125" s="1">
        <v>1</v>
      </c>
      <c r="AA125">
        <v>99</v>
      </c>
      <c r="AB125">
        <v>1.01E-2</v>
      </c>
      <c r="AC125">
        <v>2</v>
      </c>
      <c r="AD125">
        <v>129</v>
      </c>
      <c r="AE125">
        <v>1.55E-2</v>
      </c>
      <c r="AF125" t="s">
        <v>2591</v>
      </c>
      <c r="AG125" t="s">
        <v>2589</v>
      </c>
    </row>
    <row r="126" spans="1:33">
      <c r="A126" s="2" t="s">
        <v>145</v>
      </c>
      <c r="B126" s="2" t="s">
        <v>119</v>
      </c>
      <c r="C126" s="1">
        <v>0.63439632599999995</v>
      </c>
      <c r="D126">
        <v>0.68173804199999999</v>
      </c>
      <c r="E126">
        <v>0.69641308800000001</v>
      </c>
      <c r="F126" s="1" t="s">
        <v>146</v>
      </c>
      <c r="G126" s="1">
        <v>2.0097323600000001</v>
      </c>
      <c r="H126" s="1">
        <v>35.700000000000003</v>
      </c>
      <c r="I126" s="1">
        <v>41.1</v>
      </c>
      <c r="J126" s="1">
        <v>0.67084915200000006</v>
      </c>
      <c r="K126" s="1">
        <v>0.48582609999999998</v>
      </c>
      <c r="L126" s="1">
        <v>0.67226483999999997</v>
      </c>
      <c r="M126" s="3">
        <v>0.68571362400000002</v>
      </c>
      <c r="N126" s="1" t="s">
        <v>120</v>
      </c>
      <c r="O126" s="1">
        <v>1.1435028249999999</v>
      </c>
      <c r="P126" s="1">
        <v>42.6</v>
      </c>
      <c r="Q126" s="1">
        <v>88.5</v>
      </c>
      <c r="R126" s="1">
        <v>0.61460152133333334</v>
      </c>
      <c r="S126" s="1">
        <v>0.14925592832350468</v>
      </c>
      <c r="T126" t="s">
        <v>272</v>
      </c>
      <c r="U126" s="1">
        <v>624</v>
      </c>
      <c r="V126">
        <f t="shared" si="4"/>
        <v>0.31057606552026934</v>
      </c>
      <c r="W126" s="1">
        <f t="shared" si="5"/>
        <v>6.8999999999999986</v>
      </c>
      <c r="X126">
        <f t="shared" si="6"/>
        <v>0.86622953500000022</v>
      </c>
      <c r="Y126">
        <f t="shared" si="7"/>
        <v>47.4</v>
      </c>
      <c r="Z126" s="1">
        <v>1</v>
      </c>
      <c r="AA126">
        <v>99</v>
      </c>
      <c r="AB126">
        <v>1.01E-2</v>
      </c>
      <c r="AC126">
        <v>2</v>
      </c>
      <c r="AD126">
        <v>117</v>
      </c>
      <c r="AE126">
        <v>1.7100000000000001E-2</v>
      </c>
      <c r="AF126" t="s">
        <v>2591</v>
      </c>
      <c r="AG126" t="s">
        <v>2589</v>
      </c>
    </row>
    <row r="127" spans="1:33">
      <c r="A127" s="2" t="s">
        <v>145</v>
      </c>
      <c r="B127" s="2" t="s">
        <v>121</v>
      </c>
      <c r="C127" s="1">
        <v>0.63439632599999995</v>
      </c>
      <c r="D127">
        <v>0.68173804199999999</v>
      </c>
      <c r="E127">
        <v>0.69641308800000001</v>
      </c>
      <c r="F127" s="1" t="s">
        <v>146</v>
      </c>
      <c r="G127" s="1">
        <v>2.0097323600000001</v>
      </c>
      <c r="H127" s="1">
        <v>35.700000000000003</v>
      </c>
      <c r="I127" s="1">
        <v>41.1</v>
      </c>
      <c r="J127" s="1">
        <v>0.67084915200000006</v>
      </c>
      <c r="K127" s="1">
        <v>0.57363214500000004</v>
      </c>
      <c r="L127" s="1">
        <v>0.65876685800000001</v>
      </c>
      <c r="M127" s="3">
        <v>0.71110834000000001</v>
      </c>
      <c r="N127" s="1" t="s">
        <v>122</v>
      </c>
      <c r="O127" s="1">
        <v>2.4518664050000001</v>
      </c>
      <c r="P127" s="1">
        <v>50.1</v>
      </c>
      <c r="Q127" s="1">
        <v>50.9</v>
      </c>
      <c r="R127" s="1">
        <v>0.64783578100000005</v>
      </c>
      <c r="S127" s="1">
        <v>6.6602638223317481E-2</v>
      </c>
      <c r="T127" t="s">
        <v>273</v>
      </c>
      <c r="U127" s="1">
        <v>8003</v>
      </c>
      <c r="V127">
        <f t="shared" si="4"/>
        <v>0.43369475743266206</v>
      </c>
      <c r="W127" s="1">
        <f t="shared" si="5"/>
        <v>14.399999999999999</v>
      </c>
      <c r="X127">
        <f t="shared" si="6"/>
        <v>0.44213404499999998</v>
      </c>
      <c r="Y127">
        <f t="shared" si="7"/>
        <v>9.7999999999999972</v>
      </c>
      <c r="Z127" s="1">
        <v>22</v>
      </c>
      <c r="AA127">
        <v>78</v>
      </c>
      <c r="AB127">
        <v>0.28210000000000002</v>
      </c>
      <c r="AC127">
        <v>28</v>
      </c>
      <c r="AD127">
        <v>98</v>
      </c>
      <c r="AE127">
        <v>0.28570000000000001</v>
      </c>
      <c r="AF127" t="s">
        <v>2591</v>
      </c>
      <c r="AG127" t="s">
        <v>2593</v>
      </c>
    </row>
    <row r="128" spans="1:33">
      <c r="A128" s="2" t="s">
        <v>145</v>
      </c>
      <c r="B128" s="2" t="s">
        <v>123</v>
      </c>
      <c r="C128" s="1">
        <v>0.63439632599999995</v>
      </c>
      <c r="D128">
        <v>0.68173804199999999</v>
      </c>
      <c r="E128">
        <v>0.69641308800000001</v>
      </c>
      <c r="F128" s="1" t="s">
        <v>146</v>
      </c>
      <c r="G128" s="1">
        <v>2.0097323600000001</v>
      </c>
      <c r="H128" s="1">
        <v>35.700000000000003</v>
      </c>
      <c r="I128" s="1">
        <v>41.1</v>
      </c>
      <c r="J128" s="1">
        <v>0.67084915200000006</v>
      </c>
      <c r="K128" s="1">
        <v>0.59184352799999995</v>
      </c>
      <c r="L128" s="1">
        <v>0.67011857600000002</v>
      </c>
      <c r="M128" s="3">
        <v>0.74025419199999998</v>
      </c>
      <c r="N128" s="1" t="s">
        <v>124</v>
      </c>
      <c r="O128" s="1">
        <v>1.7166666669999999</v>
      </c>
      <c r="P128" s="1">
        <v>26</v>
      </c>
      <c r="Q128" s="1">
        <v>36</v>
      </c>
      <c r="R128" s="1">
        <v>0.66740543199999991</v>
      </c>
      <c r="S128" s="1">
        <v>6.2191599172981331E-2</v>
      </c>
      <c r="T128" t="s">
        <v>274</v>
      </c>
      <c r="U128" s="1">
        <v>8592</v>
      </c>
      <c r="V128">
        <f t="shared" si="4"/>
        <v>0.43712158537283119</v>
      </c>
      <c r="W128" s="1">
        <f t="shared" si="5"/>
        <v>9.7000000000000028</v>
      </c>
      <c r="X128">
        <f t="shared" si="6"/>
        <v>0.29306569300000018</v>
      </c>
      <c r="Y128">
        <f t="shared" si="7"/>
        <v>5.1000000000000014</v>
      </c>
      <c r="Z128" s="1">
        <v>16</v>
      </c>
      <c r="AA128">
        <v>84</v>
      </c>
      <c r="AB128">
        <v>0.1905</v>
      </c>
      <c r="AC128">
        <v>21</v>
      </c>
      <c r="AD128">
        <v>100</v>
      </c>
      <c r="AE128">
        <v>0.21</v>
      </c>
      <c r="AF128" t="s">
        <v>2591</v>
      </c>
      <c r="AG128" t="s">
        <v>2591</v>
      </c>
    </row>
    <row r="129" spans="1:33">
      <c r="A129" s="2" t="s">
        <v>145</v>
      </c>
      <c r="B129" s="2" t="s">
        <v>125</v>
      </c>
      <c r="C129" s="1">
        <v>0.63439632599999995</v>
      </c>
      <c r="D129">
        <v>0.68173804199999999</v>
      </c>
      <c r="E129">
        <v>0.69641308800000001</v>
      </c>
      <c r="F129" s="1" t="s">
        <v>146</v>
      </c>
      <c r="G129" s="1">
        <v>2.0097323600000001</v>
      </c>
      <c r="H129" s="1">
        <v>35.700000000000003</v>
      </c>
      <c r="I129" s="1">
        <v>41.1</v>
      </c>
      <c r="J129" s="1">
        <v>0.67084915200000006</v>
      </c>
      <c r="K129" s="1">
        <v>0.611478776</v>
      </c>
      <c r="L129" s="1">
        <v>0.67681801600000002</v>
      </c>
      <c r="M129" s="3">
        <v>0.73326355300000001</v>
      </c>
      <c r="N129" s="1" t="s">
        <v>126</v>
      </c>
      <c r="O129" s="1">
        <v>1.6431372550000001</v>
      </c>
      <c r="P129" s="1">
        <v>35.1</v>
      </c>
      <c r="Q129" s="1">
        <v>51</v>
      </c>
      <c r="R129" s="1">
        <v>0.67385344833333338</v>
      </c>
      <c r="S129" s="1">
        <v>4.367353345630965E-2</v>
      </c>
      <c r="T129" t="s">
        <v>275</v>
      </c>
      <c r="U129" s="1">
        <v>25254</v>
      </c>
      <c r="V129">
        <f t="shared" si="4"/>
        <v>0.48914779734796288</v>
      </c>
      <c r="W129" s="1">
        <f t="shared" si="5"/>
        <v>0.60000000000000142</v>
      </c>
      <c r="X129">
        <f t="shared" si="6"/>
        <v>0.36659510500000003</v>
      </c>
      <c r="Y129">
        <f t="shared" si="7"/>
        <v>9.8999999999999986</v>
      </c>
      <c r="Z129" s="1">
        <v>20</v>
      </c>
      <c r="AA129">
        <v>80</v>
      </c>
      <c r="AB129">
        <v>0.25</v>
      </c>
      <c r="AC129">
        <v>26</v>
      </c>
      <c r="AD129">
        <v>105</v>
      </c>
      <c r="AE129">
        <v>0.24759999999999999</v>
      </c>
      <c r="AF129" t="s">
        <v>2591</v>
      </c>
      <c r="AG129" t="s">
        <v>2591</v>
      </c>
    </row>
    <row r="130" spans="1:33">
      <c r="A130" s="2" t="s">
        <v>145</v>
      </c>
      <c r="B130" s="2" t="s">
        <v>127</v>
      </c>
      <c r="C130" s="1">
        <v>0.63439632599999995</v>
      </c>
      <c r="D130">
        <v>0.68173804199999999</v>
      </c>
      <c r="E130">
        <v>0.69641308800000001</v>
      </c>
      <c r="F130" s="1" t="s">
        <v>146</v>
      </c>
      <c r="G130" s="1">
        <v>2.0097323600000001</v>
      </c>
      <c r="H130" s="1">
        <v>35.700000000000003</v>
      </c>
      <c r="I130" s="1">
        <v>41.1</v>
      </c>
      <c r="J130" s="1">
        <v>0.67084915200000006</v>
      </c>
      <c r="K130" s="1">
        <v>0.50688118500000001</v>
      </c>
      <c r="L130" s="1">
        <v>0.64616698699999997</v>
      </c>
      <c r="M130" s="3">
        <v>0.65580376299999998</v>
      </c>
      <c r="N130" s="1" t="s">
        <v>128</v>
      </c>
      <c r="O130" s="1">
        <v>1.5447714459999999</v>
      </c>
      <c r="P130" s="1">
        <v>98.4</v>
      </c>
      <c r="Q130" s="1">
        <v>159.69999999999999</v>
      </c>
      <c r="R130" s="1">
        <v>0.60295064500000006</v>
      </c>
      <c r="S130" s="1">
        <v>0.13847212143611623</v>
      </c>
      <c r="T130" t="s">
        <v>276</v>
      </c>
      <c r="U130" s="1">
        <v>5547</v>
      </c>
      <c r="V130">
        <f t="shared" ref="V130:V193" si="8">LOG10(U130) / 9</f>
        <v>0.41600646287542614</v>
      </c>
      <c r="W130" s="1">
        <f t="shared" ref="W130:W193" si="9">ABS(H130-P130)</f>
        <v>62.7</v>
      </c>
      <c r="X130">
        <f t="shared" ref="X130:X193" si="10">ABS(G130-O130)</f>
        <v>0.46496091400000017</v>
      </c>
      <c r="Y130">
        <f t="shared" ref="Y130:Y193" si="11">ABS(I130-Q130)</f>
        <v>118.6</v>
      </c>
      <c r="Z130" s="1">
        <v>6</v>
      </c>
      <c r="AA130">
        <v>94</v>
      </c>
      <c r="AB130">
        <v>6.3799999999999996E-2</v>
      </c>
      <c r="AC130">
        <v>5</v>
      </c>
      <c r="AD130">
        <v>126</v>
      </c>
      <c r="AE130">
        <v>3.9699999999999999E-2</v>
      </c>
      <c r="AF130" t="s">
        <v>2591</v>
      </c>
      <c r="AG130" t="s">
        <v>2589</v>
      </c>
    </row>
    <row r="131" spans="1:33">
      <c r="A131" s="2" t="s">
        <v>145</v>
      </c>
      <c r="B131" s="2" t="s">
        <v>129</v>
      </c>
      <c r="C131" s="1">
        <v>0.63439632599999995</v>
      </c>
      <c r="D131">
        <v>0.68173804199999999</v>
      </c>
      <c r="E131">
        <v>0.69641308800000001</v>
      </c>
      <c r="F131" s="1" t="s">
        <v>146</v>
      </c>
      <c r="G131" s="1">
        <v>2.0097323600000001</v>
      </c>
      <c r="H131" s="1">
        <v>35.700000000000003</v>
      </c>
      <c r="I131" s="1">
        <v>41.1</v>
      </c>
      <c r="J131" s="1">
        <v>0.67084915200000006</v>
      </c>
      <c r="K131" s="1">
        <v>0.50422724299999999</v>
      </c>
      <c r="L131" s="1">
        <v>0.61050655300000001</v>
      </c>
      <c r="M131" s="3">
        <v>0.63007085299999999</v>
      </c>
      <c r="N131" s="1" t="s">
        <v>130</v>
      </c>
      <c r="O131" s="1">
        <v>1.4142988080000001</v>
      </c>
      <c r="P131" s="1">
        <v>58.7</v>
      </c>
      <c r="Q131" s="1">
        <v>109.1</v>
      </c>
      <c r="R131" s="1">
        <v>0.58160154966666655</v>
      </c>
      <c r="S131" s="1">
        <v>0.16253986384580624</v>
      </c>
      <c r="T131" t="s">
        <v>277</v>
      </c>
      <c r="U131" s="1">
        <v>1280</v>
      </c>
      <c r="V131">
        <f t="shared" si="8"/>
        <v>0.34524555218309649</v>
      </c>
      <c r="W131" s="1">
        <f t="shared" si="9"/>
        <v>23</v>
      </c>
      <c r="X131">
        <f t="shared" si="10"/>
        <v>0.59543355200000003</v>
      </c>
      <c r="Y131">
        <f t="shared" si="11"/>
        <v>68</v>
      </c>
      <c r="Z131" s="1">
        <v>2</v>
      </c>
      <c r="AA131">
        <v>98</v>
      </c>
      <c r="AB131">
        <v>2.0400000000000001E-2</v>
      </c>
      <c r="AC131">
        <v>3</v>
      </c>
      <c r="AD131">
        <v>111</v>
      </c>
      <c r="AE131">
        <v>2.7E-2</v>
      </c>
      <c r="AF131" t="s">
        <v>2591</v>
      </c>
      <c r="AG131" t="s">
        <v>2593</v>
      </c>
    </row>
    <row r="132" spans="1:33">
      <c r="A132" s="2" t="s">
        <v>145</v>
      </c>
      <c r="B132" s="2" t="s">
        <v>131</v>
      </c>
      <c r="C132" s="1">
        <v>0.63439632599999995</v>
      </c>
      <c r="D132">
        <v>0.68173804199999999</v>
      </c>
      <c r="E132">
        <v>0.69641308800000001</v>
      </c>
      <c r="F132" s="1" t="s">
        <v>146</v>
      </c>
      <c r="G132" s="1">
        <v>2.0097323600000001</v>
      </c>
      <c r="H132" s="1">
        <v>35.700000000000003</v>
      </c>
      <c r="I132" s="1">
        <v>41.1</v>
      </c>
      <c r="J132" s="1">
        <v>0.67084915200000006</v>
      </c>
      <c r="K132" s="1">
        <v>0.53830564800000003</v>
      </c>
      <c r="L132" s="1">
        <v>0.65609959100000004</v>
      </c>
      <c r="M132" s="3">
        <v>0.68896664299999999</v>
      </c>
      <c r="N132" s="1" t="s">
        <v>132</v>
      </c>
      <c r="O132" s="1">
        <v>1.0676416820000001</v>
      </c>
      <c r="P132" s="1">
        <v>25</v>
      </c>
      <c r="Q132" s="1">
        <v>54.7</v>
      </c>
      <c r="R132" s="1">
        <v>0.62779062733333335</v>
      </c>
      <c r="S132" s="1">
        <v>9.9730627749538878E-2</v>
      </c>
      <c r="T132" t="s">
        <v>278</v>
      </c>
      <c r="U132" s="1">
        <v>1554</v>
      </c>
      <c r="V132">
        <f t="shared" si="8"/>
        <v>0.35460566827387724</v>
      </c>
      <c r="W132" s="1">
        <f t="shared" si="9"/>
        <v>10.700000000000003</v>
      </c>
      <c r="X132">
        <f t="shared" si="10"/>
        <v>0.94209067800000001</v>
      </c>
      <c r="Y132">
        <f t="shared" si="11"/>
        <v>13.600000000000001</v>
      </c>
      <c r="Z132" s="1">
        <v>0</v>
      </c>
      <c r="AA132">
        <v>100</v>
      </c>
      <c r="AB132">
        <v>0</v>
      </c>
      <c r="AC132">
        <v>0</v>
      </c>
      <c r="AD132">
        <v>110</v>
      </c>
      <c r="AE132">
        <v>0</v>
      </c>
      <c r="AF132" t="s">
        <v>2591</v>
      </c>
      <c r="AG132" t="s">
        <v>2589</v>
      </c>
    </row>
    <row r="133" spans="1:33">
      <c r="A133" s="2" t="s">
        <v>145</v>
      </c>
      <c r="B133" s="2" t="s">
        <v>133</v>
      </c>
      <c r="C133" s="1">
        <v>0.63439632599999995</v>
      </c>
      <c r="D133">
        <v>0.68173804199999999</v>
      </c>
      <c r="E133">
        <v>0.69641308800000001</v>
      </c>
      <c r="F133" s="1" t="s">
        <v>146</v>
      </c>
      <c r="G133" s="1">
        <v>2.0097323600000001</v>
      </c>
      <c r="H133" s="1">
        <v>35.700000000000003</v>
      </c>
      <c r="I133" s="1">
        <v>41.1</v>
      </c>
      <c r="J133" s="1">
        <v>0.67084915200000006</v>
      </c>
      <c r="K133" s="1">
        <v>0.65296959200000004</v>
      </c>
      <c r="L133" s="1">
        <v>0.71047257900000005</v>
      </c>
      <c r="M133" s="3">
        <v>0.679994718</v>
      </c>
      <c r="N133" s="1" t="s">
        <v>134</v>
      </c>
      <c r="O133" s="1">
        <v>1.3877068560000001</v>
      </c>
      <c r="P133" s="1">
        <v>25.6</v>
      </c>
      <c r="Q133" s="1">
        <v>42.3</v>
      </c>
      <c r="R133" s="1">
        <v>0.6811456296666667</v>
      </c>
      <c r="S133" s="1">
        <v>3.7950002634624835E-2</v>
      </c>
      <c r="T133" t="s">
        <v>279</v>
      </c>
      <c r="U133" s="1">
        <v>4317</v>
      </c>
      <c r="V133">
        <f t="shared" si="8"/>
        <v>0.40390911651736311</v>
      </c>
      <c r="W133" s="1">
        <f t="shared" si="9"/>
        <v>10.100000000000001</v>
      </c>
      <c r="X133">
        <f t="shared" si="10"/>
        <v>0.62202550400000001</v>
      </c>
      <c r="Y133">
        <f t="shared" si="11"/>
        <v>1.1999999999999957</v>
      </c>
      <c r="Z133" s="1">
        <v>1</v>
      </c>
      <c r="AA133">
        <v>99</v>
      </c>
      <c r="AB133">
        <v>1.01E-2</v>
      </c>
      <c r="AC133">
        <v>4</v>
      </c>
      <c r="AD133">
        <v>158</v>
      </c>
      <c r="AE133">
        <v>2.53E-2</v>
      </c>
      <c r="AF133" t="s">
        <v>2591</v>
      </c>
      <c r="AG133" t="s">
        <v>2591</v>
      </c>
    </row>
    <row r="134" spans="1:33">
      <c r="A134" s="2" t="s">
        <v>145</v>
      </c>
      <c r="B134" s="2" t="s">
        <v>135</v>
      </c>
      <c r="C134" s="1">
        <v>0.63439632599999995</v>
      </c>
      <c r="D134">
        <v>0.68173804199999999</v>
      </c>
      <c r="E134">
        <v>0.69641308800000001</v>
      </c>
      <c r="F134" s="1" t="s">
        <v>146</v>
      </c>
      <c r="G134" s="1">
        <v>2.0097323600000001</v>
      </c>
      <c r="H134" s="1">
        <v>35.700000000000003</v>
      </c>
      <c r="I134" s="1">
        <v>41.1</v>
      </c>
      <c r="J134" s="1">
        <v>0.67084915200000006</v>
      </c>
      <c r="K134" s="1">
        <v>0.62083905900000003</v>
      </c>
      <c r="L134" s="1">
        <v>0.69185057000000005</v>
      </c>
      <c r="M134" s="3">
        <v>0.70435387900000002</v>
      </c>
      <c r="N134" s="1" t="s">
        <v>136</v>
      </c>
      <c r="O134" s="1">
        <v>1.353075171</v>
      </c>
      <c r="P134" s="1">
        <v>25.2</v>
      </c>
      <c r="Q134" s="1">
        <v>43.9</v>
      </c>
      <c r="R134" s="1">
        <v>0.67234783600000003</v>
      </c>
      <c r="S134" s="1">
        <v>1.8684722978030834E-2</v>
      </c>
      <c r="T134" t="s">
        <v>280</v>
      </c>
      <c r="U134" s="1">
        <v>53607</v>
      </c>
      <c r="V134">
        <f t="shared" si="8"/>
        <v>0.52546905595027282</v>
      </c>
      <c r="W134" s="1">
        <f t="shared" si="9"/>
        <v>10.500000000000004</v>
      </c>
      <c r="X134">
        <f t="shared" si="10"/>
        <v>0.65665718900000014</v>
      </c>
      <c r="Y134">
        <f t="shared" si="11"/>
        <v>2.7999999999999972</v>
      </c>
      <c r="Z134" s="1">
        <v>26</v>
      </c>
      <c r="AA134">
        <v>74</v>
      </c>
      <c r="AB134">
        <v>0.35139999999999999</v>
      </c>
      <c r="AC134">
        <v>33</v>
      </c>
      <c r="AD134">
        <v>99</v>
      </c>
      <c r="AE134">
        <v>0.33329999999999999</v>
      </c>
      <c r="AF134" t="s">
        <v>2591</v>
      </c>
      <c r="AG134" t="s">
        <v>2591</v>
      </c>
    </row>
    <row r="135" spans="1:33">
      <c r="A135" s="2" t="s">
        <v>145</v>
      </c>
      <c r="B135" s="2" t="s">
        <v>137</v>
      </c>
      <c r="C135" s="1">
        <v>0.63439632599999995</v>
      </c>
      <c r="D135">
        <v>0.68173804199999999</v>
      </c>
      <c r="E135">
        <v>0.69641308800000001</v>
      </c>
      <c r="F135" s="1" t="s">
        <v>146</v>
      </c>
      <c r="G135" s="1">
        <v>2.0097323600000001</v>
      </c>
      <c r="H135" s="1">
        <v>35.700000000000003</v>
      </c>
      <c r="I135" s="1">
        <v>41.1</v>
      </c>
      <c r="J135" s="1">
        <v>0.67084915200000006</v>
      </c>
      <c r="K135" s="1">
        <v>0.63291540800000001</v>
      </c>
      <c r="L135" s="1">
        <v>0.77430151800000002</v>
      </c>
      <c r="M135" s="3">
        <v>0.70057116200000003</v>
      </c>
      <c r="N135" s="1" t="s">
        <v>138</v>
      </c>
      <c r="O135" s="1">
        <v>1.1048387099999999</v>
      </c>
      <c r="P135" s="1">
        <v>35.4</v>
      </c>
      <c r="Q135" s="1">
        <v>74.400000000000006</v>
      </c>
      <c r="R135" s="1">
        <v>0.70259602933333332</v>
      </c>
      <c r="S135" s="1">
        <v>9.266865590216998E-2</v>
      </c>
      <c r="T135" t="s">
        <v>281</v>
      </c>
      <c r="U135" s="1">
        <v>605</v>
      </c>
      <c r="V135">
        <f t="shared" si="8"/>
        <v>0.309083930516941</v>
      </c>
      <c r="W135" s="1">
        <f t="shared" si="9"/>
        <v>0.30000000000000426</v>
      </c>
      <c r="X135">
        <f t="shared" si="10"/>
        <v>0.90489365000000022</v>
      </c>
      <c r="Y135">
        <f t="shared" si="11"/>
        <v>33.300000000000004</v>
      </c>
      <c r="Z135" s="1">
        <v>1</v>
      </c>
      <c r="AA135">
        <v>99</v>
      </c>
      <c r="AB135">
        <v>1.01E-2</v>
      </c>
      <c r="AC135">
        <v>4</v>
      </c>
      <c r="AD135">
        <v>119</v>
      </c>
      <c r="AE135">
        <v>3.3599999999999998E-2</v>
      </c>
      <c r="AF135" t="s">
        <v>2591</v>
      </c>
      <c r="AG135" t="s">
        <v>2589</v>
      </c>
    </row>
    <row r="136" spans="1:33">
      <c r="A136" s="2" t="s">
        <v>145</v>
      </c>
      <c r="B136" s="2" t="s">
        <v>139</v>
      </c>
      <c r="C136" s="1">
        <v>0.63439632599999995</v>
      </c>
      <c r="D136">
        <v>0.68173804199999999</v>
      </c>
      <c r="E136">
        <v>0.69641308800000001</v>
      </c>
      <c r="F136" s="1" t="s">
        <v>146</v>
      </c>
      <c r="G136" s="1">
        <v>2.0097323600000001</v>
      </c>
      <c r="H136" s="1">
        <v>35.700000000000003</v>
      </c>
      <c r="I136" s="1">
        <v>41.1</v>
      </c>
      <c r="J136" s="1">
        <v>0.67084915200000006</v>
      </c>
      <c r="K136" s="1">
        <v>0.52583481399999998</v>
      </c>
      <c r="L136" s="1">
        <v>0.65097824800000004</v>
      </c>
      <c r="M136" s="3">
        <v>0.65942698399999999</v>
      </c>
      <c r="N136" s="1" t="s">
        <v>140</v>
      </c>
      <c r="O136" s="1">
        <v>1.123169681</v>
      </c>
      <c r="P136" s="1">
        <v>56.5</v>
      </c>
      <c r="Q136" s="1">
        <v>116.1</v>
      </c>
      <c r="R136" s="1">
        <v>0.61208001533333334</v>
      </c>
      <c r="S136" s="1">
        <v>0.11874232060957621</v>
      </c>
      <c r="T136" t="s">
        <v>282</v>
      </c>
      <c r="U136" s="1">
        <v>1497</v>
      </c>
      <c r="V136">
        <f t="shared" si="8"/>
        <v>0.35280242226033914</v>
      </c>
      <c r="W136" s="1">
        <f t="shared" si="9"/>
        <v>20.799999999999997</v>
      </c>
      <c r="X136">
        <f t="shared" si="10"/>
        <v>0.88656267900000008</v>
      </c>
      <c r="Y136">
        <f t="shared" si="11"/>
        <v>75</v>
      </c>
      <c r="Z136" s="1">
        <v>4</v>
      </c>
      <c r="AA136">
        <v>96</v>
      </c>
      <c r="AB136">
        <v>4.1700000000000001E-2</v>
      </c>
      <c r="AC136">
        <v>5</v>
      </c>
      <c r="AD136">
        <v>129</v>
      </c>
      <c r="AE136">
        <v>3.8800000000000001E-2</v>
      </c>
      <c r="AF136" t="s">
        <v>2591</v>
      </c>
      <c r="AG136" t="s">
        <v>2589</v>
      </c>
    </row>
    <row r="137" spans="1:33">
      <c r="A137" s="2" t="s">
        <v>145</v>
      </c>
      <c r="B137" s="2" t="s">
        <v>141</v>
      </c>
      <c r="C137" s="1">
        <v>0.63439632599999995</v>
      </c>
      <c r="D137">
        <v>0.68173804199999999</v>
      </c>
      <c r="E137">
        <v>0.69641308800000001</v>
      </c>
      <c r="F137" s="1" t="s">
        <v>146</v>
      </c>
      <c r="G137" s="1">
        <v>2.0097323600000001</v>
      </c>
      <c r="H137" s="1">
        <v>35.700000000000003</v>
      </c>
      <c r="I137" s="1">
        <v>41.1</v>
      </c>
      <c r="J137" s="1">
        <v>0.67084915200000006</v>
      </c>
      <c r="K137" s="1">
        <v>0.51109353000000002</v>
      </c>
      <c r="L137" s="1">
        <v>0.62487169300000001</v>
      </c>
      <c r="M137" s="3">
        <v>0.629348248</v>
      </c>
      <c r="N137" s="1" t="s">
        <v>142</v>
      </c>
      <c r="O137" s="1">
        <v>1.171344165</v>
      </c>
      <c r="P137" s="1">
        <v>60.9</v>
      </c>
      <c r="Q137" s="1">
        <v>135.4</v>
      </c>
      <c r="R137" s="1">
        <v>0.58843782366666664</v>
      </c>
      <c r="S137" s="1">
        <v>0.15144323660775677</v>
      </c>
      <c r="T137" t="s">
        <v>283</v>
      </c>
      <c r="U137" s="1">
        <v>3583</v>
      </c>
      <c r="V137">
        <f t="shared" si="8"/>
        <v>0.39491631201845673</v>
      </c>
      <c r="W137" s="1">
        <f t="shared" si="9"/>
        <v>25.199999999999996</v>
      </c>
      <c r="X137">
        <f t="shared" si="10"/>
        <v>0.83838819500000006</v>
      </c>
      <c r="Y137">
        <f t="shared" si="11"/>
        <v>94.300000000000011</v>
      </c>
      <c r="Z137" s="1">
        <v>2</v>
      </c>
      <c r="AA137">
        <v>98</v>
      </c>
      <c r="AB137">
        <v>2.0400000000000001E-2</v>
      </c>
      <c r="AC137">
        <v>3</v>
      </c>
      <c r="AD137">
        <v>113</v>
      </c>
      <c r="AE137">
        <v>2.6499999999999999E-2</v>
      </c>
      <c r="AF137" t="s">
        <v>2591</v>
      </c>
      <c r="AG137" t="s">
        <v>2592</v>
      </c>
    </row>
    <row r="138" spans="1:33">
      <c r="A138" s="2" t="s">
        <v>145</v>
      </c>
      <c r="B138" s="2" t="s">
        <v>143</v>
      </c>
      <c r="C138" s="1">
        <v>0.63439632599999995</v>
      </c>
      <c r="D138">
        <v>0.68173804199999999</v>
      </c>
      <c r="E138">
        <v>0.69641308800000001</v>
      </c>
      <c r="F138" s="1" t="s">
        <v>146</v>
      </c>
      <c r="G138" s="1">
        <v>2.0097323600000001</v>
      </c>
      <c r="H138" s="1">
        <v>35.700000000000003</v>
      </c>
      <c r="I138" s="1">
        <v>41.1</v>
      </c>
      <c r="J138" s="1">
        <v>0.67084915200000006</v>
      </c>
      <c r="K138" s="1">
        <v>0.52984414300000005</v>
      </c>
      <c r="L138" s="1">
        <v>0.66186003599999998</v>
      </c>
      <c r="M138" s="3">
        <v>0.66644348499999995</v>
      </c>
      <c r="N138" s="1" t="s">
        <v>144</v>
      </c>
      <c r="O138" s="1">
        <v>1.3529411760000001</v>
      </c>
      <c r="P138" s="1">
        <v>60.7</v>
      </c>
      <c r="Q138" s="1">
        <v>107.1</v>
      </c>
      <c r="R138" s="1">
        <v>0.6193825546666667</v>
      </c>
      <c r="S138" s="1">
        <v>0.11056433057988964</v>
      </c>
      <c r="T138" t="s">
        <v>284</v>
      </c>
      <c r="U138" s="1">
        <v>1806</v>
      </c>
      <c r="V138">
        <f t="shared" si="8"/>
        <v>0.36185752733083187</v>
      </c>
      <c r="W138" s="1">
        <f t="shared" si="9"/>
        <v>25</v>
      </c>
      <c r="X138">
        <f t="shared" si="10"/>
        <v>0.65679118400000003</v>
      </c>
      <c r="Y138">
        <f t="shared" si="11"/>
        <v>66</v>
      </c>
      <c r="Z138" s="1">
        <v>1</v>
      </c>
      <c r="AA138">
        <v>99</v>
      </c>
      <c r="AB138">
        <v>1.01E-2</v>
      </c>
      <c r="AC138">
        <v>2</v>
      </c>
      <c r="AD138">
        <v>134</v>
      </c>
      <c r="AE138">
        <v>1.49E-2</v>
      </c>
      <c r="AF138" t="s">
        <v>2591</v>
      </c>
      <c r="AG138" t="s">
        <v>2589</v>
      </c>
    </row>
    <row r="139" spans="1:33">
      <c r="A139" s="2" t="s">
        <v>143</v>
      </c>
      <c r="B139" s="2" t="s">
        <v>10</v>
      </c>
      <c r="C139" s="1">
        <v>0.52984414300000005</v>
      </c>
      <c r="D139">
        <v>0.66186003599999998</v>
      </c>
      <c r="E139">
        <v>0.66644348499999995</v>
      </c>
      <c r="F139" s="1" t="s">
        <v>144</v>
      </c>
      <c r="G139" s="1">
        <v>1.3529411760000001</v>
      </c>
      <c r="H139" s="1">
        <v>60.7</v>
      </c>
      <c r="I139" s="1">
        <v>107.1</v>
      </c>
      <c r="J139" s="1">
        <v>0.6193825546666667</v>
      </c>
      <c r="K139" s="1">
        <v>0.52456325500000001</v>
      </c>
      <c r="L139" s="1">
        <v>0.61925627999999999</v>
      </c>
      <c r="M139" s="3">
        <v>0.72111139899999999</v>
      </c>
      <c r="N139" s="1" t="s">
        <v>12</v>
      </c>
      <c r="O139" s="1">
        <v>0.61690647499999995</v>
      </c>
      <c r="P139" s="1">
        <v>30</v>
      </c>
      <c r="Q139" s="1">
        <v>111.2</v>
      </c>
      <c r="R139" s="1">
        <v>0.62164364466666666</v>
      </c>
      <c r="S139" s="1">
        <v>6.9509341994349799E-2</v>
      </c>
      <c r="T139" t="s">
        <v>286</v>
      </c>
      <c r="U139" s="1">
        <v>1366</v>
      </c>
      <c r="V139">
        <f t="shared" si="8"/>
        <v>0.34838341103839038</v>
      </c>
      <c r="W139" s="1">
        <f t="shared" si="9"/>
        <v>30.700000000000003</v>
      </c>
      <c r="X139">
        <f t="shared" si="10"/>
        <v>0.73603470100000012</v>
      </c>
      <c r="Y139">
        <f t="shared" si="11"/>
        <v>4.1000000000000085</v>
      </c>
      <c r="Z139" s="1">
        <v>4</v>
      </c>
      <c r="AA139">
        <v>96</v>
      </c>
      <c r="AB139">
        <v>4.1700000000000001E-2</v>
      </c>
      <c r="AC139">
        <v>5</v>
      </c>
      <c r="AD139">
        <v>169</v>
      </c>
      <c r="AE139">
        <v>2.9600000000000001E-2</v>
      </c>
      <c r="AF139" t="s">
        <v>2589</v>
      </c>
      <c r="AG139" t="s">
        <v>2588</v>
      </c>
    </row>
    <row r="140" spans="1:33">
      <c r="A140" s="2" t="s">
        <v>143</v>
      </c>
      <c r="B140" s="2" t="s">
        <v>13</v>
      </c>
      <c r="C140" s="1">
        <v>0.52984414300000005</v>
      </c>
      <c r="D140">
        <v>0.66186003599999998</v>
      </c>
      <c r="E140">
        <v>0.66644348499999995</v>
      </c>
      <c r="F140" s="1" t="s">
        <v>144</v>
      </c>
      <c r="G140" s="1">
        <v>1.3529411760000001</v>
      </c>
      <c r="H140" s="1">
        <v>60.7</v>
      </c>
      <c r="I140" s="1">
        <v>107.1</v>
      </c>
      <c r="J140" s="1">
        <v>0.6193825546666667</v>
      </c>
      <c r="K140" s="1">
        <v>0.48695497399999998</v>
      </c>
      <c r="L140" s="1">
        <v>0.54991327199999995</v>
      </c>
      <c r="M140" s="3">
        <v>0.67282609299999996</v>
      </c>
      <c r="N140" s="1" t="s">
        <v>14</v>
      </c>
      <c r="O140" s="1">
        <v>1.6052009460000001</v>
      </c>
      <c r="P140" s="1">
        <v>26.6</v>
      </c>
      <c r="Q140" s="1">
        <v>42.3</v>
      </c>
      <c r="R140" s="1">
        <v>0.56989811299999993</v>
      </c>
      <c r="S140" s="1">
        <v>0.12005122436886653</v>
      </c>
      <c r="T140" t="s">
        <v>287</v>
      </c>
      <c r="U140" s="1">
        <v>598</v>
      </c>
      <c r="V140">
        <f t="shared" si="8"/>
        <v>0.30852235377649007</v>
      </c>
      <c r="W140" s="1">
        <f t="shared" si="9"/>
        <v>34.1</v>
      </c>
      <c r="X140">
        <f t="shared" si="10"/>
        <v>0.25225976999999999</v>
      </c>
      <c r="Y140">
        <f t="shared" si="11"/>
        <v>64.8</v>
      </c>
      <c r="Z140" s="1">
        <v>1</v>
      </c>
      <c r="AA140">
        <v>99</v>
      </c>
      <c r="AB140">
        <v>1.01E-2</v>
      </c>
      <c r="AC140">
        <v>2</v>
      </c>
      <c r="AD140">
        <v>119</v>
      </c>
      <c r="AE140">
        <v>1.6799999999999999E-2</v>
      </c>
      <c r="AF140" t="s">
        <v>2589</v>
      </c>
      <c r="AG140" t="s">
        <v>2590</v>
      </c>
    </row>
    <row r="141" spans="1:33">
      <c r="A141" s="2" t="s">
        <v>143</v>
      </c>
      <c r="B141" s="2" t="s">
        <v>15</v>
      </c>
      <c r="C141" s="1">
        <v>0.52984414300000005</v>
      </c>
      <c r="D141">
        <v>0.66186003599999998</v>
      </c>
      <c r="E141">
        <v>0.66644348499999995</v>
      </c>
      <c r="F141" s="1" t="s">
        <v>144</v>
      </c>
      <c r="G141" s="1">
        <v>1.3529411760000001</v>
      </c>
      <c r="H141" s="1">
        <v>60.7</v>
      </c>
      <c r="I141" s="1">
        <v>107.1</v>
      </c>
      <c r="J141" s="1">
        <v>0.6193825546666667</v>
      </c>
      <c r="K141" s="1">
        <v>0.54560998800000005</v>
      </c>
      <c r="L141" s="1">
        <v>0.66721428400000005</v>
      </c>
      <c r="M141" s="3">
        <v>0.72650398400000005</v>
      </c>
      <c r="N141" s="1" t="s">
        <v>16</v>
      </c>
      <c r="O141" s="1">
        <v>5.1392405060000002</v>
      </c>
      <c r="P141" s="1">
        <v>35.9</v>
      </c>
      <c r="Q141" s="1">
        <v>15.8</v>
      </c>
      <c r="R141" s="1">
        <v>0.64644275200000012</v>
      </c>
      <c r="S141" s="1">
        <v>6.2325704009971221E-2</v>
      </c>
      <c r="T141" t="s">
        <v>288</v>
      </c>
      <c r="U141" s="1">
        <v>942</v>
      </c>
      <c r="V141">
        <f t="shared" si="8"/>
        <v>0.33045010031031974</v>
      </c>
      <c r="W141" s="1">
        <f t="shared" si="9"/>
        <v>24.800000000000004</v>
      </c>
      <c r="X141">
        <f t="shared" si="10"/>
        <v>3.7862993300000003</v>
      </c>
      <c r="Y141">
        <f t="shared" si="11"/>
        <v>91.3</v>
      </c>
      <c r="Z141" s="1">
        <v>0</v>
      </c>
      <c r="AA141">
        <v>100</v>
      </c>
      <c r="AB141">
        <v>0</v>
      </c>
      <c r="AC141">
        <v>0</v>
      </c>
      <c r="AD141">
        <v>117</v>
      </c>
      <c r="AE141">
        <v>0</v>
      </c>
      <c r="AF141" t="s">
        <v>2589</v>
      </c>
      <c r="AG141" t="s">
        <v>2591</v>
      </c>
    </row>
    <row r="142" spans="1:33">
      <c r="A142" s="2" t="s">
        <v>143</v>
      </c>
      <c r="B142" s="2" t="s">
        <v>17</v>
      </c>
      <c r="C142" s="1">
        <v>0.52984414300000005</v>
      </c>
      <c r="D142">
        <v>0.66186003599999998</v>
      </c>
      <c r="E142">
        <v>0.66644348499999995</v>
      </c>
      <c r="F142" s="1" t="s">
        <v>144</v>
      </c>
      <c r="G142" s="1">
        <v>1.3529411760000001</v>
      </c>
      <c r="H142" s="1">
        <v>60.7</v>
      </c>
      <c r="I142" s="1">
        <v>107.1</v>
      </c>
      <c r="J142" s="1">
        <v>0.6193825546666667</v>
      </c>
      <c r="K142" s="1">
        <v>0.659112378</v>
      </c>
      <c r="L142" s="1">
        <v>0.68333493499999998</v>
      </c>
      <c r="M142" s="3">
        <v>0.70345495199999997</v>
      </c>
      <c r="N142" s="1" t="s">
        <v>18</v>
      </c>
      <c r="O142" s="1">
        <v>1.9463955639999999</v>
      </c>
      <c r="P142" s="1">
        <v>46.3</v>
      </c>
      <c r="Q142" s="1">
        <v>54.1</v>
      </c>
      <c r="R142" s="1">
        <v>0.68196742166666668</v>
      </c>
      <c r="S142" s="1">
        <v>0.13616642962407258</v>
      </c>
      <c r="T142" t="s">
        <v>289</v>
      </c>
      <c r="U142" s="1">
        <v>2172</v>
      </c>
      <c r="V142">
        <f t="shared" si="8"/>
        <v>0.37076220232408991</v>
      </c>
      <c r="W142" s="1">
        <f t="shared" si="9"/>
        <v>14.400000000000006</v>
      </c>
      <c r="X142">
        <f t="shared" si="10"/>
        <v>0.59345438799999983</v>
      </c>
      <c r="Y142">
        <f t="shared" si="11"/>
        <v>52.999999999999993</v>
      </c>
      <c r="Z142" s="1">
        <v>0</v>
      </c>
      <c r="AA142">
        <v>100</v>
      </c>
      <c r="AB142">
        <v>0</v>
      </c>
      <c r="AC142">
        <v>0</v>
      </c>
      <c r="AD142">
        <v>131</v>
      </c>
      <c r="AE142">
        <v>0</v>
      </c>
      <c r="AF142" t="s">
        <v>2589</v>
      </c>
      <c r="AG142" t="s">
        <v>2591</v>
      </c>
    </row>
    <row r="143" spans="1:33">
      <c r="A143" s="2" t="s">
        <v>143</v>
      </c>
      <c r="B143" s="2" t="s">
        <v>19</v>
      </c>
      <c r="C143" s="1">
        <v>0.52984414300000005</v>
      </c>
      <c r="D143">
        <v>0.66186003599999998</v>
      </c>
      <c r="E143">
        <v>0.66644348499999995</v>
      </c>
      <c r="F143" s="1" t="s">
        <v>144</v>
      </c>
      <c r="G143" s="1">
        <v>1.3529411760000001</v>
      </c>
      <c r="H143" s="1">
        <v>60.7</v>
      </c>
      <c r="I143" s="1">
        <v>107.1</v>
      </c>
      <c r="J143" s="1">
        <v>0.6193825546666667</v>
      </c>
      <c r="K143" s="1">
        <v>0.49391595300000002</v>
      </c>
      <c r="L143" s="1">
        <v>0.603599314</v>
      </c>
      <c r="M143" s="3">
        <v>0.63481471599999995</v>
      </c>
      <c r="N143" s="1" t="s">
        <v>20</v>
      </c>
      <c r="O143" s="1">
        <v>1.2140902870000001</v>
      </c>
      <c r="P143" s="1">
        <v>64.900000000000006</v>
      </c>
      <c r="Q143" s="1">
        <v>146.19999999999999</v>
      </c>
      <c r="R143" s="1">
        <v>0.57744332766666662</v>
      </c>
      <c r="S143" s="1">
        <v>7.5402424318404687E-2</v>
      </c>
      <c r="T143" t="s">
        <v>290</v>
      </c>
      <c r="U143" s="1">
        <v>3688</v>
      </c>
      <c r="V143">
        <f t="shared" si="8"/>
        <v>0.39631010137573242</v>
      </c>
      <c r="W143" s="1">
        <f t="shared" si="9"/>
        <v>4.2000000000000028</v>
      </c>
      <c r="X143">
        <f t="shared" si="10"/>
        <v>0.13885088899999998</v>
      </c>
      <c r="Y143">
        <f t="shared" si="11"/>
        <v>39.099999999999994</v>
      </c>
      <c r="Z143" s="1">
        <v>14</v>
      </c>
      <c r="AA143">
        <v>86</v>
      </c>
      <c r="AB143">
        <v>0.1628</v>
      </c>
      <c r="AC143">
        <v>15</v>
      </c>
      <c r="AD143">
        <v>96</v>
      </c>
      <c r="AE143">
        <v>0.15620000000000001</v>
      </c>
      <c r="AF143" t="s">
        <v>2589</v>
      </c>
      <c r="AG143" t="s">
        <v>2593</v>
      </c>
    </row>
    <row r="144" spans="1:33">
      <c r="A144" s="2" t="s">
        <v>143</v>
      </c>
      <c r="B144" s="2" t="s">
        <v>21</v>
      </c>
      <c r="C144" s="1">
        <v>0.52984414300000005</v>
      </c>
      <c r="D144">
        <v>0.66186003599999998</v>
      </c>
      <c r="E144">
        <v>0.66644348499999995</v>
      </c>
      <c r="F144" s="1" t="s">
        <v>144</v>
      </c>
      <c r="G144" s="1">
        <v>1.3529411760000001</v>
      </c>
      <c r="H144" s="1">
        <v>60.7</v>
      </c>
      <c r="I144" s="1">
        <v>107.1</v>
      </c>
      <c r="J144" s="1">
        <v>0.6193825546666667</v>
      </c>
      <c r="K144" s="1">
        <v>0.53276376800000003</v>
      </c>
      <c r="L144" s="1">
        <v>0.65428149899999999</v>
      </c>
      <c r="M144" s="3">
        <v>0.70160154799999996</v>
      </c>
      <c r="N144" s="1" t="s">
        <v>22</v>
      </c>
      <c r="O144" s="1">
        <v>1.2440604749999999</v>
      </c>
      <c r="P144" s="1">
        <v>24.6</v>
      </c>
      <c r="Q144" s="1">
        <v>46.3</v>
      </c>
      <c r="R144" s="1">
        <v>0.62954893833333336</v>
      </c>
      <c r="S144" s="1">
        <v>3.6083899832376268E-2</v>
      </c>
      <c r="T144" t="s">
        <v>291</v>
      </c>
      <c r="U144" s="1">
        <v>25051</v>
      </c>
      <c r="V144">
        <f t="shared" si="8"/>
        <v>0.48875834077358771</v>
      </c>
      <c r="W144" s="1">
        <f t="shared" si="9"/>
        <v>36.1</v>
      </c>
      <c r="X144">
        <f t="shared" si="10"/>
        <v>0.10888070100000014</v>
      </c>
      <c r="Y144">
        <f t="shared" si="11"/>
        <v>60.8</v>
      </c>
      <c r="Z144" s="1">
        <v>4</v>
      </c>
      <c r="AA144">
        <v>96</v>
      </c>
      <c r="AB144">
        <v>4.1700000000000001E-2</v>
      </c>
      <c r="AC144">
        <v>5</v>
      </c>
      <c r="AD144">
        <v>112</v>
      </c>
      <c r="AE144">
        <v>4.4600000000000001E-2</v>
      </c>
      <c r="AF144" t="s">
        <v>2589</v>
      </c>
      <c r="AG144" t="s">
        <v>2589</v>
      </c>
    </row>
    <row r="145" spans="1:33">
      <c r="A145" s="2" t="s">
        <v>143</v>
      </c>
      <c r="B145" s="2" t="s">
        <v>23</v>
      </c>
      <c r="C145" s="1">
        <v>0.52984414300000005</v>
      </c>
      <c r="D145">
        <v>0.66186003599999998</v>
      </c>
      <c r="E145">
        <v>0.66644348499999995</v>
      </c>
      <c r="F145" s="1" t="s">
        <v>144</v>
      </c>
      <c r="G145" s="1">
        <v>1.3529411760000001</v>
      </c>
      <c r="H145" s="1">
        <v>60.7</v>
      </c>
      <c r="I145" s="1">
        <v>107.1</v>
      </c>
      <c r="J145" s="1">
        <v>0.6193825546666667</v>
      </c>
      <c r="K145" s="1">
        <v>0.49415677200000002</v>
      </c>
      <c r="L145" s="1">
        <v>0.62090818999999997</v>
      </c>
      <c r="M145" s="3">
        <v>0.63381026900000004</v>
      </c>
      <c r="N145" s="1" t="s">
        <v>24</v>
      </c>
      <c r="O145" s="1">
        <v>1.141304348</v>
      </c>
      <c r="P145" s="1">
        <v>44.4</v>
      </c>
      <c r="Q145" s="1">
        <v>101.2</v>
      </c>
      <c r="R145" s="1">
        <v>0.58295841033333329</v>
      </c>
      <c r="S145" s="1">
        <v>6.3368516837637986E-2</v>
      </c>
      <c r="T145" t="s">
        <v>292</v>
      </c>
      <c r="U145" s="1">
        <v>1551</v>
      </c>
      <c r="V145">
        <f t="shared" si="8"/>
        <v>0.35451242197928945</v>
      </c>
      <c r="W145" s="1">
        <f t="shared" si="9"/>
        <v>16.300000000000004</v>
      </c>
      <c r="X145">
        <f t="shared" si="10"/>
        <v>0.21163682800000005</v>
      </c>
      <c r="Y145">
        <f t="shared" si="11"/>
        <v>5.8999999999999915</v>
      </c>
      <c r="Z145" s="1">
        <v>3</v>
      </c>
      <c r="AA145">
        <v>97</v>
      </c>
      <c r="AB145">
        <v>3.09E-2</v>
      </c>
      <c r="AC145">
        <v>5</v>
      </c>
      <c r="AD145">
        <v>108</v>
      </c>
      <c r="AE145">
        <v>4.6300000000000001E-2</v>
      </c>
      <c r="AF145" t="s">
        <v>2589</v>
      </c>
      <c r="AG145" t="s">
        <v>2590</v>
      </c>
    </row>
    <row r="146" spans="1:33">
      <c r="A146" s="2" t="s">
        <v>143</v>
      </c>
      <c r="B146" s="2" t="s">
        <v>25</v>
      </c>
      <c r="C146" s="1">
        <v>0.52984414300000005</v>
      </c>
      <c r="D146">
        <v>0.66186003599999998</v>
      </c>
      <c r="E146">
        <v>0.66644348499999995</v>
      </c>
      <c r="F146" s="1" t="s">
        <v>144</v>
      </c>
      <c r="G146" s="1">
        <v>1.3529411760000001</v>
      </c>
      <c r="H146" s="1">
        <v>60.7</v>
      </c>
      <c r="I146" s="1">
        <v>107.1</v>
      </c>
      <c r="J146" s="1">
        <v>0.6193825546666667</v>
      </c>
      <c r="K146" s="1">
        <v>0.53959274199999996</v>
      </c>
      <c r="L146" s="1">
        <v>0.64971567399999997</v>
      </c>
      <c r="M146" s="3">
        <v>0.65028459999999999</v>
      </c>
      <c r="N146" s="1" t="s">
        <v>26</v>
      </c>
      <c r="O146" s="1">
        <v>1.623046875</v>
      </c>
      <c r="P146" s="1">
        <v>34.700000000000003</v>
      </c>
      <c r="Q146" s="1">
        <v>51.2</v>
      </c>
      <c r="R146" s="1">
        <v>0.61319767199999997</v>
      </c>
      <c r="S146" s="1">
        <v>2.2441708386240725E-2</v>
      </c>
      <c r="T146" t="s">
        <v>293</v>
      </c>
      <c r="U146" s="1">
        <v>24142</v>
      </c>
      <c r="V146">
        <f t="shared" si="8"/>
        <v>0.48697480506518914</v>
      </c>
      <c r="W146" s="1">
        <f t="shared" si="9"/>
        <v>26</v>
      </c>
      <c r="X146">
        <f t="shared" si="10"/>
        <v>0.27010569899999992</v>
      </c>
      <c r="Y146">
        <f t="shared" si="11"/>
        <v>55.899999999999991</v>
      </c>
      <c r="Z146" s="1">
        <v>0</v>
      </c>
      <c r="AA146">
        <v>100</v>
      </c>
      <c r="AB146">
        <v>0</v>
      </c>
      <c r="AC146">
        <v>0</v>
      </c>
      <c r="AD146">
        <v>115</v>
      </c>
      <c r="AE146">
        <v>0</v>
      </c>
      <c r="AF146" t="s">
        <v>2589</v>
      </c>
      <c r="AG146" t="s">
        <v>2594</v>
      </c>
    </row>
    <row r="147" spans="1:33">
      <c r="A147" s="2" t="s">
        <v>143</v>
      </c>
      <c r="B147" s="2" t="s">
        <v>27</v>
      </c>
      <c r="C147" s="1">
        <v>0.52984414300000005</v>
      </c>
      <c r="D147">
        <v>0.66186003599999998</v>
      </c>
      <c r="E147">
        <v>0.66644348499999995</v>
      </c>
      <c r="F147" s="1" t="s">
        <v>144</v>
      </c>
      <c r="G147" s="1">
        <v>1.3529411760000001</v>
      </c>
      <c r="H147" s="1">
        <v>60.7</v>
      </c>
      <c r="I147" s="1">
        <v>107.1</v>
      </c>
      <c r="J147" s="1">
        <v>0.6193825546666667</v>
      </c>
      <c r="K147" s="1">
        <v>0.518608662</v>
      </c>
      <c r="L147" s="1">
        <v>0.64320369700000002</v>
      </c>
      <c r="M147" s="3">
        <v>0.62228994199999998</v>
      </c>
      <c r="N147" s="1" t="s">
        <v>28</v>
      </c>
      <c r="O147" s="1">
        <v>1.8717391299999999</v>
      </c>
      <c r="P147" s="1">
        <v>33.700000000000003</v>
      </c>
      <c r="Q147" s="1">
        <v>46</v>
      </c>
      <c r="R147" s="1">
        <v>0.59470076699999996</v>
      </c>
      <c r="S147" s="1">
        <v>4.9232411860857757E-2</v>
      </c>
      <c r="T147" t="s">
        <v>294</v>
      </c>
      <c r="U147" s="1">
        <v>2042</v>
      </c>
      <c r="V147">
        <f t="shared" si="8"/>
        <v>0.36778397086121012</v>
      </c>
      <c r="W147" s="1">
        <f t="shared" si="9"/>
        <v>27</v>
      </c>
      <c r="X147">
        <f t="shared" si="10"/>
        <v>0.51879795399999984</v>
      </c>
      <c r="Y147">
        <f t="shared" si="11"/>
        <v>61.099999999999994</v>
      </c>
      <c r="Z147" s="1">
        <v>2</v>
      </c>
      <c r="AA147">
        <v>98</v>
      </c>
      <c r="AB147">
        <v>2.0400000000000001E-2</v>
      </c>
      <c r="AC147">
        <v>4</v>
      </c>
      <c r="AD147">
        <v>118</v>
      </c>
      <c r="AE147">
        <v>3.39E-2</v>
      </c>
      <c r="AF147" t="s">
        <v>2589</v>
      </c>
      <c r="AG147" t="s">
        <v>2590</v>
      </c>
    </row>
    <row r="148" spans="1:33">
      <c r="A148" s="2" t="s">
        <v>143</v>
      </c>
      <c r="B148" s="2" t="s">
        <v>29</v>
      </c>
      <c r="C148" s="1">
        <v>0.52984414300000005</v>
      </c>
      <c r="D148">
        <v>0.66186003599999998</v>
      </c>
      <c r="E148">
        <v>0.66644348499999995</v>
      </c>
      <c r="F148" s="1" t="s">
        <v>144</v>
      </c>
      <c r="G148" s="1">
        <v>1.3529411760000001</v>
      </c>
      <c r="H148" s="1">
        <v>60.7</v>
      </c>
      <c r="I148" s="1">
        <v>107.1</v>
      </c>
      <c r="J148" s="1">
        <v>0.6193825546666667</v>
      </c>
      <c r="K148" s="1">
        <v>0.59351545100000003</v>
      </c>
      <c r="L148" s="1">
        <v>0.68136602400000001</v>
      </c>
      <c r="M148" s="3">
        <v>0.73518087600000004</v>
      </c>
      <c r="N148" s="1" t="s">
        <v>30</v>
      </c>
      <c r="O148" s="1">
        <v>2.849112426</v>
      </c>
      <c r="P148" s="1">
        <v>37.9</v>
      </c>
      <c r="Q148" s="1">
        <v>33.799999999999997</v>
      </c>
      <c r="R148" s="1">
        <v>0.67002078366666673</v>
      </c>
      <c r="S148" s="1">
        <v>9.5704482401682223E-2</v>
      </c>
      <c r="T148" t="s">
        <v>295</v>
      </c>
      <c r="U148" s="1">
        <v>672</v>
      </c>
      <c r="V148">
        <f t="shared" si="8"/>
        <v>0.31415214145042503</v>
      </c>
      <c r="W148" s="1">
        <f t="shared" si="9"/>
        <v>22.800000000000004</v>
      </c>
      <c r="X148">
        <f t="shared" si="10"/>
        <v>1.49617125</v>
      </c>
      <c r="Y148">
        <f t="shared" si="11"/>
        <v>73.3</v>
      </c>
      <c r="Z148" s="1">
        <v>0</v>
      </c>
      <c r="AA148">
        <v>100</v>
      </c>
      <c r="AB148">
        <v>0</v>
      </c>
      <c r="AC148">
        <v>0</v>
      </c>
      <c r="AD148">
        <v>111</v>
      </c>
      <c r="AE148">
        <v>0</v>
      </c>
      <c r="AF148" t="s">
        <v>2589</v>
      </c>
      <c r="AG148" t="s">
        <v>2593</v>
      </c>
    </row>
    <row r="149" spans="1:33">
      <c r="A149" s="2" t="s">
        <v>143</v>
      </c>
      <c r="B149" s="2" t="s">
        <v>31</v>
      </c>
      <c r="C149" s="1">
        <v>0.52984414300000005</v>
      </c>
      <c r="D149">
        <v>0.66186003599999998</v>
      </c>
      <c r="E149">
        <v>0.66644348499999995</v>
      </c>
      <c r="F149" s="1" t="s">
        <v>144</v>
      </c>
      <c r="G149" s="1">
        <v>1.3529411760000001</v>
      </c>
      <c r="H149" s="1">
        <v>60.7</v>
      </c>
      <c r="I149" s="1">
        <v>107.1</v>
      </c>
      <c r="J149" s="1">
        <v>0.6193825546666667</v>
      </c>
      <c r="K149" s="1">
        <v>0.47727961800000002</v>
      </c>
      <c r="L149" s="1">
        <v>0.66941086400000005</v>
      </c>
      <c r="M149" s="3">
        <v>0.69294815300000001</v>
      </c>
      <c r="N149" s="1" t="s">
        <v>32</v>
      </c>
      <c r="O149" s="1">
        <v>1.341891892</v>
      </c>
      <c r="P149" s="1">
        <v>42.1</v>
      </c>
      <c r="Q149" s="1">
        <v>74</v>
      </c>
      <c r="R149" s="1">
        <v>0.61321287833333338</v>
      </c>
      <c r="S149" s="1">
        <v>5.9351004353350591E-2</v>
      </c>
      <c r="T149" t="s">
        <v>296</v>
      </c>
      <c r="U149" s="1">
        <v>97540</v>
      </c>
      <c r="V149">
        <f t="shared" si="8"/>
        <v>0.55435363902839407</v>
      </c>
      <c r="W149" s="1">
        <f t="shared" si="9"/>
        <v>18.600000000000001</v>
      </c>
      <c r="X149">
        <f t="shared" si="10"/>
        <v>1.1049284000000048E-2</v>
      </c>
      <c r="Y149">
        <f t="shared" si="11"/>
        <v>33.099999999999994</v>
      </c>
      <c r="Z149" s="1">
        <v>11</v>
      </c>
      <c r="AA149">
        <v>89</v>
      </c>
      <c r="AB149">
        <v>0.1236</v>
      </c>
      <c r="AC149">
        <v>12</v>
      </c>
      <c r="AD149">
        <v>107</v>
      </c>
      <c r="AE149">
        <v>0.11210000000000001</v>
      </c>
      <c r="AF149" t="s">
        <v>2589</v>
      </c>
      <c r="AG149" t="s">
        <v>2589</v>
      </c>
    </row>
    <row r="150" spans="1:33">
      <c r="A150" s="2" t="s">
        <v>143</v>
      </c>
      <c r="B150" s="2" t="s">
        <v>33</v>
      </c>
      <c r="C150" s="1">
        <v>0.52984414300000005</v>
      </c>
      <c r="D150">
        <v>0.66186003599999998</v>
      </c>
      <c r="E150">
        <v>0.66644348499999995</v>
      </c>
      <c r="F150" s="1" t="s">
        <v>144</v>
      </c>
      <c r="G150" s="1">
        <v>1.3529411760000001</v>
      </c>
      <c r="H150" s="1">
        <v>60.7</v>
      </c>
      <c r="I150" s="1">
        <v>107.1</v>
      </c>
      <c r="J150" s="1">
        <v>0.6193825546666667</v>
      </c>
      <c r="K150" s="1">
        <v>0.51347926600000005</v>
      </c>
      <c r="L150" s="1">
        <v>0.63144379399999995</v>
      </c>
      <c r="M150" s="3">
        <v>0.64189093500000005</v>
      </c>
      <c r="N150" s="1" t="s">
        <v>34</v>
      </c>
      <c r="O150" s="1">
        <v>2.3123667380000001</v>
      </c>
      <c r="P150" s="1">
        <v>79.099999999999994</v>
      </c>
      <c r="Q150" s="1">
        <v>93.8</v>
      </c>
      <c r="R150" s="1">
        <v>0.59560466500000009</v>
      </c>
      <c r="S150" s="1">
        <v>4.2376699825849941E-2</v>
      </c>
      <c r="T150" t="s">
        <v>297</v>
      </c>
      <c r="U150" s="1">
        <v>4300</v>
      </c>
      <c r="V150">
        <f t="shared" si="8"/>
        <v>0.40371871728662073</v>
      </c>
      <c r="W150" s="1">
        <f t="shared" si="9"/>
        <v>18.399999999999991</v>
      </c>
      <c r="X150">
        <f t="shared" si="10"/>
        <v>0.95942556200000007</v>
      </c>
      <c r="Y150">
        <f t="shared" si="11"/>
        <v>13.299999999999997</v>
      </c>
      <c r="Z150" s="1">
        <v>10</v>
      </c>
      <c r="AA150">
        <v>90</v>
      </c>
      <c r="AB150">
        <v>0.1111</v>
      </c>
      <c r="AC150">
        <v>12</v>
      </c>
      <c r="AD150">
        <v>101</v>
      </c>
      <c r="AE150">
        <v>0.1188</v>
      </c>
      <c r="AF150" t="s">
        <v>2589</v>
      </c>
      <c r="AG150" t="s">
        <v>2590</v>
      </c>
    </row>
    <row r="151" spans="1:33">
      <c r="A151" s="2" t="s">
        <v>143</v>
      </c>
      <c r="B151" s="2" t="s">
        <v>35</v>
      </c>
      <c r="C151" s="1">
        <v>0.52984414300000005</v>
      </c>
      <c r="D151">
        <v>0.66186003599999998</v>
      </c>
      <c r="E151">
        <v>0.66644348499999995</v>
      </c>
      <c r="F151" s="1" t="s">
        <v>144</v>
      </c>
      <c r="G151" s="1">
        <v>1.3529411760000001</v>
      </c>
      <c r="H151" s="1">
        <v>60.7</v>
      </c>
      <c r="I151" s="1">
        <v>107.1</v>
      </c>
      <c r="J151" s="1">
        <v>0.6193825546666667</v>
      </c>
      <c r="K151" s="1">
        <v>0.52542897600000005</v>
      </c>
      <c r="L151" s="1">
        <v>0.60774736299999998</v>
      </c>
      <c r="M151" s="3">
        <v>0.62585751700000003</v>
      </c>
      <c r="N151" s="1" t="s">
        <v>36</v>
      </c>
      <c r="O151" s="1">
        <v>0.98848810399999998</v>
      </c>
      <c r="P151" s="1">
        <v>54.2</v>
      </c>
      <c r="Q151" s="1">
        <v>130.30000000000001</v>
      </c>
      <c r="R151" s="1">
        <v>0.58634461866666665</v>
      </c>
      <c r="S151" s="1">
        <v>6.7785661296028046E-2</v>
      </c>
      <c r="T151" t="s">
        <v>298</v>
      </c>
      <c r="U151" s="1">
        <v>23372</v>
      </c>
      <c r="V151">
        <f t="shared" si="8"/>
        <v>0.48541065307091447</v>
      </c>
      <c r="W151" s="1">
        <f t="shared" si="9"/>
        <v>6.5</v>
      </c>
      <c r="X151">
        <f t="shared" si="10"/>
        <v>0.3644530720000001</v>
      </c>
      <c r="Y151">
        <f t="shared" si="11"/>
        <v>23.200000000000017</v>
      </c>
      <c r="Z151" s="1">
        <v>12</v>
      </c>
      <c r="AA151">
        <v>88</v>
      </c>
      <c r="AB151">
        <v>0.13639999999999999</v>
      </c>
      <c r="AC151">
        <v>13</v>
      </c>
      <c r="AD151">
        <v>99</v>
      </c>
      <c r="AE151">
        <v>0.1313</v>
      </c>
      <c r="AF151" t="s">
        <v>2589</v>
      </c>
      <c r="AG151" t="s">
        <v>2589</v>
      </c>
    </row>
    <row r="152" spans="1:33">
      <c r="A152" s="2" t="s">
        <v>143</v>
      </c>
      <c r="B152" s="2" t="s">
        <v>37</v>
      </c>
      <c r="C152" s="1">
        <v>0.52984414300000005</v>
      </c>
      <c r="D152">
        <v>0.66186003599999998</v>
      </c>
      <c r="E152">
        <v>0.66644348499999995</v>
      </c>
      <c r="F152" s="1" t="s">
        <v>144</v>
      </c>
      <c r="G152" s="1">
        <v>1.3529411760000001</v>
      </c>
      <c r="H152" s="1">
        <v>60.7</v>
      </c>
      <c r="I152" s="1">
        <v>107.1</v>
      </c>
      <c r="J152" s="1">
        <v>0.6193825546666667</v>
      </c>
      <c r="K152" s="1">
        <v>0.50856695500000004</v>
      </c>
      <c r="L152" s="1">
        <v>0.654733224</v>
      </c>
      <c r="M152" s="3">
        <v>0.61418267199999999</v>
      </c>
      <c r="N152" s="1" t="s">
        <v>38</v>
      </c>
      <c r="O152" s="1">
        <v>0.64065708399999999</v>
      </c>
      <c r="P152" s="1">
        <v>41.9</v>
      </c>
      <c r="Q152" s="1">
        <v>146.1</v>
      </c>
      <c r="R152" s="1">
        <v>0.59249428366666679</v>
      </c>
      <c r="S152" s="1">
        <v>5.6874447284273918E-2</v>
      </c>
      <c r="T152" t="s">
        <v>299</v>
      </c>
      <c r="U152" s="1">
        <v>3590</v>
      </c>
      <c r="V152">
        <f t="shared" si="8"/>
        <v>0.39501049428647994</v>
      </c>
      <c r="W152" s="1">
        <f t="shared" si="9"/>
        <v>18.800000000000004</v>
      </c>
      <c r="X152">
        <f t="shared" si="10"/>
        <v>0.71228409200000009</v>
      </c>
      <c r="Y152">
        <f t="shared" si="11"/>
        <v>39</v>
      </c>
      <c r="Z152" s="1">
        <v>9</v>
      </c>
      <c r="AA152">
        <v>91</v>
      </c>
      <c r="AB152">
        <v>9.8900000000000002E-2</v>
      </c>
      <c r="AC152">
        <v>11</v>
      </c>
      <c r="AD152">
        <v>100</v>
      </c>
      <c r="AE152">
        <v>0.11</v>
      </c>
      <c r="AF152" t="s">
        <v>2589</v>
      </c>
      <c r="AG152" t="s">
        <v>2590</v>
      </c>
    </row>
    <row r="153" spans="1:33">
      <c r="A153" s="2" t="s">
        <v>143</v>
      </c>
      <c r="B153" s="2" t="s">
        <v>39</v>
      </c>
      <c r="C153" s="1">
        <v>0.52984414300000005</v>
      </c>
      <c r="D153">
        <v>0.66186003599999998</v>
      </c>
      <c r="E153">
        <v>0.66644348499999995</v>
      </c>
      <c r="F153" s="1" t="s">
        <v>144</v>
      </c>
      <c r="G153" s="1">
        <v>1.3529411760000001</v>
      </c>
      <c r="H153" s="1">
        <v>60.7</v>
      </c>
      <c r="I153" s="1">
        <v>107.1</v>
      </c>
      <c r="J153" s="1">
        <v>0.6193825546666667</v>
      </c>
      <c r="K153" s="1">
        <v>0.60811616199999996</v>
      </c>
      <c r="L153" s="1">
        <v>0.721105683</v>
      </c>
      <c r="M153" s="3">
        <v>0.741016169</v>
      </c>
      <c r="N153" s="1" t="s">
        <v>40</v>
      </c>
      <c r="O153" s="1">
        <v>1.0601915180000001</v>
      </c>
      <c r="P153" s="1">
        <v>34</v>
      </c>
      <c r="Q153" s="1">
        <v>73.099999999999994</v>
      </c>
      <c r="R153" s="1">
        <v>0.69007933799999999</v>
      </c>
      <c r="S153" s="1">
        <v>0.12327871205422623</v>
      </c>
      <c r="T153" t="s">
        <v>300</v>
      </c>
      <c r="U153" s="1">
        <v>124693</v>
      </c>
      <c r="V153">
        <f t="shared" si="8"/>
        <v>0.56620467486596382</v>
      </c>
      <c r="W153" s="1">
        <f t="shared" si="9"/>
        <v>26.700000000000003</v>
      </c>
      <c r="X153">
        <f t="shared" si="10"/>
        <v>0.29274965799999997</v>
      </c>
      <c r="Y153">
        <f t="shared" si="11"/>
        <v>34</v>
      </c>
      <c r="Z153" s="1">
        <v>5</v>
      </c>
      <c r="AA153">
        <v>95</v>
      </c>
      <c r="AB153">
        <v>5.2600000000000001E-2</v>
      </c>
      <c r="AC153">
        <v>8</v>
      </c>
      <c r="AD153">
        <v>106</v>
      </c>
      <c r="AE153">
        <v>7.5499999999999998E-2</v>
      </c>
      <c r="AF153" t="s">
        <v>2589</v>
      </c>
      <c r="AG153" t="s">
        <v>2589</v>
      </c>
    </row>
    <row r="154" spans="1:33">
      <c r="A154" s="2" t="s">
        <v>143</v>
      </c>
      <c r="B154" s="2" t="s">
        <v>41</v>
      </c>
      <c r="C154" s="1">
        <v>0.52984414300000005</v>
      </c>
      <c r="D154">
        <v>0.66186003599999998</v>
      </c>
      <c r="E154">
        <v>0.66644348499999995</v>
      </c>
      <c r="F154" s="1" t="s">
        <v>144</v>
      </c>
      <c r="G154" s="1">
        <v>1.3529411760000001</v>
      </c>
      <c r="H154" s="1">
        <v>60.7</v>
      </c>
      <c r="I154" s="1">
        <v>107.1</v>
      </c>
      <c r="J154" s="1">
        <v>0.6193825546666667</v>
      </c>
      <c r="K154" s="1">
        <v>0.60402244999999999</v>
      </c>
      <c r="L154" s="1">
        <v>0.669189213</v>
      </c>
      <c r="M154" s="3">
        <v>0.69821693799999995</v>
      </c>
      <c r="N154" s="1" t="s">
        <v>42</v>
      </c>
      <c r="O154" s="1">
        <v>1.3243902439999999</v>
      </c>
      <c r="P154" s="1">
        <v>23</v>
      </c>
      <c r="Q154" s="1">
        <v>41</v>
      </c>
      <c r="R154" s="1">
        <v>0.65714286700000002</v>
      </c>
      <c r="S154" s="1">
        <v>8.1028947792913975E-2</v>
      </c>
      <c r="T154" t="s">
        <v>301</v>
      </c>
      <c r="U154" s="1">
        <v>1703</v>
      </c>
      <c r="V154">
        <f t="shared" si="8"/>
        <v>0.35902384977362234</v>
      </c>
      <c r="W154" s="1">
        <f t="shared" si="9"/>
        <v>37.700000000000003</v>
      </c>
      <c r="X154">
        <f t="shared" si="10"/>
        <v>2.855093200000014E-2</v>
      </c>
      <c r="Y154">
        <f t="shared" si="11"/>
        <v>66.099999999999994</v>
      </c>
      <c r="Z154" s="1">
        <v>0</v>
      </c>
      <c r="AA154">
        <v>100</v>
      </c>
      <c r="AB154">
        <v>0</v>
      </c>
      <c r="AC154">
        <v>0</v>
      </c>
      <c r="AD154">
        <v>128</v>
      </c>
      <c r="AE154">
        <v>0</v>
      </c>
      <c r="AF154" t="s">
        <v>2589</v>
      </c>
      <c r="AG154" t="s">
        <v>2591</v>
      </c>
    </row>
    <row r="155" spans="1:33">
      <c r="A155" s="2" t="s">
        <v>143</v>
      </c>
      <c r="B155" s="2" t="s">
        <v>43</v>
      </c>
      <c r="C155" s="1">
        <v>0.52984414300000005</v>
      </c>
      <c r="D155">
        <v>0.66186003599999998</v>
      </c>
      <c r="E155">
        <v>0.66644348499999995</v>
      </c>
      <c r="F155" s="1" t="s">
        <v>144</v>
      </c>
      <c r="G155" s="1">
        <v>1.3529411760000001</v>
      </c>
      <c r="H155" s="1">
        <v>60.7</v>
      </c>
      <c r="I155" s="1">
        <v>107.1</v>
      </c>
      <c r="J155" s="1">
        <v>0.6193825546666667</v>
      </c>
      <c r="K155" s="1">
        <v>0.54180634699999997</v>
      </c>
      <c r="L155" s="1">
        <v>0.59470779900000004</v>
      </c>
      <c r="M155" s="3">
        <v>0.69518155599999998</v>
      </c>
      <c r="N155" s="1" t="s">
        <v>44</v>
      </c>
      <c r="O155" s="1">
        <v>1.7403685090000001</v>
      </c>
      <c r="P155" s="1">
        <v>41.2</v>
      </c>
      <c r="Q155" s="1">
        <v>59.7</v>
      </c>
      <c r="R155" s="1">
        <v>0.61056523400000007</v>
      </c>
      <c r="S155" s="1">
        <v>7.401617379629144E-2</v>
      </c>
      <c r="T155" t="s">
        <v>302</v>
      </c>
      <c r="U155" s="1">
        <v>11764</v>
      </c>
      <c r="V155">
        <f t="shared" si="8"/>
        <v>0.45228389064833685</v>
      </c>
      <c r="W155" s="1">
        <f t="shared" si="9"/>
        <v>19.5</v>
      </c>
      <c r="X155">
        <f t="shared" si="10"/>
        <v>0.38742733299999998</v>
      </c>
      <c r="Y155">
        <f t="shared" si="11"/>
        <v>47.399999999999991</v>
      </c>
      <c r="Z155" s="1">
        <v>11</v>
      </c>
      <c r="AA155">
        <v>89</v>
      </c>
      <c r="AB155">
        <v>0.1236</v>
      </c>
      <c r="AC155">
        <v>16</v>
      </c>
      <c r="AD155">
        <v>134</v>
      </c>
      <c r="AE155">
        <v>0.11940000000000001</v>
      </c>
      <c r="AF155" t="s">
        <v>2589</v>
      </c>
      <c r="AG155" t="s">
        <v>2589</v>
      </c>
    </row>
    <row r="156" spans="1:33">
      <c r="A156" s="2" t="s">
        <v>143</v>
      </c>
      <c r="B156" s="2" t="s">
        <v>45</v>
      </c>
      <c r="C156" s="1">
        <v>0.52984414300000005</v>
      </c>
      <c r="D156">
        <v>0.66186003599999998</v>
      </c>
      <c r="E156">
        <v>0.66644348499999995</v>
      </c>
      <c r="F156" s="1" t="s">
        <v>144</v>
      </c>
      <c r="G156" s="1">
        <v>1.3529411760000001</v>
      </c>
      <c r="H156" s="1">
        <v>60.7</v>
      </c>
      <c r="I156" s="1">
        <v>107.1</v>
      </c>
      <c r="J156" s="1">
        <v>0.6193825546666667</v>
      </c>
      <c r="K156" s="1">
        <v>0.50907007599999998</v>
      </c>
      <c r="L156" s="1">
        <v>0.68428041399999995</v>
      </c>
      <c r="M156" s="3">
        <v>0.67454742099999998</v>
      </c>
      <c r="N156" s="1" t="s">
        <v>46</v>
      </c>
      <c r="O156" s="1">
        <v>0.98140043799999999</v>
      </c>
      <c r="P156" s="1">
        <v>38.9</v>
      </c>
      <c r="Q156" s="1">
        <v>91.4</v>
      </c>
      <c r="R156" s="1">
        <v>0.62263263699999993</v>
      </c>
      <c r="S156" s="1">
        <v>3.1621337544061455E-2</v>
      </c>
      <c r="T156" t="s">
        <v>303</v>
      </c>
      <c r="U156" s="1">
        <v>20769</v>
      </c>
      <c r="V156">
        <f t="shared" si="8"/>
        <v>0.47971284292567762</v>
      </c>
      <c r="W156" s="1">
        <f t="shared" si="9"/>
        <v>21.800000000000004</v>
      </c>
      <c r="X156">
        <f t="shared" si="10"/>
        <v>0.37154073800000009</v>
      </c>
      <c r="Y156">
        <f t="shared" si="11"/>
        <v>15.699999999999989</v>
      </c>
      <c r="Z156" s="1">
        <v>13</v>
      </c>
      <c r="AA156">
        <v>87</v>
      </c>
      <c r="AB156">
        <v>0.14940000000000001</v>
      </c>
      <c r="AC156">
        <v>15</v>
      </c>
      <c r="AD156">
        <v>115</v>
      </c>
      <c r="AE156">
        <v>0.13039999999999999</v>
      </c>
      <c r="AF156" t="s">
        <v>2589</v>
      </c>
      <c r="AG156" t="s">
        <v>2589</v>
      </c>
    </row>
    <row r="157" spans="1:33">
      <c r="A157" s="2" t="s">
        <v>143</v>
      </c>
      <c r="B157" s="2" t="s">
        <v>47</v>
      </c>
      <c r="C157" s="1">
        <v>0.52984414300000005</v>
      </c>
      <c r="D157">
        <v>0.66186003599999998</v>
      </c>
      <c r="E157">
        <v>0.66644348499999995</v>
      </c>
      <c r="F157" s="1" t="s">
        <v>144</v>
      </c>
      <c r="G157" s="1">
        <v>1.3529411760000001</v>
      </c>
      <c r="H157" s="1">
        <v>60.7</v>
      </c>
      <c r="I157" s="1">
        <v>107.1</v>
      </c>
      <c r="J157" s="1">
        <v>0.6193825546666667</v>
      </c>
      <c r="K157" s="1">
        <v>0.50612154099999995</v>
      </c>
      <c r="L157" s="1">
        <v>0.55940039100000005</v>
      </c>
      <c r="M157" s="3">
        <v>0.66789001699999995</v>
      </c>
      <c r="N157" s="1" t="s">
        <v>48</v>
      </c>
      <c r="O157" s="1">
        <v>1.242622951</v>
      </c>
      <c r="P157" s="1">
        <v>17.8</v>
      </c>
      <c r="Q157" s="1">
        <v>30.5</v>
      </c>
      <c r="R157" s="1">
        <v>0.57780398300000002</v>
      </c>
      <c r="S157" s="1">
        <v>0.10518000358434794</v>
      </c>
      <c r="T157" t="s">
        <v>304</v>
      </c>
      <c r="U157" s="1">
        <v>2194</v>
      </c>
      <c r="V157">
        <f t="shared" si="8"/>
        <v>0.37124851369318806</v>
      </c>
      <c r="W157" s="1">
        <f t="shared" si="9"/>
        <v>42.900000000000006</v>
      </c>
      <c r="X157">
        <f t="shared" si="10"/>
        <v>0.1103182250000001</v>
      </c>
      <c r="Y157">
        <f t="shared" si="11"/>
        <v>76.599999999999994</v>
      </c>
      <c r="Z157" s="1">
        <v>1</v>
      </c>
      <c r="AA157">
        <v>99</v>
      </c>
      <c r="AB157">
        <v>1.01E-2</v>
      </c>
      <c r="AC157">
        <v>2</v>
      </c>
      <c r="AD157">
        <v>135</v>
      </c>
      <c r="AE157">
        <v>1.4800000000000001E-2</v>
      </c>
      <c r="AF157" t="s">
        <v>2589</v>
      </c>
      <c r="AG157" t="s">
        <v>2590</v>
      </c>
    </row>
    <row r="158" spans="1:33">
      <c r="A158" s="2" t="s">
        <v>143</v>
      </c>
      <c r="B158" s="2" t="s">
        <v>49</v>
      </c>
      <c r="C158" s="1">
        <v>0.52984414300000005</v>
      </c>
      <c r="D158">
        <v>0.66186003599999998</v>
      </c>
      <c r="E158">
        <v>0.66644348499999995</v>
      </c>
      <c r="F158" s="1" t="s">
        <v>144</v>
      </c>
      <c r="G158" s="1">
        <v>1.3529411760000001</v>
      </c>
      <c r="H158" s="1">
        <v>60.7</v>
      </c>
      <c r="I158" s="1">
        <v>107.1</v>
      </c>
      <c r="J158" s="1">
        <v>0.6193825546666667</v>
      </c>
      <c r="K158" s="1">
        <v>0.50647110500000003</v>
      </c>
      <c r="L158" s="1">
        <v>0.55713136799999996</v>
      </c>
      <c r="M158" s="3">
        <v>0.63402682300000002</v>
      </c>
      <c r="N158" s="1" t="s">
        <v>50</v>
      </c>
      <c r="O158" s="1">
        <v>1.876675603</v>
      </c>
      <c r="P158" s="1">
        <v>28.8</v>
      </c>
      <c r="Q158" s="1">
        <v>37.299999999999997</v>
      </c>
      <c r="R158" s="1">
        <v>0.56587643200000004</v>
      </c>
      <c r="S158" s="1">
        <v>0.11209474912602246</v>
      </c>
      <c r="T158" t="s">
        <v>305</v>
      </c>
      <c r="U158" s="1">
        <v>2213</v>
      </c>
      <c r="V158">
        <f t="shared" si="8"/>
        <v>0.37166460154747311</v>
      </c>
      <c r="W158" s="1">
        <f t="shared" si="9"/>
        <v>31.900000000000002</v>
      </c>
      <c r="X158">
        <f t="shared" si="10"/>
        <v>0.52373442699999995</v>
      </c>
      <c r="Y158">
        <f t="shared" si="11"/>
        <v>69.8</v>
      </c>
      <c r="Z158" s="1">
        <v>3</v>
      </c>
      <c r="AA158">
        <v>97</v>
      </c>
      <c r="AB158">
        <v>3.09E-2</v>
      </c>
      <c r="AC158">
        <v>4</v>
      </c>
      <c r="AD158">
        <v>107</v>
      </c>
      <c r="AE158">
        <v>3.7400000000000003E-2</v>
      </c>
      <c r="AF158" t="s">
        <v>2589</v>
      </c>
      <c r="AG158" t="s">
        <v>2590</v>
      </c>
    </row>
    <row r="159" spans="1:33">
      <c r="A159" s="2" t="s">
        <v>143</v>
      </c>
      <c r="B159" s="2" t="s">
        <v>51</v>
      </c>
      <c r="C159" s="1">
        <v>0.52984414300000005</v>
      </c>
      <c r="D159">
        <v>0.66186003599999998</v>
      </c>
      <c r="E159">
        <v>0.66644348499999995</v>
      </c>
      <c r="F159" s="1" t="s">
        <v>144</v>
      </c>
      <c r="G159" s="1">
        <v>1.3529411760000001</v>
      </c>
      <c r="H159" s="1">
        <v>60.7</v>
      </c>
      <c r="I159" s="1">
        <v>107.1</v>
      </c>
      <c r="J159" s="1">
        <v>0.6193825546666667</v>
      </c>
      <c r="K159" s="1">
        <v>0.60067161999999996</v>
      </c>
      <c r="L159" s="1">
        <v>0.68094129999999997</v>
      </c>
      <c r="M159" s="3">
        <v>0.73595931299999995</v>
      </c>
      <c r="N159" s="1" t="s">
        <v>52</v>
      </c>
      <c r="O159" s="1">
        <v>1.858638743</v>
      </c>
      <c r="P159" s="1">
        <v>29.4</v>
      </c>
      <c r="Q159" s="1">
        <v>38.200000000000003</v>
      </c>
      <c r="R159" s="1">
        <v>0.67252407766666666</v>
      </c>
      <c r="S159" s="1">
        <v>0.1010597668538217</v>
      </c>
      <c r="T159" t="s">
        <v>306</v>
      </c>
      <c r="U159" s="1">
        <v>1223</v>
      </c>
      <c r="V159">
        <f t="shared" si="8"/>
        <v>0.34304738411514285</v>
      </c>
      <c r="W159" s="1">
        <f t="shared" si="9"/>
        <v>31.300000000000004</v>
      </c>
      <c r="X159">
        <f t="shared" si="10"/>
        <v>0.5056975669999999</v>
      </c>
      <c r="Y159">
        <f t="shared" si="11"/>
        <v>68.899999999999991</v>
      </c>
      <c r="Z159" s="1">
        <v>3</v>
      </c>
      <c r="AA159">
        <v>97</v>
      </c>
      <c r="AB159">
        <v>3.09E-2</v>
      </c>
      <c r="AC159">
        <v>4</v>
      </c>
      <c r="AD159">
        <v>116</v>
      </c>
      <c r="AE159">
        <v>3.4500000000000003E-2</v>
      </c>
      <c r="AF159" t="s">
        <v>2589</v>
      </c>
      <c r="AG159" t="s">
        <v>2591</v>
      </c>
    </row>
    <row r="160" spans="1:33">
      <c r="A160" s="2" t="s">
        <v>143</v>
      </c>
      <c r="B160" s="2" t="s">
        <v>53</v>
      </c>
      <c r="C160" s="1">
        <v>0.52984414300000005</v>
      </c>
      <c r="D160">
        <v>0.66186003599999998</v>
      </c>
      <c r="E160">
        <v>0.66644348499999995</v>
      </c>
      <c r="F160" s="1" t="s">
        <v>144</v>
      </c>
      <c r="G160" s="1">
        <v>1.3529411760000001</v>
      </c>
      <c r="H160" s="1">
        <v>60.7</v>
      </c>
      <c r="I160" s="1">
        <v>107.1</v>
      </c>
      <c r="J160" s="1">
        <v>0.6193825546666667</v>
      </c>
      <c r="K160" s="1">
        <v>0.54695832700000002</v>
      </c>
      <c r="L160" s="1">
        <v>0.659790137</v>
      </c>
      <c r="M160" s="3">
        <v>0.70662085500000005</v>
      </c>
      <c r="N160" s="1" t="s">
        <v>54</v>
      </c>
      <c r="O160" s="1">
        <v>2.5053995680000001</v>
      </c>
      <c r="P160" s="1">
        <v>43.9</v>
      </c>
      <c r="Q160" s="1">
        <v>46.3</v>
      </c>
      <c r="R160" s="1">
        <v>0.63778977300000006</v>
      </c>
      <c r="S160" s="1">
        <v>4.3719570400141905E-2</v>
      </c>
      <c r="T160" t="s">
        <v>307</v>
      </c>
      <c r="U160" s="1">
        <v>1995</v>
      </c>
      <c r="V160">
        <f t="shared" si="8"/>
        <v>0.36666032222475192</v>
      </c>
      <c r="W160" s="1">
        <f t="shared" si="9"/>
        <v>16.800000000000004</v>
      </c>
      <c r="X160">
        <f t="shared" si="10"/>
        <v>1.152458392</v>
      </c>
      <c r="Y160">
        <f t="shared" si="11"/>
        <v>60.8</v>
      </c>
      <c r="Z160" s="1">
        <v>1</v>
      </c>
      <c r="AA160">
        <v>99</v>
      </c>
      <c r="AB160">
        <v>1.01E-2</v>
      </c>
      <c r="AC160">
        <v>2</v>
      </c>
      <c r="AD160">
        <v>118</v>
      </c>
      <c r="AE160">
        <v>1.6899999999999998E-2</v>
      </c>
      <c r="AF160" t="s">
        <v>2589</v>
      </c>
      <c r="AG160" t="s">
        <v>2593</v>
      </c>
    </row>
    <row r="161" spans="1:33">
      <c r="A161" s="2" t="s">
        <v>143</v>
      </c>
      <c r="B161" s="2" t="s">
        <v>55</v>
      </c>
      <c r="C161" s="1">
        <v>0.52984414300000005</v>
      </c>
      <c r="D161">
        <v>0.66186003599999998</v>
      </c>
      <c r="E161">
        <v>0.66644348499999995</v>
      </c>
      <c r="F161" s="1" t="s">
        <v>144</v>
      </c>
      <c r="G161" s="1">
        <v>1.3529411760000001</v>
      </c>
      <c r="H161" s="1">
        <v>60.7</v>
      </c>
      <c r="I161" s="1">
        <v>107.1</v>
      </c>
      <c r="J161" s="1">
        <v>0.6193825546666667</v>
      </c>
      <c r="K161" s="1">
        <v>0.52971861799999997</v>
      </c>
      <c r="L161" s="1">
        <v>0.62258244500000004</v>
      </c>
      <c r="M161" s="3">
        <v>0.63939760400000001</v>
      </c>
      <c r="N161" s="1" t="s">
        <v>56</v>
      </c>
      <c r="O161" s="1">
        <v>1.0796934869999999</v>
      </c>
      <c r="P161" s="1">
        <v>55.3</v>
      </c>
      <c r="Q161" s="1">
        <v>130.5</v>
      </c>
      <c r="R161" s="1">
        <v>0.59723288899999993</v>
      </c>
      <c r="S161" s="1">
        <v>4.7688830876370401E-2</v>
      </c>
      <c r="T161" t="s">
        <v>308</v>
      </c>
      <c r="U161" s="1">
        <v>7528</v>
      </c>
      <c r="V161">
        <f t="shared" si="8"/>
        <v>0.43074217893546668</v>
      </c>
      <c r="W161" s="1">
        <f t="shared" si="9"/>
        <v>5.4000000000000057</v>
      </c>
      <c r="X161">
        <f t="shared" si="10"/>
        <v>0.27324768900000018</v>
      </c>
      <c r="Y161">
        <f t="shared" si="11"/>
        <v>23.400000000000006</v>
      </c>
      <c r="Z161" s="1">
        <v>15</v>
      </c>
      <c r="AA161">
        <v>85</v>
      </c>
      <c r="AB161">
        <v>0.17649999999999999</v>
      </c>
      <c r="AC161">
        <v>17</v>
      </c>
      <c r="AD161">
        <v>95</v>
      </c>
      <c r="AE161">
        <v>0.1789</v>
      </c>
      <c r="AF161" t="s">
        <v>2589</v>
      </c>
      <c r="AG161" t="s">
        <v>2592</v>
      </c>
    </row>
    <row r="162" spans="1:33">
      <c r="A162" s="2" t="s">
        <v>143</v>
      </c>
      <c r="B162" s="2" t="s">
        <v>57</v>
      </c>
      <c r="C162" s="1">
        <v>0.52984414300000005</v>
      </c>
      <c r="D162">
        <v>0.66186003599999998</v>
      </c>
      <c r="E162">
        <v>0.66644348499999995</v>
      </c>
      <c r="F162" s="1" t="s">
        <v>144</v>
      </c>
      <c r="G162" s="1">
        <v>1.3529411760000001</v>
      </c>
      <c r="H162" s="1">
        <v>60.7</v>
      </c>
      <c r="I162" s="1">
        <v>107.1</v>
      </c>
      <c r="J162" s="1">
        <v>0.6193825546666667</v>
      </c>
      <c r="K162" s="1">
        <v>0.528732855</v>
      </c>
      <c r="L162" s="1">
        <v>0.63387497599999998</v>
      </c>
      <c r="M162" s="3">
        <v>0.63337360200000004</v>
      </c>
      <c r="N162" s="1" t="s">
        <v>58</v>
      </c>
      <c r="O162" s="1">
        <v>1.386610879</v>
      </c>
      <c r="P162" s="1">
        <v>69</v>
      </c>
      <c r="Q162" s="1">
        <v>119.5</v>
      </c>
      <c r="R162" s="1">
        <v>0.59866047766666663</v>
      </c>
      <c r="S162" s="1">
        <v>4.3336078570357831E-2</v>
      </c>
      <c r="T162" t="s">
        <v>309</v>
      </c>
      <c r="U162" s="1">
        <v>16899</v>
      </c>
      <c r="V162">
        <f t="shared" si="8"/>
        <v>0.46976233399500145</v>
      </c>
      <c r="W162" s="1">
        <f t="shared" si="9"/>
        <v>8.2999999999999972</v>
      </c>
      <c r="X162">
        <f t="shared" si="10"/>
        <v>3.366970299999994E-2</v>
      </c>
      <c r="Y162">
        <f t="shared" si="11"/>
        <v>12.400000000000006</v>
      </c>
      <c r="Z162" s="1">
        <v>16</v>
      </c>
      <c r="AA162">
        <v>84</v>
      </c>
      <c r="AB162">
        <v>0.1905</v>
      </c>
      <c r="AC162">
        <v>16</v>
      </c>
      <c r="AD162">
        <v>102</v>
      </c>
      <c r="AE162">
        <v>0.15690000000000001</v>
      </c>
      <c r="AF162" t="s">
        <v>2589</v>
      </c>
      <c r="AG162" t="s">
        <v>2589</v>
      </c>
    </row>
    <row r="163" spans="1:33">
      <c r="A163" s="2" t="s">
        <v>143</v>
      </c>
      <c r="B163" s="2" t="s">
        <v>59</v>
      </c>
      <c r="C163" s="1">
        <v>0.52984414300000005</v>
      </c>
      <c r="D163">
        <v>0.66186003599999998</v>
      </c>
      <c r="E163">
        <v>0.66644348499999995</v>
      </c>
      <c r="F163" s="1" t="s">
        <v>144</v>
      </c>
      <c r="G163" s="1">
        <v>1.3529411760000001</v>
      </c>
      <c r="H163" s="1">
        <v>60.7</v>
      </c>
      <c r="I163" s="1">
        <v>107.1</v>
      </c>
      <c r="J163" s="1">
        <v>0.6193825546666667</v>
      </c>
      <c r="K163" s="1">
        <v>0.56225432799999997</v>
      </c>
      <c r="L163" s="1">
        <v>0.68100706499999997</v>
      </c>
      <c r="M163" s="3">
        <v>0.67505263699999996</v>
      </c>
      <c r="N163" s="1" t="s">
        <v>60</v>
      </c>
      <c r="O163" s="1">
        <v>1.1501154730000001</v>
      </c>
      <c r="P163" s="1">
        <v>60.5</v>
      </c>
      <c r="Q163" s="1">
        <v>129.9</v>
      </c>
      <c r="R163" s="1">
        <v>0.63943801</v>
      </c>
      <c r="S163" s="1">
        <v>3.8615363644800296E-2</v>
      </c>
      <c r="T163" t="s">
        <v>310</v>
      </c>
      <c r="U163" s="1">
        <v>26882</v>
      </c>
      <c r="V163">
        <f t="shared" si="8"/>
        <v>0.49216239741746975</v>
      </c>
      <c r="W163" s="1">
        <f t="shared" si="9"/>
        <v>0.20000000000000284</v>
      </c>
      <c r="X163">
        <f t="shared" si="10"/>
        <v>0.20282570300000002</v>
      </c>
      <c r="Y163">
        <f t="shared" si="11"/>
        <v>22.800000000000011</v>
      </c>
      <c r="Z163" s="1">
        <v>14</v>
      </c>
      <c r="AA163">
        <v>86</v>
      </c>
      <c r="AB163">
        <v>0.1628</v>
      </c>
      <c r="AC163">
        <v>19</v>
      </c>
      <c r="AD163">
        <v>118</v>
      </c>
      <c r="AE163">
        <v>0.161</v>
      </c>
      <c r="AF163" t="s">
        <v>2589</v>
      </c>
      <c r="AG163" t="s">
        <v>2589</v>
      </c>
    </row>
    <row r="164" spans="1:33">
      <c r="A164" s="2" t="s">
        <v>143</v>
      </c>
      <c r="B164" s="2" t="s">
        <v>61</v>
      </c>
      <c r="C164" s="1">
        <v>0.52984414300000005</v>
      </c>
      <c r="D164">
        <v>0.66186003599999998</v>
      </c>
      <c r="E164">
        <v>0.66644348499999995</v>
      </c>
      <c r="F164" s="1" t="s">
        <v>144</v>
      </c>
      <c r="G164" s="1">
        <v>1.3529411760000001</v>
      </c>
      <c r="H164" s="1">
        <v>60.7</v>
      </c>
      <c r="I164" s="1">
        <v>107.1</v>
      </c>
      <c r="J164" s="1">
        <v>0.6193825546666667</v>
      </c>
      <c r="K164" s="1">
        <v>0.62063455999999995</v>
      </c>
      <c r="L164" s="1">
        <v>0.67798104299999995</v>
      </c>
      <c r="M164" s="3">
        <v>0.72175371600000005</v>
      </c>
      <c r="N164" s="1" t="s">
        <v>62</v>
      </c>
      <c r="O164" s="1">
        <v>7.5471698109999998</v>
      </c>
      <c r="P164" s="1">
        <v>26.4</v>
      </c>
      <c r="Q164" s="1">
        <v>10.6</v>
      </c>
      <c r="R164" s="1">
        <v>0.6734564396666668</v>
      </c>
      <c r="S164" s="1">
        <v>0.1075267796365226</v>
      </c>
      <c r="T164" t="s">
        <v>311</v>
      </c>
      <c r="U164" s="1">
        <v>2959</v>
      </c>
      <c r="V164">
        <f t="shared" si="8"/>
        <v>0.385682773906737</v>
      </c>
      <c r="W164" s="1">
        <f t="shared" si="9"/>
        <v>34.300000000000004</v>
      </c>
      <c r="X164">
        <f t="shared" si="10"/>
        <v>6.194228635</v>
      </c>
      <c r="Y164">
        <f t="shared" si="11"/>
        <v>96.5</v>
      </c>
      <c r="Z164" s="1">
        <v>0</v>
      </c>
      <c r="AA164">
        <v>100</v>
      </c>
      <c r="AB164">
        <v>0</v>
      </c>
      <c r="AC164">
        <v>0</v>
      </c>
      <c r="AD164">
        <v>112</v>
      </c>
      <c r="AE164">
        <v>0</v>
      </c>
      <c r="AF164" t="s">
        <v>2589</v>
      </c>
      <c r="AG164" t="s">
        <v>2588</v>
      </c>
    </row>
    <row r="165" spans="1:33">
      <c r="A165" s="2" t="s">
        <v>143</v>
      </c>
      <c r="B165" s="2" t="s">
        <v>63</v>
      </c>
      <c r="C165" s="1">
        <v>0.52984414300000005</v>
      </c>
      <c r="D165">
        <v>0.66186003599999998</v>
      </c>
      <c r="E165">
        <v>0.66644348499999995</v>
      </c>
      <c r="F165" s="1" t="s">
        <v>144</v>
      </c>
      <c r="G165" s="1">
        <v>1.3529411760000001</v>
      </c>
      <c r="H165" s="1">
        <v>60.7</v>
      </c>
      <c r="I165" s="1">
        <v>107.1</v>
      </c>
      <c r="J165" s="1">
        <v>0.6193825546666667</v>
      </c>
      <c r="K165" s="1">
        <v>0.44311141399999998</v>
      </c>
      <c r="L165" s="1">
        <v>0.57053969199999999</v>
      </c>
      <c r="M165" s="3">
        <v>0.59266330599999995</v>
      </c>
      <c r="N165" s="1" t="s">
        <v>64</v>
      </c>
      <c r="O165" s="1">
        <v>0.89618138400000003</v>
      </c>
      <c r="P165" s="1">
        <v>29.7</v>
      </c>
      <c r="Q165" s="1">
        <v>83.8</v>
      </c>
      <c r="R165" s="1">
        <v>0.53543813733333334</v>
      </c>
      <c r="S165" s="1">
        <v>0.14596398981028788</v>
      </c>
      <c r="T165" t="s">
        <v>312</v>
      </c>
      <c r="U165" s="1">
        <v>943</v>
      </c>
      <c r="V165">
        <f t="shared" si="8"/>
        <v>0.3305012991930365</v>
      </c>
      <c r="W165" s="1">
        <f t="shared" si="9"/>
        <v>31.000000000000004</v>
      </c>
      <c r="X165">
        <f t="shared" si="10"/>
        <v>0.45675979200000005</v>
      </c>
      <c r="Y165">
        <f t="shared" si="11"/>
        <v>23.299999999999997</v>
      </c>
      <c r="Z165" s="1">
        <v>7</v>
      </c>
      <c r="AA165">
        <v>93</v>
      </c>
      <c r="AB165">
        <v>7.5300000000000006E-2</v>
      </c>
      <c r="AC165">
        <v>10</v>
      </c>
      <c r="AD165">
        <v>109</v>
      </c>
      <c r="AE165">
        <v>9.1700000000000004E-2</v>
      </c>
      <c r="AF165" t="s">
        <v>2589</v>
      </c>
      <c r="AG165" t="s">
        <v>2590</v>
      </c>
    </row>
    <row r="166" spans="1:33">
      <c r="A166" s="2" t="s">
        <v>143</v>
      </c>
      <c r="B166" s="2" t="s">
        <v>65</v>
      </c>
      <c r="C166" s="1">
        <v>0.52984414300000005</v>
      </c>
      <c r="D166">
        <v>0.66186003599999998</v>
      </c>
      <c r="E166">
        <v>0.66644348499999995</v>
      </c>
      <c r="F166" s="1" t="s">
        <v>144</v>
      </c>
      <c r="G166" s="1">
        <v>1.3529411760000001</v>
      </c>
      <c r="H166" s="1">
        <v>60.7</v>
      </c>
      <c r="I166" s="1">
        <v>107.1</v>
      </c>
      <c r="J166" s="1">
        <v>0.6193825546666667</v>
      </c>
      <c r="K166" s="1">
        <v>0.67377447499999998</v>
      </c>
      <c r="L166" s="1">
        <v>0.69144672900000004</v>
      </c>
      <c r="M166" s="3">
        <v>0.73046409700000003</v>
      </c>
      <c r="N166" s="1" t="s">
        <v>66</v>
      </c>
      <c r="O166" s="1">
        <v>1.8507462690000001</v>
      </c>
      <c r="P166" s="1">
        <v>34.5</v>
      </c>
      <c r="Q166" s="1">
        <v>46.9</v>
      </c>
      <c r="R166" s="1">
        <v>0.69856176700000006</v>
      </c>
      <c r="S166" s="1">
        <v>0.16028085235972828</v>
      </c>
      <c r="T166" t="s">
        <v>313</v>
      </c>
      <c r="U166" s="1">
        <v>925</v>
      </c>
      <c r="V166">
        <f t="shared" si="8"/>
        <v>0.32957130363767029</v>
      </c>
      <c r="W166" s="1">
        <f t="shared" si="9"/>
        <v>26.200000000000003</v>
      </c>
      <c r="X166">
        <f t="shared" si="10"/>
        <v>0.49780509299999998</v>
      </c>
      <c r="Y166">
        <f t="shared" si="11"/>
        <v>60.199999999999996</v>
      </c>
      <c r="Z166" s="1">
        <v>0</v>
      </c>
      <c r="AA166">
        <v>100</v>
      </c>
      <c r="AB166">
        <v>0</v>
      </c>
      <c r="AC166">
        <v>0</v>
      </c>
      <c r="AD166">
        <v>101</v>
      </c>
      <c r="AE166">
        <v>0</v>
      </c>
      <c r="AF166" t="s">
        <v>2589</v>
      </c>
      <c r="AG166" t="s">
        <v>2593</v>
      </c>
    </row>
    <row r="167" spans="1:33">
      <c r="A167" s="2" t="s">
        <v>143</v>
      </c>
      <c r="B167" s="2" t="s">
        <v>67</v>
      </c>
      <c r="C167" s="1">
        <v>0.52984414300000005</v>
      </c>
      <c r="D167">
        <v>0.66186003599999998</v>
      </c>
      <c r="E167">
        <v>0.66644348499999995</v>
      </c>
      <c r="F167" s="1" t="s">
        <v>144</v>
      </c>
      <c r="G167" s="1">
        <v>1.3529411760000001</v>
      </c>
      <c r="H167" s="1">
        <v>60.7</v>
      </c>
      <c r="I167" s="1">
        <v>107.1</v>
      </c>
      <c r="J167" s="1">
        <v>0.6193825546666667</v>
      </c>
      <c r="K167" s="1">
        <v>0.53971122199999999</v>
      </c>
      <c r="L167" s="1">
        <v>0.621203065</v>
      </c>
      <c r="M167" s="3">
        <v>0.67806811499999997</v>
      </c>
      <c r="N167" s="1" t="s">
        <v>68</v>
      </c>
      <c r="O167" s="1">
        <v>1.5131894480000001</v>
      </c>
      <c r="P167" s="1">
        <v>27.2</v>
      </c>
      <c r="Q167" s="1">
        <v>41.7</v>
      </c>
      <c r="R167" s="1">
        <v>0.61299413400000002</v>
      </c>
      <c r="S167" s="1">
        <v>4.342212064747622E-2</v>
      </c>
      <c r="T167" t="s">
        <v>314</v>
      </c>
      <c r="U167" s="1">
        <v>2294</v>
      </c>
      <c r="V167">
        <f t="shared" si="8"/>
        <v>0.37339926817391655</v>
      </c>
      <c r="W167" s="1">
        <f t="shared" si="9"/>
        <v>33.5</v>
      </c>
      <c r="X167">
        <f t="shared" si="10"/>
        <v>0.16024827200000002</v>
      </c>
      <c r="Y167">
        <f t="shared" si="11"/>
        <v>65.399999999999991</v>
      </c>
      <c r="Z167" s="1">
        <v>1</v>
      </c>
      <c r="AA167">
        <v>99</v>
      </c>
      <c r="AB167">
        <v>1.01E-2</v>
      </c>
      <c r="AC167">
        <v>2</v>
      </c>
      <c r="AD167">
        <v>110</v>
      </c>
      <c r="AE167">
        <v>1.8200000000000001E-2</v>
      </c>
      <c r="AF167" t="s">
        <v>2589</v>
      </c>
      <c r="AG167" t="s">
        <v>2588</v>
      </c>
    </row>
    <row r="168" spans="1:33">
      <c r="A168" s="2" t="s">
        <v>143</v>
      </c>
      <c r="B168" s="2" t="s">
        <v>69</v>
      </c>
      <c r="C168" s="1">
        <v>0.52984414300000005</v>
      </c>
      <c r="D168">
        <v>0.66186003599999998</v>
      </c>
      <c r="E168">
        <v>0.66644348499999995</v>
      </c>
      <c r="F168" s="1" t="s">
        <v>144</v>
      </c>
      <c r="G168" s="1">
        <v>1.3529411760000001</v>
      </c>
      <c r="H168" s="1">
        <v>60.7</v>
      </c>
      <c r="I168" s="1">
        <v>107.1</v>
      </c>
      <c r="J168" s="1">
        <v>0.6193825546666667</v>
      </c>
      <c r="K168" s="1">
        <v>0.50188385300000005</v>
      </c>
      <c r="L168" s="1">
        <v>0.64580031500000001</v>
      </c>
      <c r="M168" s="3">
        <v>0.66006355800000005</v>
      </c>
      <c r="N168" s="1" t="s">
        <v>70</v>
      </c>
      <c r="O168" s="1">
        <v>1.2401055409999999</v>
      </c>
      <c r="P168" s="1">
        <v>43.4</v>
      </c>
      <c r="Q168" s="1">
        <v>75.8</v>
      </c>
      <c r="R168" s="1">
        <v>0.60258257533333337</v>
      </c>
      <c r="S168" s="1">
        <v>3.2869376690276127E-2</v>
      </c>
      <c r="T168" t="s">
        <v>315</v>
      </c>
      <c r="U168" s="1">
        <v>17277</v>
      </c>
      <c r="V168">
        <f t="shared" si="8"/>
        <v>0.47082981480550767</v>
      </c>
      <c r="W168" s="1">
        <f t="shared" si="9"/>
        <v>17.300000000000004</v>
      </c>
      <c r="X168">
        <f t="shared" si="10"/>
        <v>0.11283563500000016</v>
      </c>
      <c r="Y168">
        <f t="shared" si="11"/>
        <v>31.299999999999997</v>
      </c>
      <c r="Z168" s="1">
        <v>18</v>
      </c>
      <c r="AA168">
        <v>82</v>
      </c>
      <c r="AB168">
        <v>0.2195</v>
      </c>
      <c r="AC168">
        <v>20</v>
      </c>
      <c r="AD168">
        <v>99</v>
      </c>
      <c r="AE168">
        <v>0.20200000000000001</v>
      </c>
      <c r="AF168" t="s">
        <v>2589</v>
      </c>
      <c r="AG168" t="s">
        <v>2589</v>
      </c>
    </row>
    <row r="169" spans="1:33">
      <c r="A169" s="2" t="s">
        <v>143</v>
      </c>
      <c r="B169" s="2" t="s">
        <v>71</v>
      </c>
      <c r="C169" s="1">
        <v>0.52984414300000005</v>
      </c>
      <c r="D169">
        <v>0.66186003599999998</v>
      </c>
      <c r="E169">
        <v>0.66644348499999995</v>
      </c>
      <c r="F169" s="1" t="s">
        <v>144</v>
      </c>
      <c r="G169" s="1">
        <v>1.3529411760000001</v>
      </c>
      <c r="H169" s="1">
        <v>60.7</v>
      </c>
      <c r="I169" s="1">
        <v>107.1</v>
      </c>
      <c r="J169" s="1">
        <v>0.6193825546666667</v>
      </c>
      <c r="K169" s="1">
        <v>0.53267569100000001</v>
      </c>
      <c r="L169" s="1">
        <v>0.64507433599999997</v>
      </c>
      <c r="M169" s="3">
        <v>0.66598465100000004</v>
      </c>
      <c r="N169" s="1" t="s">
        <v>72</v>
      </c>
      <c r="O169" s="1">
        <v>0.97289666900000005</v>
      </c>
      <c r="P169" s="1">
        <v>64.8</v>
      </c>
      <c r="Q169" s="1">
        <v>177.1</v>
      </c>
      <c r="R169" s="1">
        <v>0.61457822600000001</v>
      </c>
      <c r="S169" s="1">
        <v>1.7029031599179682E-2</v>
      </c>
      <c r="T169" t="s">
        <v>316</v>
      </c>
      <c r="U169" s="1">
        <v>70092</v>
      </c>
      <c r="V169">
        <f t="shared" si="8"/>
        <v>0.53840760580970204</v>
      </c>
      <c r="W169" s="1">
        <f t="shared" si="9"/>
        <v>4.0999999999999943</v>
      </c>
      <c r="X169">
        <f t="shared" si="10"/>
        <v>0.38004450700000003</v>
      </c>
      <c r="Y169">
        <f t="shared" si="11"/>
        <v>70</v>
      </c>
      <c r="Z169" s="1">
        <v>22</v>
      </c>
      <c r="AA169">
        <v>78</v>
      </c>
      <c r="AB169">
        <v>0.28210000000000002</v>
      </c>
      <c r="AC169">
        <v>27</v>
      </c>
      <c r="AD169">
        <v>103</v>
      </c>
      <c r="AE169">
        <v>0.2621</v>
      </c>
      <c r="AF169" t="s">
        <v>2589</v>
      </c>
      <c r="AG169" t="s">
        <v>2589</v>
      </c>
    </row>
    <row r="170" spans="1:33">
      <c r="A170" s="2" t="s">
        <v>143</v>
      </c>
      <c r="B170" s="2" t="s">
        <v>73</v>
      </c>
      <c r="C170" s="1">
        <v>0.52984414300000005</v>
      </c>
      <c r="D170">
        <v>0.66186003599999998</v>
      </c>
      <c r="E170">
        <v>0.66644348499999995</v>
      </c>
      <c r="F170" s="1" t="s">
        <v>144</v>
      </c>
      <c r="G170" s="1">
        <v>1.3529411760000001</v>
      </c>
      <c r="H170" s="1">
        <v>60.7</v>
      </c>
      <c r="I170" s="1">
        <v>107.1</v>
      </c>
      <c r="J170" s="1">
        <v>0.6193825546666667</v>
      </c>
      <c r="K170" s="1">
        <v>0.55697925299999995</v>
      </c>
      <c r="L170" s="1">
        <v>0.64461978399999997</v>
      </c>
      <c r="M170" s="3">
        <v>0.69570690000000002</v>
      </c>
      <c r="N170" s="1" t="s">
        <v>74</v>
      </c>
      <c r="O170" s="1">
        <v>1.23433584</v>
      </c>
      <c r="P170" s="1">
        <v>44</v>
      </c>
      <c r="Q170" s="1">
        <v>79.8</v>
      </c>
      <c r="R170" s="1">
        <v>0.63243531233333328</v>
      </c>
      <c r="S170" s="1">
        <v>4.3472841420797749E-2</v>
      </c>
      <c r="T170" t="s">
        <v>317</v>
      </c>
      <c r="U170" s="1">
        <v>9410</v>
      </c>
      <c r="V170">
        <f t="shared" si="8"/>
        <v>0.44150995815858413</v>
      </c>
      <c r="W170" s="1">
        <f t="shared" si="9"/>
        <v>16.700000000000003</v>
      </c>
      <c r="X170">
        <f t="shared" si="10"/>
        <v>0.11860533600000012</v>
      </c>
      <c r="Y170">
        <f t="shared" si="11"/>
        <v>27.299999999999997</v>
      </c>
      <c r="Z170" s="1">
        <v>17</v>
      </c>
      <c r="AA170">
        <v>83</v>
      </c>
      <c r="AB170">
        <v>0.20480000000000001</v>
      </c>
      <c r="AC170">
        <v>19</v>
      </c>
      <c r="AD170">
        <v>96</v>
      </c>
      <c r="AE170">
        <v>0.19789999999999999</v>
      </c>
      <c r="AF170" t="s">
        <v>2589</v>
      </c>
      <c r="AG170" t="s">
        <v>2589</v>
      </c>
    </row>
    <row r="171" spans="1:33">
      <c r="A171" s="2" t="s">
        <v>143</v>
      </c>
      <c r="B171" s="2" t="s">
        <v>75</v>
      </c>
      <c r="C171" s="1">
        <v>0.52984414300000005</v>
      </c>
      <c r="D171">
        <v>0.66186003599999998</v>
      </c>
      <c r="E171">
        <v>0.66644348499999995</v>
      </c>
      <c r="F171" s="1" t="s">
        <v>144</v>
      </c>
      <c r="G171" s="1">
        <v>1.3529411760000001</v>
      </c>
      <c r="H171" s="1">
        <v>60.7</v>
      </c>
      <c r="I171" s="1">
        <v>107.1</v>
      </c>
      <c r="J171" s="1">
        <v>0.6193825546666667</v>
      </c>
      <c r="K171" s="1">
        <v>0.50354843500000002</v>
      </c>
      <c r="L171" s="1">
        <v>0.59724402499999996</v>
      </c>
      <c r="M171" s="3">
        <v>0.70308254199999998</v>
      </c>
      <c r="N171" s="1" t="s">
        <v>76</v>
      </c>
      <c r="O171" s="1">
        <v>1.2696850390000001</v>
      </c>
      <c r="P171" s="1">
        <v>26.6</v>
      </c>
      <c r="Q171" s="1">
        <v>50.8</v>
      </c>
      <c r="R171" s="1">
        <v>0.60129166733333339</v>
      </c>
      <c r="S171" s="1">
        <v>7.8797929126485561E-2</v>
      </c>
      <c r="T171" t="s">
        <v>318</v>
      </c>
      <c r="U171" s="1">
        <v>3842</v>
      </c>
      <c r="V171">
        <f t="shared" si="8"/>
        <v>0.39828415116951943</v>
      </c>
      <c r="W171" s="1">
        <f t="shared" si="9"/>
        <v>34.1</v>
      </c>
      <c r="X171">
        <f t="shared" si="10"/>
        <v>8.3256137000000008E-2</v>
      </c>
      <c r="Y171">
        <f t="shared" si="11"/>
        <v>56.3</v>
      </c>
      <c r="Z171" s="1">
        <v>4</v>
      </c>
      <c r="AA171">
        <v>96</v>
      </c>
      <c r="AB171">
        <v>4.1700000000000001E-2</v>
      </c>
      <c r="AC171">
        <v>6</v>
      </c>
      <c r="AD171">
        <v>109</v>
      </c>
      <c r="AE171">
        <v>5.5E-2</v>
      </c>
      <c r="AF171" t="s">
        <v>2589</v>
      </c>
      <c r="AG171" t="s">
        <v>2594</v>
      </c>
    </row>
    <row r="172" spans="1:33">
      <c r="A172" s="2" t="s">
        <v>143</v>
      </c>
      <c r="B172" s="2" t="s">
        <v>77</v>
      </c>
      <c r="C172" s="1">
        <v>0.52984414300000005</v>
      </c>
      <c r="D172">
        <v>0.66186003599999998</v>
      </c>
      <c r="E172">
        <v>0.66644348499999995</v>
      </c>
      <c r="F172" s="1" t="s">
        <v>144</v>
      </c>
      <c r="G172" s="1">
        <v>1.3529411760000001</v>
      </c>
      <c r="H172" s="1">
        <v>60.7</v>
      </c>
      <c r="I172" s="1">
        <v>107.1</v>
      </c>
      <c r="J172" s="1">
        <v>0.6193825546666667</v>
      </c>
      <c r="K172" s="1">
        <v>0.54630843299999998</v>
      </c>
      <c r="L172" s="1">
        <v>0.68935555900000001</v>
      </c>
      <c r="M172" s="3">
        <v>0.65478744899999997</v>
      </c>
      <c r="N172" s="1" t="s">
        <v>78</v>
      </c>
      <c r="O172" s="1">
        <v>1.3914285710000001</v>
      </c>
      <c r="P172" s="1">
        <v>56.5</v>
      </c>
      <c r="Q172" s="1">
        <v>105</v>
      </c>
      <c r="R172" s="1">
        <v>0.63015048033333343</v>
      </c>
      <c r="S172" s="1">
        <v>3.4101903253057939E-2</v>
      </c>
      <c r="T172" t="s">
        <v>319</v>
      </c>
      <c r="U172" s="1">
        <v>2480</v>
      </c>
      <c r="V172">
        <f t="shared" si="8"/>
        <v>0.37716129786957958</v>
      </c>
      <c r="W172" s="1">
        <f t="shared" si="9"/>
        <v>4.2000000000000028</v>
      </c>
      <c r="X172">
        <f t="shared" si="10"/>
        <v>3.848739499999998E-2</v>
      </c>
      <c r="Y172">
        <f t="shared" si="11"/>
        <v>2.0999999999999943</v>
      </c>
      <c r="Z172" s="1">
        <v>2</v>
      </c>
      <c r="AA172">
        <v>98</v>
      </c>
      <c r="AB172">
        <v>2.0400000000000001E-2</v>
      </c>
      <c r="AC172">
        <v>3</v>
      </c>
      <c r="AD172">
        <v>101</v>
      </c>
      <c r="AE172">
        <v>2.9700000000000001E-2</v>
      </c>
      <c r="AF172" t="s">
        <v>2589</v>
      </c>
      <c r="AG172" t="s">
        <v>2590</v>
      </c>
    </row>
    <row r="173" spans="1:33">
      <c r="A173" s="2" t="s">
        <v>143</v>
      </c>
      <c r="B173" s="2" t="s">
        <v>79</v>
      </c>
      <c r="C173" s="1">
        <v>0.52984414300000005</v>
      </c>
      <c r="D173">
        <v>0.66186003599999998</v>
      </c>
      <c r="E173">
        <v>0.66644348499999995</v>
      </c>
      <c r="F173" s="1" t="s">
        <v>144</v>
      </c>
      <c r="G173" s="1">
        <v>1.3529411760000001</v>
      </c>
      <c r="H173" s="1">
        <v>60.7</v>
      </c>
      <c r="I173" s="1">
        <v>107.1</v>
      </c>
      <c r="J173" s="1">
        <v>0.6193825546666667</v>
      </c>
      <c r="K173" s="1">
        <v>0.63652882899999996</v>
      </c>
      <c r="L173" s="1">
        <v>0.77536518600000004</v>
      </c>
      <c r="M173" s="3">
        <v>0.610415606</v>
      </c>
      <c r="N173" s="1" t="s">
        <v>80</v>
      </c>
      <c r="O173" s="1">
        <v>0.95325542600000002</v>
      </c>
      <c r="P173" s="1">
        <v>45.6</v>
      </c>
      <c r="Q173" s="1">
        <v>119.8</v>
      </c>
      <c r="R173" s="1">
        <v>0.67410320700000004</v>
      </c>
      <c r="S173" s="1">
        <v>0.16554203251343669</v>
      </c>
      <c r="T173" t="s">
        <v>320</v>
      </c>
      <c r="U173" s="1">
        <v>3078</v>
      </c>
      <c r="V173">
        <f t="shared" si="8"/>
        <v>0.38758540172171779</v>
      </c>
      <c r="W173" s="1">
        <f t="shared" si="9"/>
        <v>15.100000000000001</v>
      </c>
      <c r="X173">
        <f t="shared" si="10"/>
        <v>0.39968575000000006</v>
      </c>
      <c r="Y173">
        <f t="shared" si="11"/>
        <v>12.700000000000003</v>
      </c>
      <c r="Z173" s="1">
        <v>1</v>
      </c>
      <c r="AA173">
        <v>99</v>
      </c>
      <c r="AB173">
        <v>1.01E-2</v>
      </c>
      <c r="AC173">
        <v>2</v>
      </c>
      <c r="AD173">
        <v>93</v>
      </c>
      <c r="AE173">
        <v>2.1499999999999998E-2</v>
      </c>
      <c r="AF173" t="s">
        <v>2589</v>
      </c>
      <c r="AG173" t="s">
        <v>2590</v>
      </c>
    </row>
    <row r="174" spans="1:33">
      <c r="A174" s="2" t="s">
        <v>143</v>
      </c>
      <c r="B174" s="2" t="s">
        <v>81</v>
      </c>
      <c r="C174" s="1">
        <v>0.52984414300000005</v>
      </c>
      <c r="D174">
        <v>0.66186003599999998</v>
      </c>
      <c r="E174">
        <v>0.66644348499999995</v>
      </c>
      <c r="F174" s="1" t="s">
        <v>144</v>
      </c>
      <c r="G174" s="1">
        <v>1.3529411760000001</v>
      </c>
      <c r="H174" s="1">
        <v>60.7</v>
      </c>
      <c r="I174" s="1">
        <v>107.1</v>
      </c>
      <c r="J174" s="1">
        <v>0.6193825546666667</v>
      </c>
      <c r="K174" s="1">
        <v>0.50183280699999999</v>
      </c>
      <c r="L174" s="1">
        <v>0.68550824600000004</v>
      </c>
      <c r="M174" s="3">
        <v>0.66941488999999998</v>
      </c>
      <c r="N174" s="1" t="s">
        <v>82</v>
      </c>
      <c r="O174" s="1">
        <v>1.4359576970000001</v>
      </c>
      <c r="P174" s="1">
        <v>51</v>
      </c>
      <c r="Q174" s="1">
        <v>85.1</v>
      </c>
      <c r="R174" s="1">
        <v>0.61891864766666671</v>
      </c>
      <c r="S174" s="1">
        <v>3.677909771028956E-2</v>
      </c>
      <c r="T174" t="s">
        <v>321</v>
      </c>
      <c r="U174" s="1">
        <v>23970</v>
      </c>
      <c r="V174">
        <f t="shared" si="8"/>
        <v>0.48662978155929487</v>
      </c>
      <c r="W174" s="1">
        <f t="shared" si="9"/>
        <v>9.7000000000000028</v>
      </c>
      <c r="X174">
        <f t="shared" si="10"/>
        <v>8.301652100000001E-2</v>
      </c>
      <c r="Y174">
        <f t="shared" si="11"/>
        <v>22</v>
      </c>
      <c r="Z174" s="1">
        <v>0</v>
      </c>
      <c r="AA174">
        <v>100</v>
      </c>
      <c r="AB174">
        <v>0</v>
      </c>
      <c r="AC174">
        <v>0</v>
      </c>
      <c r="AD174">
        <v>106</v>
      </c>
      <c r="AE174">
        <v>0</v>
      </c>
      <c r="AF174" t="s">
        <v>2589</v>
      </c>
      <c r="AG174" t="s">
        <v>2589</v>
      </c>
    </row>
    <row r="175" spans="1:33">
      <c r="A175" s="2" t="s">
        <v>143</v>
      </c>
      <c r="B175" s="2" t="s">
        <v>83</v>
      </c>
      <c r="C175" s="1">
        <v>0.52984414300000005</v>
      </c>
      <c r="D175">
        <v>0.66186003599999998</v>
      </c>
      <c r="E175">
        <v>0.66644348499999995</v>
      </c>
      <c r="F175" s="1" t="s">
        <v>144</v>
      </c>
      <c r="G175" s="1">
        <v>1.3529411760000001</v>
      </c>
      <c r="H175" s="1">
        <v>60.7</v>
      </c>
      <c r="I175" s="1">
        <v>107.1</v>
      </c>
      <c r="J175" s="1">
        <v>0.6193825546666667</v>
      </c>
      <c r="K175" s="1">
        <v>0.51815179099999997</v>
      </c>
      <c r="L175" s="1">
        <v>0.50115949400000004</v>
      </c>
      <c r="M175" s="3">
        <v>0.68053170600000001</v>
      </c>
      <c r="N175" s="1" t="s">
        <v>84</v>
      </c>
      <c r="O175" s="1">
        <v>1.760323887</v>
      </c>
      <c r="P175" s="1">
        <v>83.4</v>
      </c>
      <c r="Q175" s="1">
        <v>123.5</v>
      </c>
      <c r="R175" s="1">
        <v>0.56661433033333342</v>
      </c>
      <c r="S175" s="1">
        <v>0.16174007934130147</v>
      </c>
      <c r="T175" t="s">
        <v>322</v>
      </c>
      <c r="U175" s="1">
        <v>33479</v>
      </c>
      <c r="V175">
        <f t="shared" si="8"/>
        <v>0.50275249748541961</v>
      </c>
      <c r="W175" s="1">
        <f t="shared" si="9"/>
        <v>22.700000000000003</v>
      </c>
      <c r="X175">
        <f t="shared" si="10"/>
        <v>0.4073827109999999</v>
      </c>
      <c r="Y175">
        <f t="shared" si="11"/>
        <v>16.400000000000006</v>
      </c>
      <c r="Z175" s="1">
        <v>5</v>
      </c>
      <c r="AA175">
        <v>95</v>
      </c>
      <c r="AB175">
        <v>5.2600000000000001E-2</v>
      </c>
      <c r="AC175">
        <v>6</v>
      </c>
      <c r="AD175">
        <v>95</v>
      </c>
      <c r="AE175">
        <v>6.3200000000000006E-2</v>
      </c>
      <c r="AF175" t="s">
        <v>2589</v>
      </c>
      <c r="AG175" t="s">
        <v>2589</v>
      </c>
    </row>
    <row r="176" spans="1:33">
      <c r="A176" s="2" t="s">
        <v>143</v>
      </c>
      <c r="B176" s="2" t="s">
        <v>85</v>
      </c>
      <c r="C176" s="1">
        <v>0.52984414300000005</v>
      </c>
      <c r="D176">
        <v>0.66186003599999998</v>
      </c>
      <c r="E176">
        <v>0.66644348499999995</v>
      </c>
      <c r="F176" s="1" t="s">
        <v>144</v>
      </c>
      <c r="G176" s="1">
        <v>1.3529411760000001</v>
      </c>
      <c r="H176" s="1">
        <v>60.7</v>
      </c>
      <c r="I176" s="1">
        <v>107.1</v>
      </c>
      <c r="J176" s="1">
        <v>0.6193825546666667</v>
      </c>
      <c r="K176" s="1">
        <v>0.522280945</v>
      </c>
      <c r="L176" s="1">
        <v>0.58016629799999997</v>
      </c>
      <c r="M176" s="3">
        <v>0.62446713499999995</v>
      </c>
      <c r="N176" s="1" t="s">
        <v>86</v>
      </c>
      <c r="O176" s="1">
        <v>0.57177615599999998</v>
      </c>
      <c r="P176" s="1">
        <v>19.5</v>
      </c>
      <c r="Q176" s="1">
        <v>82.2</v>
      </c>
      <c r="R176" s="1">
        <v>0.57563812599999997</v>
      </c>
      <c r="S176" s="1">
        <v>9.2157922891753313E-2</v>
      </c>
      <c r="T176" t="s">
        <v>323</v>
      </c>
      <c r="U176" s="1">
        <v>471</v>
      </c>
      <c r="V176">
        <f t="shared" si="8"/>
        <v>0.29700232301432178</v>
      </c>
      <c r="W176" s="1">
        <f t="shared" si="9"/>
        <v>41.2</v>
      </c>
      <c r="X176">
        <f t="shared" si="10"/>
        <v>0.7811650200000001</v>
      </c>
      <c r="Y176">
        <f t="shared" si="11"/>
        <v>24.899999999999991</v>
      </c>
      <c r="Z176" s="1">
        <v>1</v>
      </c>
      <c r="AA176">
        <v>99</v>
      </c>
      <c r="AB176">
        <v>1.01E-2</v>
      </c>
      <c r="AC176">
        <v>2</v>
      </c>
      <c r="AD176">
        <v>164</v>
      </c>
      <c r="AE176">
        <v>1.2200000000000001E-2</v>
      </c>
      <c r="AF176" t="s">
        <v>2589</v>
      </c>
      <c r="AG176" t="s">
        <v>2590</v>
      </c>
    </row>
    <row r="177" spans="1:33">
      <c r="A177" s="2" t="s">
        <v>143</v>
      </c>
      <c r="B177" s="2" t="s">
        <v>87</v>
      </c>
      <c r="C177" s="1">
        <v>0.52984414300000005</v>
      </c>
      <c r="D177">
        <v>0.66186003599999998</v>
      </c>
      <c r="E177">
        <v>0.66644348499999995</v>
      </c>
      <c r="F177" s="1" t="s">
        <v>144</v>
      </c>
      <c r="G177" s="1">
        <v>1.3529411760000001</v>
      </c>
      <c r="H177" s="1">
        <v>60.7</v>
      </c>
      <c r="I177" s="1">
        <v>107.1</v>
      </c>
      <c r="J177" s="1">
        <v>0.6193825546666667</v>
      </c>
      <c r="K177" s="1">
        <v>0.46780425199999998</v>
      </c>
      <c r="L177" s="1">
        <v>0.54149707400000002</v>
      </c>
      <c r="M177" s="3">
        <v>0.61626236400000001</v>
      </c>
      <c r="N177" s="1" t="s">
        <v>88</v>
      </c>
      <c r="O177" s="1">
        <v>1.395454545</v>
      </c>
      <c r="P177" s="1">
        <v>65.2</v>
      </c>
      <c r="Q177" s="1">
        <v>110</v>
      </c>
      <c r="R177" s="1">
        <v>0.54185456333333337</v>
      </c>
      <c r="S177" s="1">
        <v>0.14441030296181073</v>
      </c>
      <c r="T177" t="s">
        <v>324</v>
      </c>
      <c r="U177" s="1">
        <v>11670</v>
      </c>
      <c r="V177">
        <f t="shared" si="8"/>
        <v>0.4518967617828189</v>
      </c>
      <c r="W177" s="1">
        <f t="shared" si="9"/>
        <v>4.5</v>
      </c>
      <c r="X177">
        <f t="shared" si="10"/>
        <v>4.2513368999999912E-2</v>
      </c>
      <c r="Y177">
        <f t="shared" si="11"/>
        <v>2.9000000000000057</v>
      </c>
      <c r="Z177" s="1">
        <v>8</v>
      </c>
      <c r="AA177">
        <v>92</v>
      </c>
      <c r="AB177">
        <v>8.6999999999999994E-2</v>
      </c>
      <c r="AC177">
        <v>10</v>
      </c>
      <c r="AD177">
        <v>89</v>
      </c>
      <c r="AE177">
        <v>0.1124</v>
      </c>
      <c r="AF177" t="s">
        <v>2589</v>
      </c>
      <c r="AG177" t="s">
        <v>2590</v>
      </c>
    </row>
    <row r="178" spans="1:33">
      <c r="A178" s="2" t="s">
        <v>143</v>
      </c>
      <c r="B178" s="2" t="s">
        <v>89</v>
      </c>
      <c r="C178" s="1">
        <v>0.52984414300000005</v>
      </c>
      <c r="D178">
        <v>0.66186003599999998</v>
      </c>
      <c r="E178">
        <v>0.66644348499999995</v>
      </c>
      <c r="F178" s="1" t="s">
        <v>144</v>
      </c>
      <c r="G178" s="1">
        <v>1.3529411760000001</v>
      </c>
      <c r="H178" s="1">
        <v>60.7</v>
      </c>
      <c r="I178" s="1">
        <v>107.1</v>
      </c>
      <c r="J178" s="1">
        <v>0.6193825546666667</v>
      </c>
      <c r="K178" s="1">
        <v>0.51097051500000001</v>
      </c>
      <c r="L178" s="1">
        <v>0.61917891400000002</v>
      </c>
      <c r="M178" s="3">
        <v>0.60984479800000002</v>
      </c>
      <c r="N178" s="1" t="s">
        <v>90</v>
      </c>
      <c r="O178" s="1">
        <v>1.429752066</v>
      </c>
      <c r="P178" s="1">
        <v>59.8</v>
      </c>
      <c r="Q178" s="1">
        <v>108.9</v>
      </c>
      <c r="R178" s="1">
        <v>0.57999807566666661</v>
      </c>
      <c r="S178" s="1">
        <v>7.335736758625698E-2</v>
      </c>
      <c r="T178" t="s">
        <v>325</v>
      </c>
      <c r="U178" s="1">
        <v>17270</v>
      </c>
      <c r="V178">
        <f t="shared" si="8"/>
        <v>0.47081025972971763</v>
      </c>
      <c r="W178" s="1">
        <f t="shared" si="9"/>
        <v>0.90000000000000568</v>
      </c>
      <c r="X178">
        <f t="shared" si="10"/>
        <v>7.6810889999999965E-2</v>
      </c>
      <c r="Y178">
        <f t="shared" si="11"/>
        <v>1.8000000000000114</v>
      </c>
      <c r="Z178" s="1">
        <v>17</v>
      </c>
      <c r="AA178">
        <v>83</v>
      </c>
      <c r="AB178">
        <v>0.20480000000000001</v>
      </c>
      <c r="AC178">
        <v>19</v>
      </c>
      <c r="AD178">
        <v>89</v>
      </c>
      <c r="AE178">
        <v>0.2135</v>
      </c>
      <c r="AF178" t="s">
        <v>2589</v>
      </c>
      <c r="AG178" t="s">
        <v>2589</v>
      </c>
    </row>
    <row r="179" spans="1:33">
      <c r="A179" s="2" t="s">
        <v>143</v>
      </c>
      <c r="B179" s="2" t="s">
        <v>91</v>
      </c>
      <c r="C179" s="1">
        <v>0.52984414300000005</v>
      </c>
      <c r="D179">
        <v>0.66186003599999998</v>
      </c>
      <c r="E179">
        <v>0.66644348499999995</v>
      </c>
      <c r="F179" s="1" t="s">
        <v>144</v>
      </c>
      <c r="G179" s="1">
        <v>1.3529411760000001</v>
      </c>
      <c r="H179" s="1">
        <v>60.7</v>
      </c>
      <c r="I179" s="1">
        <v>107.1</v>
      </c>
      <c r="J179" s="1">
        <v>0.6193825546666667</v>
      </c>
      <c r="K179" s="1">
        <v>0.37439919700000002</v>
      </c>
      <c r="L179" s="1">
        <v>0.508839347</v>
      </c>
      <c r="M179" s="3">
        <v>0.52701193599999996</v>
      </c>
      <c r="N179" s="1" t="s">
        <v>92</v>
      </c>
      <c r="O179" s="1">
        <v>1.911504425</v>
      </c>
      <c r="P179" s="1">
        <v>24.6</v>
      </c>
      <c r="Q179" s="1">
        <v>33.9</v>
      </c>
      <c r="R179" s="1">
        <v>0.47008349333333332</v>
      </c>
      <c r="S179" s="1">
        <v>0.25888147742841133</v>
      </c>
      <c r="T179" t="s">
        <v>326</v>
      </c>
      <c r="U179" s="1">
        <v>530</v>
      </c>
      <c r="V179">
        <f t="shared" si="8"/>
        <v>0.3026973188445321</v>
      </c>
      <c r="W179" s="1">
        <f t="shared" si="9"/>
        <v>36.1</v>
      </c>
      <c r="X179">
        <f t="shared" si="10"/>
        <v>0.55856324899999987</v>
      </c>
      <c r="Y179">
        <f t="shared" si="11"/>
        <v>73.199999999999989</v>
      </c>
      <c r="Z179" s="1">
        <v>4</v>
      </c>
      <c r="AA179">
        <v>96</v>
      </c>
      <c r="AB179">
        <v>4.1700000000000001E-2</v>
      </c>
      <c r="AC179">
        <v>5</v>
      </c>
      <c r="AD179">
        <v>110</v>
      </c>
      <c r="AE179">
        <v>4.5499999999999999E-2</v>
      </c>
      <c r="AF179" t="s">
        <v>2589</v>
      </c>
      <c r="AG179" t="s">
        <v>2590</v>
      </c>
    </row>
    <row r="180" spans="1:33">
      <c r="A180" s="2" t="s">
        <v>143</v>
      </c>
      <c r="B180" s="2" t="s">
        <v>93</v>
      </c>
      <c r="C180" s="1">
        <v>0.52984414300000005</v>
      </c>
      <c r="D180">
        <v>0.66186003599999998</v>
      </c>
      <c r="E180">
        <v>0.66644348499999995</v>
      </c>
      <c r="F180" s="1" t="s">
        <v>144</v>
      </c>
      <c r="G180" s="1">
        <v>1.3529411760000001</v>
      </c>
      <c r="H180" s="1">
        <v>60.7</v>
      </c>
      <c r="I180" s="1">
        <v>107.1</v>
      </c>
      <c r="J180" s="1">
        <v>0.6193825546666667</v>
      </c>
      <c r="K180" s="1">
        <v>0.54134617200000001</v>
      </c>
      <c r="L180" s="1">
        <v>0.674899633</v>
      </c>
      <c r="M180" s="3">
        <v>0.719840174</v>
      </c>
      <c r="N180" s="1" t="s">
        <v>94</v>
      </c>
      <c r="O180" s="1">
        <v>1.175388967</v>
      </c>
      <c r="P180" s="1">
        <v>36.6</v>
      </c>
      <c r="Q180" s="1">
        <v>70.7</v>
      </c>
      <c r="R180" s="1">
        <v>0.64536199299999997</v>
      </c>
      <c r="S180" s="1">
        <v>5.6156336750201007E-2</v>
      </c>
      <c r="T180" t="s">
        <v>327</v>
      </c>
      <c r="U180" s="1">
        <v>209675</v>
      </c>
      <c r="V180">
        <f t="shared" si="8"/>
        <v>0.59128296129883295</v>
      </c>
      <c r="W180" s="1">
        <f t="shared" si="9"/>
        <v>24.1</v>
      </c>
      <c r="X180">
        <f t="shared" si="10"/>
        <v>0.17755220900000013</v>
      </c>
      <c r="Y180">
        <f t="shared" si="11"/>
        <v>36.399999999999991</v>
      </c>
      <c r="Z180" s="1">
        <v>14</v>
      </c>
      <c r="AA180">
        <v>86</v>
      </c>
      <c r="AB180">
        <v>0.1628</v>
      </c>
      <c r="AC180">
        <v>16</v>
      </c>
      <c r="AD180">
        <v>90</v>
      </c>
      <c r="AE180">
        <v>0.17780000000000001</v>
      </c>
      <c r="AF180" t="s">
        <v>2589</v>
      </c>
      <c r="AG180" t="s">
        <v>2589</v>
      </c>
    </row>
    <row r="181" spans="1:33">
      <c r="A181" s="2" t="s">
        <v>143</v>
      </c>
      <c r="B181" s="2" t="s">
        <v>95</v>
      </c>
      <c r="C181" s="1">
        <v>0.52984414300000005</v>
      </c>
      <c r="D181">
        <v>0.66186003599999998</v>
      </c>
      <c r="E181">
        <v>0.66644348499999995</v>
      </c>
      <c r="F181" s="1" t="s">
        <v>144</v>
      </c>
      <c r="G181" s="1">
        <v>1.3529411760000001</v>
      </c>
      <c r="H181" s="1">
        <v>60.7</v>
      </c>
      <c r="I181" s="1">
        <v>107.1</v>
      </c>
      <c r="J181" s="1">
        <v>0.6193825546666667</v>
      </c>
      <c r="K181" s="1">
        <v>0.59462093100000002</v>
      </c>
      <c r="L181" s="1">
        <v>0.68038960500000001</v>
      </c>
      <c r="M181" s="3">
        <v>0.72533004899999998</v>
      </c>
      <c r="N181" s="1" t="s">
        <v>96</v>
      </c>
      <c r="O181" s="1">
        <v>1.9717647060000001</v>
      </c>
      <c r="P181" s="1">
        <v>34.6</v>
      </c>
      <c r="Q181" s="1">
        <v>42.5</v>
      </c>
      <c r="R181" s="1">
        <v>0.66678019499999996</v>
      </c>
      <c r="S181" s="1">
        <v>8.948186749643082E-2</v>
      </c>
      <c r="T181" t="s">
        <v>328</v>
      </c>
      <c r="U181" s="1">
        <v>404</v>
      </c>
      <c r="V181">
        <f t="shared" si="8"/>
        <v>0.2895979294567339</v>
      </c>
      <c r="W181" s="1">
        <f t="shared" si="9"/>
        <v>26.1</v>
      </c>
      <c r="X181">
        <f t="shared" si="10"/>
        <v>0.61882353000000001</v>
      </c>
      <c r="Y181">
        <f t="shared" si="11"/>
        <v>64.599999999999994</v>
      </c>
      <c r="Z181" s="1">
        <v>0</v>
      </c>
      <c r="AA181">
        <v>100</v>
      </c>
      <c r="AB181">
        <v>0</v>
      </c>
      <c r="AC181">
        <v>0</v>
      </c>
      <c r="AD181">
        <v>112</v>
      </c>
      <c r="AE181">
        <v>0</v>
      </c>
      <c r="AF181" t="s">
        <v>2589</v>
      </c>
      <c r="AG181" t="s">
        <v>2593</v>
      </c>
    </row>
    <row r="182" spans="1:33">
      <c r="A182" s="2" t="s">
        <v>143</v>
      </c>
      <c r="B182" s="2" t="s">
        <v>97</v>
      </c>
      <c r="C182" s="1">
        <v>0.52984414300000005</v>
      </c>
      <c r="D182">
        <v>0.66186003599999998</v>
      </c>
      <c r="E182">
        <v>0.66644348499999995</v>
      </c>
      <c r="F182" s="1" t="s">
        <v>144</v>
      </c>
      <c r="G182" s="1">
        <v>1.3529411760000001</v>
      </c>
      <c r="H182" s="1">
        <v>60.7</v>
      </c>
      <c r="I182" s="1">
        <v>107.1</v>
      </c>
      <c r="J182" s="1">
        <v>0.6193825546666667</v>
      </c>
      <c r="K182" s="1">
        <v>0.63674842300000001</v>
      </c>
      <c r="L182" s="1">
        <v>0.68532635500000005</v>
      </c>
      <c r="M182" s="3">
        <v>0.727031494</v>
      </c>
      <c r="N182" s="1" t="s">
        <v>98</v>
      </c>
      <c r="O182" s="1">
        <v>2.360103627</v>
      </c>
      <c r="P182" s="1">
        <v>36.799999999999997</v>
      </c>
      <c r="Q182" s="1">
        <v>38.6</v>
      </c>
      <c r="R182" s="1">
        <v>0.68303542400000017</v>
      </c>
      <c r="S182" s="1">
        <v>0.12510035988881982</v>
      </c>
      <c r="T182" t="s">
        <v>329</v>
      </c>
      <c r="U182" s="1">
        <v>664</v>
      </c>
      <c r="V182">
        <f t="shared" si="8"/>
        <v>0.31357423104089083</v>
      </c>
      <c r="W182" s="1">
        <f t="shared" si="9"/>
        <v>23.900000000000006</v>
      </c>
      <c r="X182">
        <f t="shared" si="10"/>
        <v>1.0071624509999999</v>
      </c>
      <c r="Y182">
        <f t="shared" si="11"/>
        <v>68.5</v>
      </c>
      <c r="Z182" s="1">
        <v>0</v>
      </c>
      <c r="AA182">
        <v>100</v>
      </c>
      <c r="AB182">
        <v>0</v>
      </c>
      <c r="AC182">
        <v>0</v>
      </c>
      <c r="AD182">
        <v>112</v>
      </c>
      <c r="AE182">
        <v>0</v>
      </c>
      <c r="AF182" t="s">
        <v>2589</v>
      </c>
      <c r="AG182" t="s">
        <v>2593</v>
      </c>
    </row>
    <row r="183" spans="1:33">
      <c r="A183" s="2" t="s">
        <v>143</v>
      </c>
      <c r="B183" s="2" t="s">
        <v>99</v>
      </c>
      <c r="C183" s="1">
        <v>0.52984414300000005</v>
      </c>
      <c r="D183">
        <v>0.66186003599999998</v>
      </c>
      <c r="E183">
        <v>0.66644348499999995</v>
      </c>
      <c r="F183" s="1" t="s">
        <v>144</v>
      </c>
      <c r="G183" s="1">
        <v>1.3529411760000001</v>
      </c>
      <c r="H183" s="1">
        <v>60.7</v>
      </c>
      <c r="I183" s="1">
        <v>107.1</v>
      </c>
      <c r="J183" s="1">
        <v>0.6193825546666667</v>
      </c>
      <c r="K183" s="1">
        <v>0.52525630099999998</v>
      </c>
      <c r="L183" s="1">
        <v>0.68706170200000005</v>
      </c>
      <c r="M183" s="3">
        <v>0.71473597300000002</v>
      </c>
      <c r="N183" s="1" t="s">
        <v>100</v>
      </c>
      <c r="O183" s="1">
        <v>1.72605042</v>
      </c>
      <c r="P183" s="1">
        <v>46.5</v>
      </c>
      <c r="Q183" s="1">
        <v>59.5</v>
      </c>
      <c r="R183" s="1">
        <v>0.64235132533333339</v>
      </c>
      <c r="S183" s="1">
        <v>5.4665680830139445E-2</v>
      </c>
      <c r="T183" t="s">
        <v>330</v>
      </c>
      <c r="U183" s="1">
        <v>25462</v>
      </c>
      <c r="V183">
        <f t="shared" si="8"/>
        <v>0.48954361264500651</v>
      </c>
      <c r="W183" s="1">
        <f t="shared" si="9"/>
        <v>14.200000000000003</v>
      </c>
      <c r="X183">
        <f t="shared" si="10"/>
        <v>0.3731092439999999</v>
      </c>
      <c r="Y183">
        <f t="shared" si="11"/>
        <v>47.599999999999994</v>
      </c>
      <c r="Z183" s="1">
        <v>0</v>
      </c>
      <c r="AA183">
        <v>100</v>
      </c>
      <c r="AB183">
        <v>0</v>
      </c>
      <c r="AC183">
        <v>0</v>
      </c>
      <c r="AD183">
        <v>114</v>
      </c>
      <c r="AE183">
        <v>0</v>
      </c>
      <c r="AF183" t="s">
        <v>2589</v>
      </c>
      <c r="AG183" t="s">
        <v>2589</v>
      </c>
    </row>
    <row r="184" spans="1:33">
      <c r="A184" s="2" t="s">
        <v>143</v>
      </c>
      <c r="B184" s="2" t="s">
        <v>148</v>
      </c>
      <c r="C184" s="1">
        <v>0.52984414300000005</v>
      </c>
      <c r="D184">
        <v>0.66186003599999998</v>
      </c>
      <c r="E184">
        <v>0.66644348499999995</v>
      </c>
      <c r="F184" s="1" t="s">
        <v>144</v>
      </c>
      <c r="G184" s="1">
        <v>1.3529411760000001</v>
      </c>
      <c r="H184" s="1">
        <v>60.7</v>
      </c>
      <c r="I184" s="1">
        <v>107.1</v>
      </c>
      <c r="J184" s="1">
        <v>0.6193825546666667</v>
      </c>
      <c r="K184" s="1">
        <v>0.52246277500000005</v>
      </c>
      <c r="L184" s="1">
        <v>0.64036274199999998</v>
      </c>
      <c r="M184" s="3">
        <v>0.62317592099999997</v>
      </c>
      <c r="N184" s="1" t="s">
        <v>149</v>
      </c>
      <c r="O184" s="1">
        <v>1.201000834</v>
      </c>
      <c r="P184" s="1">
        <v>59.2</v>
      </c>
      <c r="Q184" s="1">
        <v>119.9</v>
      </c>
      <c r="R184" s="1">
        <v>0.59533381266666663</v>
      </c>
      <c r="S184" s="1">
        <v>4.8874332091272149E-2</v>
      </c>
      <c r="T184" t="s">
        <v>352</v>
      </c>
      <c r="U184" s="1">
        <v>11949</v>
      </c>
      <c r="V184">
        <f t="shared" si="8"/>
        <v>0.45303684012544337</v>
      </c>
      <c r="W184" s="1">
        <f t="shared" si="9"/>
        <v>1.5</v>
      </c>
      <c r="X184">
        <f t="shared" si="10"/>
        <v>0.15194034200000006</v>
      </c>
      <c r="Y184">
        <f t="shared" si="11"/>
        <v>12.800000000000011</v>
      </c>
      <c r="Z184" s="1">
        <v>18</v>
      </c>
      <c r="AA184">
        <v>82</v>
      </c>
      <c r="AB184">
        <v>0.2195</v>
      </c>
      <c r="AC184">
        <v>19</v>
      </c>
      <c r="AD184">
        <v>90</v>
      </c>
      <c r="AE184">
        <v>0.21110000000000001</v>
      </c>
      <c r="AF184" t="s">
        <v>2589</v>
      </c>
      <c r="AG184" t="s">
        <v>2589</v>
      </c>
    </row>
    <row r="185" spans="1:33">
      <c r="A185" s="2" t="s">
        <v>143</v>
      </c>
      <c r="B185" s="2" t="s">
        <v>101</v>
      </c>
      <c r="C185" s="1">
        <v>0.52984414300000005</v>
      </c>
      <c r="D185">
        <v>0.66186003599999998</v>
      </c>
      <c r="E185">
        <v>0.66644348499999995</v>
      </c>
      <c r="F185" s="1" t="s">
        <v>144</v>
      </c>
      <c r="G185" s="1">
        <v>1.3529411760000001</v>
      </c>
      <c r="H185" s="1">
        <v>60.7</v>
      </c>
      <c r="I185" s="1">
        <v>107.1</v>
      </c>
      <c r="J185" s="1">
        <v>0.6193825546666667</v>
      </c>
      <c r="K185" s="1">
        <v>0.57277697599999999</v>
      </c>
      <c r="L185" s="1">
        <v>0.64568820599999999</v>
      </c>
      <c r="M185" s="3">
        <v>0.70909993500000001</v>
      </c>
      <c r="N185" s="1" t="s">
        <v>102</v>
      </c>
      <c r="O185" s="1">
        <v>1.2818181820000001</v>
      </c>
      <c r="P185" s="1">
        <v>58</v>
      </c>
      <c r="Q185" s="1">
        <v>110</v>
      </c>
      <c r="R185" s="1">
        <v>0.64252170566666666</v>
      </c>
      <c r="S185" s="1">
        <v>6.2644464731988009E-2</v>
      </c>
      <c r="T185" t="s">
        <v>331</v>
      </c>
      <c r="U185" s="1">
        <v>9288</v>
      </c>
      <c r="V185">
        <f t="shared" si="8"/>
        <v>0.4408802451922797</v>
      </c>
      <c r="W185" s="1">
        <f t="shared" si="9"/>
        <v>2.7000000000000028</v>
      </c>
      <c r="X185">
        <f t="shared" si="10"/>
        <v>7.1122993999999995E-2</v>
      </c>
      <c r="Y185">
        <f t="shared" si="11"/>
        <v>2.9000000000000057</v>
      </c>
      <c r="Z185" s="1">
        <v>6</v>
      </c>
      <c r="AA185">
        <v>94</v>
      </c>
      <c r="AB185">
        <v>6.3799999999999996E-2</v>
      </c>
      <c r="AC185">
        <v>8</v>
      </c>
      <c r="AD185">
        <v>99</v>
      </c>
      <c r="AE185">
        <v>8.0799999999999997E-2</v>
      </c>
      <c r="AF185" t="s">
        <v>2589</v>
      </c>
      <c r="AG185" t="s">
        <v>2589</v>
      </c>
    </row>
    <row r="186" spans="1:33">
      <c r="A186" s="2" t="s">
        <v>143</v>
      </c>
      <c r="B186" s="2" t="s">
        <v>103</v>
      </c>
      <c r="C186" s="1">
        <v>0.52984414300000005</v>
      </c>
      <c r="D186">
        <v>0.66186003599999998</v>
      </c>
      <c r="E186">
        <v>0.66644348499999995</v>
      </c>
      <c r="F186" s="1" t="s">
        <v>144</v>
      </c>
      <c r="G186" s="1">
        <v>1.3529411760000001</v>
      </c>
      <c r="H186" s="1">
        <v>60.7</v>
      </c>
      <c r="I186" s="1">
        <v>107.1</v>
      </c>
      <c r="J186" s="1">
        <v>0.6193825546666667</v>
      </c>
      <c r="K186" s="1">
        <v>0.58538445800000005</v>
      </c>
      <c r="L186" s="1">
        <v>0.70461059999999998</v>
      </c>
      <c r="M186" s="3">
        <v>0.67846608399999997</v>
      </c>
      <c r="N186" s="1" t="s">
        <v>104</v>
      </c>
      <c r="O186" s="1">
        <v>1.1020080320000001</v>
      </c>
      <c r="P186" s="1">
        <v>58.7</v>
      </c>
      <c r="Q186" s="1">
        <v>124.5</v>
      </c>
      <c r="R186" s="1">
        <v>0.65615371400000011</v>
      </c>
      <c r="S186" s="1">
        <v>7.1111744454289139E-2</v>
      </c>
      <c r="T186" t="s">
        <v>332</v>
      </c>
      <c r="U186" s="1">
        <v>14427</v>
      </c>
      <c r="V186">
        <f t="shared" si="8"/>
        <v>0.4621306701992744</v>
      </c>
      <c r="W186" s="1">
        <f t="shared" si="9"/>
        <v>2</v>
      </c>
      <c r="X186">
        <f t="shared" si="10"/>
        <v>0.250933144</v>
      </c>
      <c r="Y186">
        <f t="shared" si="11"/>
        <v>17.400000000000006</v>
      </c>
      <c r="Z186" s="1">
        <v>3</v>
      </c>
      <c r="AA186">
        <v>97</v>
      </c>
      <c r="AB186">
        <v>3.09E-2</v>
      </c>
      <c r="AC186">
        <v>3</v>
      </c>
      <c r="AD186">
        <v>105</v>
      </c>
      <c r="AE186">
        <v>2.86E-2</v>
      </c>
      <c r="AF186" t="s">
        <v>2589</v>
      </c>
      <c r="AG186" t="s">
        <v>2589</v>
      </c>
    </row>
    <row r="187" spans="1:33">
      <c r="A187" s="2" t="s">
        <v>143</v>
      </c>
      <c r="B187" s="2" t="s">
        <v>105</v>
      </c>
      <c r="C187" s="1">
        <v>0.52984414300000005</v>
      </c>
      <c r="D187">
        <v>0.66186003599999998</v>
      </c>
      <c r="E187">
        <v>0.66644348499999995</v>
      </c>
      <c r="F187" s="1" t="s">
        <v>144</v>
      </c>
      <c r="G187" s="1">
        <v>1.3529411760000001</v>
      </c>
      <c r="H187" s="1">
        <v>60.7</v>
      </c>
      <c r="I187" s="1">
        <v>107.1</v>
      </c>
      <c r="J187" s="1">
        <v>0.6193825546666667</v>
      </c>
      <c r="K187" s="1">
        <v>0.56210716000000005</v>
      </c>
      <c r="L187" s="1">
        <v>0.68032504299999996</v>
      </c>
      <c r="M187" s="3">
        <v>0.71115907899999997</v>
      </c>
      <c r="N187" s="1" t="s">
        <v>106</v>
      </c>
      <c r="O187" s="1">
        <v>1.0978593270000001</v>
      </c>
      <c r="P187" s="1">
        <v>43.5</v>
      </c>
      <c r="Q187" s="1">
        <v>98.1</v>
      </c>
      <c r="R187" s="1">
        <v>0.65119709399999992</v>
      </c>
      <c r="S187" s="1">
        <v>5.8149317246423249E-2</v>
      </c>
      <c r="T187" t="s">
        <v>333</v>
      </c>
      <c r="U187" s="1">
        <v>11754</v>
      </c>
      <c r="V187">
        <f t="shared" si="8"/>
        <v>0.45224285404204223</v>
      </c>
      <c r="W187" s="1">
        <f t="shared" si="9"/>
        <v>17.200000000000003</v>
      </c>
      <c r="X187">
        <f t="shared" si="10"/>
        <v>0.25508184899999997</v>
      </c>
      <c r="Y187">
        <f t="shared" si="11"/>
        <v>9</v>
      </c>
      <c r="Z187" s="1">
        <v>0</v>
      </c>
      <c r="AA187">
        <v>100</v>
      </c>
      <c r="AB187">
        <v>0</v>
      </c>
      <c r="AC187">
        <v>0</v>
      </c>
      <c r="AD187">
        <v>126</v>
      </c>
      <c r="AE187">
        <v>0</v>
      </c>
      <c r="AF187" t="s">
        <v>2589</v>
      </c>
      <c r="AG187" t="s">
        <v>2589</v>
      </c>
    </row>
    <row r="188" spans="1:33">
      <c r="A188" s="2" t="s">
        <v>143</v>
      </c>
      <c r="B188" s="2" t="s">
        <v>107</v>
      </c>
      <c r="C188" s="1">
        <v>0.52984414300000005</v>
      </c>
      <c r="D188">
        <v>0.66186003599999998</v>
      </c>
      <c r="E188">
        <v>0.66644348499999995</v>
      </c>
      <c r="F188" s="1" t="s">
        <v>144</v>
      </c>
      <c r="G188" s="1">
        <v>1.3529411760000001</v>
      </c>
      <c r="H188" s="1">
        <v>60.7</v>
      </c>
      <c r="I188" s="1">
        <v>107.1</v>
      </c>
      <c r="J188" s="1">
        <v>0.6193825546666667</v>
      </c>
      <c r="K188" s="1">
        <v>0.61734740899999996</v>
      </c>
      <c r="L188" s="1">
        <v>0.68293216999999995</v>
      </c>
      <c r="M188" s="3">
        <v>0.69981194099999999</v>
      </c>
      <c r="N188" s="1" t="s">
        <v>108</v>
      </c>
      <c r="O188" s="1">
        <v>2</v>
      </c>
      <c r="P188" s="1">
        <v>19</v>
      </c>
      <c r="Q188" s="1">
        <v>21.1</v>
      </c>
      <c r="R188" s="1">
        <v>0.66669717333333323</v>
      </c>
      <c r="S188" s="1">
        <v>9.5991198803872815E-2</v>
      </c>
      <c r="T188" t="s">
        <v>334</v>
      </c>
      <c r="U188" s="1">
        <v>3880</v>
      </c>
      <c r="V188">
        <f t="shared" si="8"/>
        <v>0.39875908062157861</v>
      </c>
      <c r="W188" s="1">
        <f t="shared" si="9"/>
        <v>41.7</v>
      </c>
      <c r="X188">
        <f t="shared" si="10"/>
        <v>0.64705882399999992</v>
      </c>
      <c r="Y188">
        <f t="shared" si="11"/>
        <v>86</v>
      </c>
      <c r="Z188" s="1">
        <v>0</v>
      </c>
      <c r="AA188">
        <v>100</v>
      </c>
      <c r="AB188">
        <v>0</v>
      </c>
      <c r="AC188">
        <v>1</v>
      </c>
      <c r="AD188">
        <v>101</v>
      </c>
      <c r="AE188">
        <v>9.9000000000000008E-3</v>
      </c>
      <c r="AF188" t="s">
        <v>2589</v>
      </c>
      <c r="AG188" t="s">
        <v>2588</v>
      </c>
    </row>
    <row r="189" spans="1:33">
      <c r="A189" s="2" t="s">
        <v>143</v>
      </c>
      <c r="B189" s="2" t="s">
        <v>109</v>
      </c>
      <c r="C189" s="1">
        <v>0.52984414300000005</v>
      </c>
      <c r="D189">
        <v>0.66186003599999998</v>
      </c>
      <c r="E189">
        <v>0.66644348499999995</v>
      </c>
      <c r="F189" s="1" t="s">
        <v>144</v>
      </c>
      <c r="G189" s="1">
        <v>1.3529411760000001</v>
      </c>
      <c r="H189" s="1">
        <v>60.7</v>
      </c>
      <c r="I189" s="1">
        <v>107.1</v>
      </c>
      <c r="J189" s="1">
        <v>0.6193825546666667</v>
      </c>
      <c r="K189" s="1">
        <v>0.51638908800000005</v>
      </c>
      <c r="L189" s="1">
        <v>0.68684605300000001</v>
      </c>
      <c r="M189" s="3">
        <v>0.66065444600000001</v>
      </c>
      <c r="N189" s="1" t="s">
        <v>110</v>
      </c>
      <c r="O189" s="1">
        <v>1.2897862229999999</v>
      </c>
      <c r="P189" s="1">
        <v>49.4</v>
      </c>
      <c r="Q189" s="1">
        <v>84.2</v>
      </c>
      <c r="R189" s="1">
        <v>0.62129652899999999</v>
      </c>
      <c r="S189" s="1">
        <v>2.8962950870393637E-2</v>
      </c>
      <c r="T189" t="s">
        <v>335</v>
      </c>
      <c r="U189" s="1">
        <v>13539</v>
      </c>
      <c r="V189">
        <f t="shared" si="8"/>
        <v>0.4590651764710898</v>
      </c>
      <c r="W189" s="1">
        <f t="shared" si="9"/>
        <v>11.300000000000004</v>
      </c>
      <c r="X189">
        <f t="shared" si="10"/>
        <v>6.315495300000018E-2</v>
      </c>
      <c r="Y189">
        <f t="shared" si="11"/>
        <v>22.899999999999991</v>
      </c>
      <c r="Z189" s="1">
        <v>19</v>
      </c>
      <c r="AA189">
        <v>81</v>
      </c>
      <c r="AB189">
        <v>0.2346</v>
      </c>
      <c r="AC189">
        <v>24</v>
      </c>
      <c r="AD189">
        <v>99</v>
      </c>
      <c r="AE189">
        <v>0.2424</v>
      </c>
      <c r="AF189" t="s">
        <v>2589</v>
      </c>
      <c r="AG189" t="s">
        <v>2589</v>
      </c>
    </row>
    <row r="190" spans="1:33">
      <c r="A190" s="2" t="s">
        <v>143</v>
      </c>
      <c r="B190" s="2" t="s">
        <v>111</v>
      </c>
      <c r="C190" s="1">
        <v>0.52984414300000005</v>
      </c>
      <c r="D190">
        <v>0.66186003599999998</v>
      </c>
      <c r="E190">
        <v>0.66644348499999995</v>
      </c>
      <c r="F190" s="1" t="s">
        <v>144</v>
      </c>
      <c r="G190" s="1">
        <v>1.3529411760000001</v>
      </c>
      <c r="H190" s="1">
        <v>60.7</v>
      </c>
      <c r="I190" s="1">
        <v>107.1</v>
      </c>
      <c r="J190" s="1">
        <v>0.6193825546666667</v>
      </c>
      <c r="K190" s="1">
        <v>0.60132418300000001</v>
      </c>
      <c r="L190" s="1">
        <v>0.67605095299999995</v>
      </c>
      <c r="M190" s="3">
        <v>0.74222981799999999</v>
      </c>
      <c r="N190" s="1" t="s">
        <v>112</v>
      </c>
      <c r="O190" s="1">
        <v>1.561403509</v>
      </c>
      <c r="P190" s="1">
        <v>30</v>
      </c>
      <c r="Q190" s="1">
        <v>45.6</v>
      </c>
      <c r="R190" s="1">
        <v>0.67320165133333332</v>
      </c>
      <c r="S190" s="1">
        <v>0.10513965243089488</v>
      </c>
      <c r="T190" t="s">
        <v>336</v>
      </c>
      <c r="U190" s="1">
        <v>1207</v>
      </c>
      <c r="V190">
        <f t="shared" si="8"/>
        <v>0.34241191889970546</v>
      </c>
      <c r="W190" s="1">
        <f t="shared" si="9"/>
        <v>30.700000000000003</v>
      </c>
      <c r="X190">
        <f t="shared" si="10"/>
        <v>0.20846233299999994</v>
      </c>
      <c r="Y190">
        <f t="shared" si="11"/>
        <v>61.499999999999993</v>
      </c>
      <c r="Z190" s="1">
        <v>1</v>
      </c>
      <c r="AA190">
        <v>99</v>
      </c>
      <c r="AB190">
        <v>1.01E-2</v>
      </c>
      <c r="AC190">
        <v>2</v>
      </c>
      <c r="AD190">
        <v>116</v>
      </c>
      <c r="AE190">
        <v>1.72E-2</v>
      </c>
      <c r="AF190" t="s">
        <v>2589</v>
      </c>
      <c r="AG190" t="s">
        <v>2591</v>
      </c>
    </row>
    <row r="191" spans="1:33">
      <c r="A191" s="2" t="s">
        <v>143</v>
      </c>
      <c r="B191" s="2" t="s">
        <v>113</v>
      </c>
      <c r="C191" s="1">
        <v>0.52984414300000005</v>
      </c>
      <c r="D191">
        <v>0.66186003599999998</v>
      </c>
      <c r="E191">
        <v>0.66644348499999995</v>
      </c>
      <c r="F191" s="1" t="s">
        <v>144</v>
      </c>
      <c r="G191" s="1">
        <v>1.3529411760000001</v>
      </c>
      <c r="H191" s="1">
        <v>60.7</v>
      </c>
      <c r="I191" s="1">
        <v>107.1</v>
      </c>
      <c r="J191" s="1">
        <v>0.6193825546666667</v>
      </c>
      <c r="K191" s="1">
        <v>0.57440698499999998</v>
      </c>
      <c r="L191" s="1">
        <v>0.66920790399999996</v>
      </c>
      <c r="M191" s="3">
        <v>0.71602402300000001</v>
      </c>
      <c r="N191" s="1" t="s">
        <v>114</v>
      </c>
      <c r="O191" s="1">
        <v>2.5573248409999998</v>
      </c>
      <c r="P191" s="1">
        <v>34.299999999999997</v>
      </c>
      <c r="Q191" s="1">
        <v>31.4</v>
      </c>
      <c r="R191" s="1">
        <v>0.65321297066666661</v>
      </c>
      <c r="S191" s="1">
        <v>6.706763600748003E-2</v>
      </c>
      <c r="T191" t="s">
        <v>337</v>
      </c>
      <c r="U191" s="1">
        <v>5156</v>
      </c>
      <c r="V191">
        <f t="shared" si="8"/>
        <v>0.41247921207570726</v>
      </c>
      <c r="W191" s="1">
        <f t="shared" si="9"/>
        <v>26.400000000000006</v>
      </c>
      <c r="X191">
        <f t="shared" si="10"/>
        <v>1.2043836649999997</v>
      </c>
      <c r="Y191">
        <f t="shared" si="11"/>
        <v>75.699999999999989</v>
      </c>
      <c r="Z191" s="1">
        <v>0</v>
      </c>
      <c r="AA191">
        <v>100</v>
      </c>
      <c r="AB191">
        <v>0</v>
      </c>
      <c r="AC191">
        <v>0</v>
      </c>
      <c r="AD191">
        <v>112</v>
      </c>
      <c r="AE191">
        <v>0</v>
      </c>
      <c r="AF191" t="s">
        <v>2589</v>
      </c>
      <c r="AG191" t="s">
        <v>2593</v>
      </c>
    </row>
    <row r="192" spans="1:33">
      <c r="A192" s="2" t="s">
        <v>143</v>
      </c>
      <c r="B192" s="2" t="s">
        <v>115</v>
      </c>
      <c r="C192" s="1">
        <v>0.52984414300000005</v>
      </c>
      <c r="D192">
        <v>0.66186003599999998</v>
      </c>
      <c r="E192">
        <v>0.66644348499999995</v>
      </c>
      <c r="F192" s="1" t="s">
        <v>144</v>
      </c>
      <c r="G192" s="1">
        <v>1.3529411760000001</v>
      </c>
      <c r="H192" s="1">
        <v>60.7</v>
      </c>
      <c r="I192" s="1">
        <v>107.1</v>
      </c>
      <c r="J192" s="1">
        <v>0.6193825546666667</v>
      </c>
      <c r="K192" s="1">
        <v>0.55237211100000005</v>
      </c>
      <c r="L192" s="1">
        <v>0.65961031000000003</v>
      </c>
      <c r="M192" s="3">
        <v>0.69215541599999997</v>
      </c>
      <c r="N192" s="1" t="s">
        <v>116</v>
      </c>
      <c r="O192" s="1">
        <v>1.149700599</v>
      </c>
      <c r="P192" s="1">
        <v>66.900000000000006</v>
      </c>
      <c r="Q192" s="1">
        <v>133.6</v>
      </c>
      <c r="R192" s="1">
        <v>0.63471261233333331</v>
      </c>
      <c r="S192" s="1">
        <v>3.4258925917676729E-2</v>
      </c>
      <c r="T192" t="s">
        <v>338</v>
      </c>
      <c r="U192" s="1">
        <v>18350</v>
      </c>
      <c r="V192">
        <f t="shared" si="8"/>
        <v>0.47373734095423425</v>
      </c>
      <c r="W192" s="1">
        <f t="shared" si="9"/>
        <v>6.2000000000000028</v>
      </c>
      <c r="X192">
        <f t="shared" si="10"/>
        <v>0.20324057700000009</v>
      </c>
      <c r="Y192">
        <f t="shared" si="11"/>
        <v>26.5</v>
      </c>
      <c r="Z192" s="1">
        <v>9</v>
      </c>
      <c r="AA192">
        <v>91</v>
      </c>
      <c r="AB192">
        <v>9.8900000000000002E-2</v>
      </c>
      <c r="AC192">
        <v>11</v>
      </c>
      <c r="AD192">
        <v>106</v>
      </c>
      <c r="AE192">
        <v>0.1038</v>
      </c>
      <c r="AF192" t="s">
        <v>2589</v>
      </c>
      <c r="AG192" t="s">
        <v>2589</v>
      </c>
    </row>
    <row r="193" spans="1:33">
      <c r="A193" s="2" t="s">
        <v>143</v>
      </c>
      <c r="B193" s="2" t="s">
        <v>117</v>
      </c>
      <c r="C193" s="1">
        <v>0.52984414300000005</v>
      </c>
      <c r="D193">
        <v>0.66186003599999998</v>
      </c>
      <c r="E193">
        <v>0.66644348499999995</v>
      </c>
      <c r="F193" s="1" t="s">
        <v>144</v>
      </c>
      <c r="G193" s="1">
        <v>1.3529411760000001</v>
      </c>
      <c r="H193" s="1">
        <v>60.7</v>
      </c>
      <c r="I193" s="1">
        <v>107.1</v>
      </c>
      <c r="J193" s="1">
        <v>0.6193825546666667</v>
      </c>
      <c r="K193" s="1">
        <v>0.52788907299999999</v>
      </c>
      <c r="L193" s="1">
        <v>0.665074418</v>
      </c>
      <c r="M193" s="3">
        <v>0.69056128699999997</v>
      </c>
      <c r="N193" s="1" t="s">
        <v>118</v>
      </c>
      <c r="O193" s="1">
        <v>1.0818253339999999</v>
      </c>
      <c r="P193" s="1">
        <v>58.4</v>
      </c>
      <c r="Q193" s="1">
        <v>127.1</v>
      </c>
      <c r="R193" s="1">
        <v>0.62784159266666661</v>
      </c>
      <c r="S193" s="1">
        <v>2.4409484297256864E-2</v>
      </c>
      <c r="T193" t="s">
        <v>339</v>
      </c>
      <c r="U193" s="1">
        <v>132496</v>
      </c>
      <c r="V193">
        <f t="shared" si="8"/>
        <v>0.56913364081090134</v>
      </c>
      <c r="W193" s="1">
        <f t="shared" si="9"/>
        <v>2.3000000000000043</v>
      </c>
      <c r="X193">
        <f t="shared" si="10"/>
        <v>0.27111584200000016</v>
      </c>
      <c r="Y193">
        <f t="shared" si="11"/>
        <v>20</v>
      </c>
      <c r="Z193" s="1">
        <v>36</v>
      </c>
      <c r="AA193">
        <v>64</v>
      </c>
      <c r="AB193">
        <v>0.5625</v>
      </c>
      <c r="AC193">
        <v>49</v>
      </c>
      <c r="AD193">
        <v>80</v>
      </c>
      <c r="AE193">
        <v>0.61250000000000004</v>
      </c>
      <c r="AF193" t="s">
        <v>2589</v>
      </c>
      <c r="AG193" t="s">
        <v>2589</v>
      </c>
    </row>
    <row r="194" spans="1:33">
      <c r="A194" s="2" t="s">
        <v>143</v>
      </c>
      <c r="B194" s="2" t="s">
        <v>119</v>
      </c>
      <c r="C194" s="1">
        <v>0.52984414300000005</v>
      </c>
      <c r="D194">
        <v>0.66186003599999998</v>
      </c>
      <c r="E194">
        <v>0.66644348499999995</v>
      </c>
      <c r="F194" s="1" t="s">
        <v>144</v>
      </c>
      <c r="G194" s="1">
        <v>1.3529411760000001</v>
      </c>
      <c r="H194" s="1">
        <v>60.7</v>
      </c>
      <c r="I194" s="1">
        <v>107.1</v>
      </c>
      <c r="J194" s="1">
        <v>0.6193825546666667</v>
      </c>
      <c r="K194" s="1">
        <v>0.48582609999999998</v>
      </c>
      <c r="L194" s="1">
        <v>0.67226483999999997</v>
      </c>
      <c r="M194" s="3">
        <v>0.68571362400000002</v>
      </c>
      <c r="N194" s="1" t="s">
        <v>120</v>
      </c>
      <c r="O194" s="1">
        <v>1.1435028249999999</v>
      </c>
      <c r="P194" s="1">
        <v>42.6</v>
      </c>
      <c r="Q194" s="1">
        <v>88.5</v>
      </c>
      <c r="R194" s="1">
        <v>0.61460152133333334</v>
      </c>
      <c r="S194" s="1">
        <v>4.9164889025681668E-2</v>
      </c>
      <c r="T194" t="s">
        <v>340</v>
      </c>
      <c r="U194" s="1">
        <v>31058</v>
      </c>
      <c r="V194">
        <f t="shared" ref="V194:V257" si="12">LOG10(U194) / 9</f>
        <v>0.49913038729098663</v>
      </c>
      <c r="W194" s="1">
        <f t="shared" ref="W194:W257" si="13">ABS(H194-P194)</f>
        <v>18.100000000000001</v>
      </c>
      <c r="X194">
        <f t="shared" ref="X194:X257" si="14">ABS(G194-O194)</f>
        <v>0.20943835100000019</v>
      </c>
      <c r="Y194">
        <f t="shared" ref="Y194:Y257" si="15">ABS(I194-Q194)</f>
        <v>18.599999999999994</v>
      </c>
      <c r="Z194" s="1">
        <v>16</v>
      </c>
      <c r="AA194">
        <v>84</v>
      </c>
      <c r="AB194">
        <v>0.1905</v>
      </c>
      <c r="AC194">
        <v>19</v>
      </c>
      <c r="AD194">
        <v>98</v>
      </c>
      <c r="AE194">
        <v>0.19389999999999999</v>
      </c>
      <c r="AF194" t="s">
        <v>2589</v>
      </c>
      <c r="AG194" t="s">
        <v>2589</v>
      </c>
    </row>
    <row r="195" spans="1:33">
      <c r="A195" s="2" t="s">
        <v>143</v>
      </c>
      <c r="B195" s="2" t="s">
        <v>121</v>
      </c>
      <c r="C195" s="1">
        <v>0.52984414300000005</v>
      </c>
      <c r="D195">
        <v>0.66186003599999998</v>
      </c>
      <c r="E195">
        <v>0.66644348499999995</v>
      </c>
      <c r="F195" s="1" t="s">
        <v>144</v>
      </c>
      <c r="G195" s="1">
        <v>1.3529411760000001</v>
      </c>
      <c r="H195" s="1">
        <v>60.7</v>
      </c>
      <c r="I195" s="1">
        <v>107.1</v>
      </c>
      <c r="J195" s="1">
        <v>0.6193825546666667</v>
      </c>
      <c r="K195" s="1">
        <v>0.57363214500000004</v>
      </c>
      <c r="L195" s="1">
        <v>0.65876685800000001</v>
      </c>
      <c r="M195" s="3">
        <v>0.71110834000000001</v>
      </c>
      <c r="N195" s="1" t="s">
        <v>122</v>
      </c>
      <c r="O195" s="1">
        <v>2.4518664050000001</v>
      </c>
      <c r="P195" s="1">
        <v>50.1</v>
      </c>
      <c r="Q195" s="1">
        <v>50.9</v>
      </c>
      <c r="R195" s="1">
        <v>0.64783578100000005</v>
      </c>
      <c r="S195" s="1">
        <v>6.2625123883811334E-2</v>
      </c>
      <c r="T195" t="s">
        <v>341</v>
      </c>
      <c r="U195" s="1">
        <v>3084</v>
      </c>
      <c r="V195">
        <f t="shared" si="12"/>
        <v>0.38767937437543548</v>
      </c>
      <c r="W195" s="1">
        <f t="shared" si="13"/>
        <v>10.600000000000001</v>
      </c>
      <c r="X195">
        <f t="shared" si="14"/>
        <v>1.098925229</v>
      </c>
      <c r="Y195">
        <f t="shared" si="15"/>
        <v>56.199999999999996</v>
      </c>
      <c r="Z195" s="1">
        <v>1</v>
      </c>
      <c r="AA195">
        <v>99</v>
      </c>
      <c r="AB195">
        <v>1.01E-2</v>
      </c>
      <c r="AC195">
        <v>2</v>
      </c>
      <c r="AD195">
        <v>122</v>
      </c>
      <c r="AE195">
        <v>1.6400000000000001E-2</v>
      </c>
      <c r="AF195" t="s">
        <v>2589</v>
      </c>
      <c r="AG195" t="s">
        <v>2593</v>
      </c>
    </row>
    <row r="196" spans="1:33">
      <c r="A196" s="2" t="s">
        <v>143</v>
      </c>
      <c r="B196" s="2" t="s">
        <v>123</v>
      </c>
      <c r="C196" s="1">
        <v>0.52984414300000005</v>
      </c>
      <c r="D196">
        <v>0.66186003599999998</v>
      </c>
      <c r="E196">
        <v>0.66644348499999995</v>
      </c>
      <c r="F196" s="1" t="s">
        <v>144</v>
      </c>
      <c r="G196" s="1">
        <v>1.3529411760000001</v>
      </c>
      <c r="H196" s="1">
        <v>60.7</v>
      </c>
      <c r="I196" s="1">
        <v>107.1</v>
      </c>
      <c r="J196" s="1">
        <v>0.6193825546666667</v>
      </c>
      <c r="K196" s="1">
        <v>0.59184352799999995</v>
      </c>
      <c r="L196" s="1">
        <v>0.67011857600000002</v>
      </c>
      <c r="M196" s="3">
        <v>0.74025419199999998</v>
      </c>
      <c r="N196" s="1" t="s">
        <v>124</v>
      </c>
      <c r="O196" s="1">
        <v>1.7166666669999999</v>
      </c>
      <c r="P196" s="1">
        <v>26</v>
      </c>
      <c r="Q196" s="1">
        <v>36</v>
      </c>
      <c r="R196" s="1">
        <v>0.66740543199999991</v>
      </c>
      <c r="S196" s="1">
        <v>9.6747856261261256E-2</v>
      </c>
      <c r="T196" t="s">
        <v>342</v>
      </c>
      <c r="U196" s="1">
        <v>1589</v>
      </c>
      <c r="V196">
        <f t="shared" si="12"/>
        <v>0.35568043302304214</v>
      </c>
      <c r="W196" s="1">
        <f t="shared" si="13"/>
        <v>34.700000000000003</v>
      </c>
      <c r="X196">
        <f t="shared" si="14"/>
        <v>0.36372549099999985</v>
      </c>
      <c r="Y196">
        <f t="shared" si="15"/>
        <v>71.099999999999994</v>
      </c>
      <c r="Z196" s="1">
        <v>0</v>
      </c>
      <c r="AA196">
        <v>100</v>
      </c>
      <c r="AB196">
        <v>0</v>
      </c>
      <c r="AC196">
        <v>0</v>
      </c>
      <c r="AD196">
        <v>119</v>
      </c>
      <c r="AE196">
        <v>0</v>
      </c>
      <c r="AF196" t="s">
        <v>2589</v>
      </c>
      <c r="AG196" t="s">
        <v>2591</v>
      </c>
    </row>
    <row r="197" spans="1:33">
      <c r="A197" s="2" t="s">
        <v>143</v>
      </c>
      <c r="B197" s="2" t="s">
        <v>125</v>
      </c>
      <c r="C197" s="1">
        <v>0.52984414300000005</v>
      </c>
      <c r="D197">
        <v>0.66186003599999998</v>
      </c>
      <c r="E197">
        <v>0.66644348499999995</v>
      </c>
      <c r="F197" s="1" t="s">
        <v>144</v>
      </c>
      <c r="G197" s="1">
        <v>1.3529411760000001</v>
      </c>
      <c r="H197" s="1">
        <v>60.7</v>
      </c>
      <c r="I197" s="1">
        <v>107.1</v>
      </c>
      <c r="J197" s="1">
        <v>0.6193825546666667</v>
      </c>
      <c r="K197" s="1">
        <v>0.611478776</v>
      </c>
      <c r="L197" s="1">
        <v>0.67681801600000002</v>
      </c>
      <c r="M197" s="3">
        <v>0.73326355300000001</v>
      </c>
      <c r="N197" s="1" t="s">
        <v>126</v>
      </c>
      <c r="O197" s="1">
        <v>1.6431372550000001</v>
      </c>
      <c r="P197" s="1">
        <v>35.1</v>
      </c>
      <c r="Q197" s="1">
        <v>51</v>
      </c>
      <c r="R197" s="1">
        <v>0.67385344833333338</v>
      </c>
      <c r="S197" s="1">
        <v>0.10654987544924543</v>
      </c>
      <c r="T197" t="s">
        <v>343</v>
      </c>
      <c r="U197" s="1">
        <v>2227</v>
      </c>
      <c r="V197">
        <f t="shared" si="12"/>
        <v>0.37196891300378199</v>
      </c>
      <c r="W197" s="1">
        <f t="shared" si="13"/>
        <v>25.6</v>
      </c>
      <c r="X197">
        <f t="shared" si="14"/>
        <v>0.290196079</v>
      </c>
      <c r="Y197">
        <f t="shared" si="15"/>
        <v>56.099999999999994</v>
      </c>
      <c r="Z197" s="1">
        <v>1</v>
      </c>
      <c r="AA197">
        <v>99</v>
      </c>
      <c r="AB197">
        <v>1.01E-2</v>
      </c>
      <c r="AC197">
        <v>2</v>
      </c>
      <c r="AD197">
        <v>127</v>
      </c>
      <c r="AE197">
        <v>1.5699999999999999E-2</v>
      </c>
      <c r="AF197" t="s">
        <v>2589</v>
      </c>
      <c r="AG197" t="s">
        <v>2591</v>
      </c>
    </row>
    <row r="198" spans="1:33">
      <c r="A198" s="2" t="s">
        <v>143</v>
      </c>
      <c r="B198" s="2" t="s">
        <v>127</v>
      </c>
      <c r="C198" s="1">
        <v>0.52984414300000005</v>
      </c>
      <c r="D198">
        <v>0.66186003599999998</v>
      </c>
      <c r="E198">
        <v>0.66644348499999995</v>
      </c>
      <c r="F198" s="1" t="s">
        <v>144</v>
      </c>
      <c r="G198" s="1">
        <v>1.3529411760000001</v>
      </c>
      <c r="H198" s="1">
        <v>60.7</v>
      </c>
      <c r="I198" s="1">
        <v>107.1</v>
      </c>
      <c r="J198" s="1">
        <v>0.6193825546666667</v>
      </c>
      <c r="K198" s="1">
        <v>0.50688118500000001</v>
      </c>
      <c r="L198" s="1">
        <v>0.64616698699999997</v>
      </c>
      <c r="M198" s="3">
        <v>0.65580376299999998</v>
      </c>
      <c r="N198" s="1" t="s">
        <v>128</v>
      </c>
      <c r="O198" s="1">
        <v>1.5447714459999999</v>
      </c>
      <c r="P198" s="1">
        <v>98.4</v>
      </c>
      <c r="Q198" s="1">
        <v>159.69999999999999</v>
      </c>
      <c r="R198" s="1">
        <v>0.60295064500000006</v>
      </c>
      <c r="S198" s="1">
        <v>2.977873253285724E-2</v>
      </c>
      <c r="T198" t="s">
        <v>344</v>
      </c>
      <c r="U198" s="1">
        <v>150944</v>
      </c>
      <c r="V198">
        <f t="shared" si="12"/>
        <v>0.5754239838406231</v>
      </c>
      <c r="W198" s="1">
        <f t="shared" si="13"/>
        <v>37.700000000000003</v>
      </c>
      <c r="X198">
        <f t="shared" si="14"/>
        <v>0.19183026999999986</v>
      </c>
      <c r="Y198">
        <f t="shared" si="15"/>
        <v>52.599999999999994</v>
      </c>
      <c r="Z198" s="1">
        <v>28</v>
      </c>
      <c r="AA198">
        <v>72</v>
      </c>
      <c r="AB198">
        <v>0.38890000000000002</v>
      </c>
      <c r="AC198">
        <v>37</v>
      </c>
      <c r="AD198">
        <v>92</v>
      </c>
      <c r="AE198">
        <v>0.4022</v>
      </c>
      <c r="AF198" t="s">
        <v>2589</v>
      </c>
      <c r="AG198" t="s">
        <v>2589</v>
      </c>
    </row>
    <row r="199" spans="1:33">
      <c r="A199" s="2" t="s">
        <v>143</v>
      </c>
      <c r="B199" s="2" t="s">
        <v>129</v>
      </c>
      <c r="C199" s="1">
        <v>0.52984414300000005</v>
      </c>
      <c r="D199">
        <v>0.66186003599999998</v>
      </c>
      <c r="E199">
        <v>0.66644348499999995</v>
      </c>
      <c r="F199" s="1" t="s">
        <v>144</v>
      </c>
      <c r="G199" s="1">
        <v>1.3529411760000001</v>
      </c>
      <c r="H199" s="1">
        <v>60.7</v>
      </c>
      <c r="I199" s="1">
        <v>107.1</v>
      </c>
      <c r="J199" s="1">
        <v>0.6193825546666667</v>
      </c>
      <c r="K199" s="1">
        <v>0.50422724299999999</v>
      </c>
      <c r="L199" s="1">
        <v>0.61050655300000001</v>
      </c>
      <c r="M199" s="3">
        <v>0.63007085299999999</v>
      </c>
      <c r="N199" s="1" t="s">
        <v>130</v>
      </c>
      <c r="O199" s="1">
        <v>1.4142988080000001</v>
      </c>
      <c r="P199" s="1">
        <v>58.7</v>
      </c>
      <c r="Q199" s="1">
        <v>109.1</v>
      </c>
      <c r="R199" s="1">
        <v>0.58160154966666655</v>
      </c>
      <c r="S199" s="1">
        <v>6.7943904365650856E-2</v>
      </c>
      <c r="T199" t="s">
        <v>345</v>
      </c>
      <c r="U199" s="1">
        <v>6642</v>
      </c>
      <c r="V199">
        <f t="shared" si="12"/>
        <v>0.42469987458470737</v>
      </c>
      <c r="W199" s="1">
        <f t="shared" si="13"/>
        <v>2</v>
      </c>
      <c r="X199">
        <f t="shared" si="14"/>
        <v>6.1357631999999995E-2</v>
      </c>
      <c r="Y199">
        <f t="shared" si="15"/>
        <v>2</v>
      </c>
      <c r="Z199" s="1">
        <v>16</v>
      </c>
      <c r="AA199">
        <v>84</v>
      </c>
      <c r="AB199">
        <v>0.1905</v>
      </c>
      <c r="AC199">
        <v>18</v>
      </c>
      <c r="AD199">
        <v>94</v>
      </c>
      <c r="AE199">
        <v>0.1915</v>
      </c>
      <c r="AF199" t="s">
        <v>2589</v>
      </c>
      <c r="AG199" t="s">
        <v>2593</v>
      </c>
    </row>
    <row r="200" spans="1:33">
      <c r="A200" s="2" t="s">
        <v>143</v>
      </c>
      <c r="B200" s="2" t="s">
        <v>131</v>
      </c>
      <c r="C200" s="1">
        <v>0.52984414300000005</v>
      </c>
      <c r="D200">
        <v>0.66186003599999998</v>
      </c>
      <c r="E200">
        <v>0.66644348499999995</v>
      </c>
      <c r="F200" s="1" t="s">
        <v>144</v>
      </c>
      <c r="G200" s="1">
        <v>1.3529411760000001</v>
      </c>
      <c r="H200" s="1">
        <v>60.7</v>
      </c>
      <c r="I200" s="1">
        <v>107.1</v>
      </c>
      <c r="J200" s="1">
        <v>0.6193825546666667</v>
      </c>
      <c r="K200" s="1">
        <v>0.53830564800000003</v>
      </c>
      <c r="L200" s="1">
        <v>0.65609959100000004</v>
      </c>
      <c r="M200" s="3">
        <v>0.68896664299999999</v>
      </c>
      <c r="N200" s="1" t="s">
        <v>132</v>
      </c>
      <c r="O200" s="1">
        <v>1.0676416820000001</v>
      </c>
      <c r="P200" s="1">
        <v>25</v>
      </c>
      <c r="Q200" s="1">
        <v>54.7</v>
      </c>
      <c r="R200" s="1">
        <v>0.62779062733333335</v>
      </c>
      <c r="S200" s="1">
        <v>2.4740097812175583E-2</v>
      </c>
      <c r="T200" t="s">
        <v>346</v>
      </c>
      <c r="U200" s="1">
        <v>11879</v>
      </c>
      <c r="V200">
        <f t="shared" si="12"/>
        <v>0.45275332025910359</v>
      </c>
      <c r="W200" s="1">
        <f t="shared" si="13"/>
        <v>35.700000000000003</v>
      </c>
      <c r="X200">
        <f t="shared" si="14"/>
        <v>0.28529949399999999</v>
      </c>
      <c r="Y200">
        <f t="shared" si="15"/>
        <v>52.399999999999991</v>
      </c>
      <c r="Z200" s="1">
        <v>1</v>
      </c>
      <c r="AA200">
        <v>99</v>
      </c>
      <c r="AB200">
        <v>1.01E-2</v>
      </c>
      <c r="AC200">
        <v>1</v>
      </c>
      <c r="AD200">
        <v>107</v>
      </c>
      <c r="AE200">
        <v>9.2999999999999992E-3</v>
      </c>
      <c r="AF200" t="s">
        <v>2589</v>
      </c>
      <c r="AG200" t="s">
        <v>2589</v>
      </c>
    </row>
    <row r="201" spans="1:33">
      <c r="A201" s="2" t="s">
        <v>143</v>
      </c>
      <c r="B201" s="2" t="s">
        <v>133</v>
      </c>
      <c r="C201" s="1">
        <v>0.52984414300000005</v>
      </c>
      <c r="D201">
        <v>0.66186003599999998</v>
      </c>
      <c r="E201">
        <v>0.66644348499999995</v>
      </c>
      <c r="F201" s="1" t="s">
        <v>144</v>
      </c>
      <c r="G201" s="1">
        <v>1.3529411760000001</v>
      </c>
      <c r="H201" s="1">
        <v>60.7</v>
      </c>
      <c r="I201" s="1">
        <v>107.1</v>
      </c>
      <c r="J201" s="1">
        <v>0.6193825546666667</v>
      </c>
      <c r="K201" s="1">
        <v>0.65296959200000004</v>
      </c>
      <c r="L201" s="1">
        <v>0.71047257900000005</v>
      </c>
      <c r="M201" s="3">
        <v>0.679994718</v>
      </c>
      <c r="N201" s="1" t="s">
        <v>134</v>
      </c>
      <c r="O201" s="1">
        <v>1.3877068560000001</v>
      </c>
      <c r="P201" s="1">
        <v>25.6</v>
      </c>
      <c r="Q201" s="1">
        <v>42.3</v>
      </c>
      <c r="R201" s="1">
        <v>0.6811456296666667</v>
      </c>
      <c r="S201" s="1">
        <v>0.13306649256743316</v>
      </c>
      <c r="T201" t="s">
        <v>347</v>
      </c>
      <c r="U201" s="1">
        <v>1267</v>
      </c>
      <c r="V201">
        <f t="shared" si="12"/>
        <v>0.34475295720927129</v>
      </c>
      <c r="W201" s="1">
        <f t="shared" si="13"/>
        <v>35.1</v>
      </c>
      <c r="X201">
        <f t="shared" si="14"/>
        <v>3.4765680000000021E-2</v>
      </c>
      <c r="Y201">
        <f t="shared" si="15"/>
        <v>64.8</v>
      </c>
      <c r="Z201" s="1">
        <v>1</v>
      </c>
      <c r="AA201">
        <v>99</v>
      </c>
      <c r="AB201">
        <v>1.01E-2</v>
      </c>
      <c r="AC201">
        <v>2</v>
      </c>
      <c r="AD201">
        <v>158</v>
      </c>
      <c r="AE201">
        <v>1.2699999999999999E-2</v>
      </c>
      <c r="AF201" t="s">
        <v>2589</v>
      </c>
      <c r="AG201" t="s">
        <v>2591</v>
      </c>
    </row>
    <row r="202" spans="1:33">
      <c r="A202" s="2" t="s">
        <v>143</v>
      </c>
      <c r="B202" s="2" t="s">
        <v>135</v>
      </c>
      <c r="C202" s="1">
        <v>0.52984414300000005</v>
      </c>
      <c r="D202">
        <v>0.66186003599999998</v>
      </c>
      <c r="E202">
        <v>0.66644348499999995</v>
      </c>
      <c r="F202" s="1" t="s">
        <v>144</v>
      </c>
      <c r="G202" s="1">
        <v>1.3529411760000001</v>
      </c>
      <c r="H202" s="1">
        <v>60.7</v>
      </c>
      <c r="I202" s="1">
        <v>107.1</v>
      </c>
      <c r="J202" s="1">
        <v>0.6193825546666667</v>
      </c>
      <c r="K202" s="1">
        <v>0.62083905900000003</v>
      </c>
      <c r="L202" s="1">
        <v>0.69185057000000005</v>
      </c>
      <c r="M202" s="3">
        <v>0.70435387900000002</v>
      </c>
      <c r="N202" s="1" t="s">
        <v>136</v>
      </c>
      <c r="O202" s="1">
        <v>1.353075171</v>
      </c>
      <c r="P202" s="1">
        <v>25.2</v>
      </c>
      <c r="Q202" s="1">
        <v>43.9</v>
      </c>
      <c r="R202" s="1">
        <v>0.67234783600000003</v>
      </c>
      <c r="S202" s="1">
        <v>0.10303739535085044</v>
      </c>
      <c r="T202" t="s">
        <v>348</v>
      </c>
      <c r="U202" s="1">
        <v>1088</v>
      </c>
      <c r="V202">
        <f t="shared" si="12"/>
        <v>0.3374032105957957</v>
      </c>
      <c r="W202" s="1">
        <f t="shared" si="13"/>
        <v>35.5</v>
      </c>
      <c r="X202">
        <f t="shared" si="14"/>
        <v>1.3399499999988684E-4</v>
      </c>
      <c r="Y202">
        <f t="shared" si="15"/>
        <v>63.199999999999996</v>
      </c>
      <c r="Z202" s="1">
        <v>1</v>
      </c>
      <c r="AA202">
        <v>99</v>
      </c>
      <c r="AB202">
        <v>1.01E-2</v>
      </c>
      <c r="AC202">
        <v>2</v>
      </c>
      <c r="AD202">
        <v>128</v>
      </c>
      <c r="AE202">
        <v>1.5599999999999999E-2</v>
      </c>
      <c r="AF202" t="s">
        <v>2589</v>
      </c>
      <c r="AG202" t="s">
        <v>2591</v>
      </c>
    </row>
    <row r="203" spans="1:33">
      <c r="A203" s="2" t="s">
        <v>143</v>
      </c>
      <c r="B203" s="2" t="s">
        <v>137</v>
      </c>
      <c r="C203" s="1">
        <v>0.52984414300000005</v>
      </c>
      <c r="D203">
        <v>0.66186003599999998</v>
      </c>
      <c r="E203">
        <v>0.66644348499999995</v>
      </c>
      <c r="F203" s="1" t="s">
        <v>144</v>
      </c>
      <c r="G203" s="1">
        <v>1.3529411760000001</v>
      </c>
      <c r="H203" s="1">
        <v>60.7</v>
      </c>
      <c r="I203" s="1">
        <v>107.1</v>
      </c>
      <c r="J203" s="1">
        <v>0.6193825546666667</v>
      </c>
      <c r="K203" s="1">
        <v>0.63291540800000001</v>
      </c>
      <c r="L203" s="1">
        <v>0.77430151800000002</v>
      </c>
      <c r="M203" s="3">
        <v>0.70057116200000003</v>
      </c>
      <c r="N203" s="1" t="s">
        <v>138</v>
      </c>
      <c r="O203" s="1">
        <v>1.1048387099999999</v>
      </c>
      <c r="P203" s="1">
        <v>35.4</v>
      </c>
      <c r="Q203" s="1">
        <v>74.400000000000006</v>
      </c>
      <c r="R203" s="1">
        <v>0.70259602933333332</v>
      </c>
      <c r="S203" s="1">
        <v>0.1563056968906536</v>
      </c>
      <c r="T203" t="s">
        <v>349</v>
      </c>
      <c r="U203" s="1">
        <v>56560</v>
      </c>
      <c r="V203">
        <f t="shared" si="12"/>
        <v>0.52805660008764921</v>
      </c>
      <c r="W203" s="1">
        <f t="shared" si="13"/>
        <v>25.300000000000004</v>
      </c>
      <c r="X203">
        <f t="shared" si="14"/>
        <v>0.24810246600000019</v>
      </c>
      <c r="Y203">
        <f t="shared" si="15"/>
        <v>32.699999999999989</v>
      </c>
      <c r="Z203" s="1">
        <v>8</v>
      </c>
      <c r="AA203">
        <v>92</v>
      </c>
      <c r="AB203">
        <v>8.6999999999999994E-2</v>
      </c>
      <c r="AC203">
        <v>14</v>
      </c>
      <c r="AD203">
        <v>107</v>
      </c>
      <c r="AE203">
        <v>0.1308</v>
      </c>
      <c r="AF203" t="s">
        <v>2589</v>
      </c>
      <c r="AG203" t="s">
        <v>2589</v>
      </c>
    </row>
    <row r="204" spans="1:33">
      <c r="A204" s="2" t="s">
        <v>143</v>
      </c>
      <c r="B204" s="2" t="s">
        <v>139</v>
      </c>
      <c r="C204" s="1">
        <v>0.52984414300000005</v>
      </c>
      <c r="D204">
        <v>0.66186003599999998</v>
      </c>
      <c r="E204">
        <v>0.66644348499999995</v>
      </c>
      <c r="F204" s="1" t="s">
        <v>144</v>
      </c>
      <c r="G204" s="1">
        <v>1.3529411760000001</v>
      </c>
      <c r="H204" s="1">
        <v>60.7</v>
      </c>
      <c r="I204" s="1">
        <v>107.1</v>
      </c>
      <c r="J204" s="1">
        <v>0.6193825546666667</v>
      </c>
      <c r="K204" s="1">
        <v>0.52583481399999998</v>
      </c>
      <c r="L204" s="1">
        <v>0.65097824800000004</v>
      </c>
      <c r="M204" s="3">
        <v>0.65942698399999999</v>
      </c>
      <c r="N204" s="1" t="s">
        <v>140</v>
      </c>
      <c r="O204" s="1">
        <v>1.123169681</v>
      </c>
      <c r="P204" s="1">
        <v>56.5</v>
      </c>
      <c r="Q204" s="1">
        <v>116.1</v>
      </c>
      <c r="R204" s="1">
        <v>0.61208001533333334</v>
      </c>
      <c r="S204" s="1">
        <v>1.3554309845587295E-2</v>
      </c>
      <c r="T204" t="s">
        <v>350</v>
      </c>
      <c r="U204" s="1">
        <v>19568</v>
      </c>
      <c r="V204">
        <f t="shared" si="12"/>
        <v>0.47683849329913447</v>
      </c>
      <c r="W204" s="1">
        <f t="shared" si="13"/>
        <v>4.2000000000000028</v>
      </c>
      <c r="X204">
        <f t="shared" si="14"/>
        <v>0.22977149500000005</v>
      </c>
      <c r="Y204">
        <f t="shared" si="15"/>
        <v>9</v>
      </c>
      <c r="Z204" s="1">
        <v>16</v>
      </c>
      <c r="AA204">
        <v>84</v>
      </c>
      <c r="AB204">
        <v>0.1905</v>
      </c>
      <c r="AC204">
        <v>24</v>
      </c>
      <c r="AD204">
        <v>108</v>
      </c>
      <c r="AE204">
        <v>0.22220000000000001</v>
      </c>
      <c r="AF204" t="s">
        <v>2589</v>
      </c>
      <c r="AG204" t="s">
        <v>2589</v>
      </c>
    </row>
    <row r="205" spans="1:33">
      <c r="A205" s="2" t="s">
        <v>143</v>
      </c>
      <c r="B205" s="2" t="s">
        <v>141</v>
      </c>
      <c r="C205" s="1">
        <v>0.52984414300000005</v>
      </c>
      <c r="D205">
        <v>0.66186003599999998</v>
      </c>
      <c r="E205">
        <v>0.66644348499999995</v>
      </c>
      <c r="F205" s="1" t="s">
        <v>144</v>
      </c>
      <c r="G205" s="1">
        <v>1.3529411760000001</v>
      </c>
      <c r="H205" s="1">
        <v>60.7</v>
      </c>
      <c r="I205" s="1">
        <v>107.1</v>
      </c>
      <c r="J205" s="1">
        <v>0.6193825546666667</v>
      </c>
      <c r="K205" s="1">
        <v>0.51109353000000002</v>
      </c>
      <c r="L205" s="1">
        <v>0.62487169300000001</v>
      </c>
      <c r="M205" s="3">
        <v>0.629348248</v>
      </c>
      <c r="N205" s="1" t="s">
        <v>142</v>
      </c>
      <c r="O205" s="1">
        <v>1.171344165</v>
      </c>
      <c r="P205" s="1">
        <v>60.9</v>
      </c>
      <c r="Q205" s="1">
        <v>135.4</v>
      </c>
      <c r="R205" s="1">
        <v>0.58843782366666664</v>
      </c>
      <c r="S205" s="1">
        <v>5.5639730533563719E-2</v>
      </c>
      <c r="T205" t="s">
        <v>351</v>
      </c>
      <c r="U205" s="1">
        <v>8369</v>
      </c>
      <c r="V205">
        <f t="shared" si="12"/>
        <v>0.43585261865095043</v>
      </c>
      <c r="W205" s="1">
        <f t="shared" si="13"/>
        <v>0.19999999999999574</v>
      </c>
      <c r="X205">
        <f t="shared" si="14"/>
        <v>0.18159701100000003</v>
      </c>
      <c r="Y205">
        <f t="shared" si="15"/>
        <v>28.300000000000011</v>
      </c>
      <c r="Z205" s="1">
        <v>16</v>
      </c>
      <c r="AA205">
        <v>84</v>
      </c>
      <c r="AB205">
        <v>0.1905</v>
      </c>
      <c r="AC205">
        <v>19</v>
      </c>
      <c r="AD205">
        <v>95</v>
      </c>
      <c r="AE205">
        <v>0.2</v>
      </c>
      <c r="AF205" t="s">
        <v>2589</v>
      </c>
      <c r="AG205" t="s">
        <v>2592</v>
      </c>
    </row>
    <row r="206" spans="1:33">
      <c r="A206" s="2" t="s">
        <v>141</v>
      </c>
      <c r="B206" s="2" t="s">
        <v>10</v>
      </c>
      <c r="C206" s="1">
        <v>0.51109353000000002</v>
      </c>
      <c r="D206">
        <v>0.62487169300000001</v>
      </c>
      <c r="E206">
        <v>0.629348248</v>
      </c>
      <c r="F206" s="1" t="s">
        <v>142</v>
      </c>
      <c r="G206" s="1">
        <v>1.171344165</v>
      </c>
      <c r="H206" s="1">
        <v>60.9</v>
      </c>
      <c r="I206" s="1">
        <v>135.4</v>
      </c>
      <c r="J206" s="1">
        <v>0.58843782366666664</v>
      </c>
      <c r="K206" s="1">
        <v>0.52456325500000001</v>
      </c>
      <c r="L206" s="1">
        <v>0.61925627999999999</v>
      </c>
      <c r="M206" s="3">
        <v>0.72111139899999999</v>
      </c>
      <c r="N206" s="1" t="s">
        <v>12</v>
      </c>
      <c r="O206" s="1">
        <v>0.61690647499999995</v>
      </c>
      <c r="P206" s="1">
        <v>30</v>
      </c>
      <c r="Q206" s="1">
        <v>111.2</v>
      </c>
      <c r="R206" s="1">
        <v>0.62164364466666666</v>
      </c>
      <c r="S206" s="1">
        <v>9.2916318460133748E-2</v>
      </c>
      <c r="T206" t="s">
        <v>353</v>
      </c>
      <c r="U206" s="1">
        <v>6268</v>
      </c>
      <c r="V206">
        <f t="shared" si="12"/>
        <v>0.42190322086628362</v>
      </c>
      <c r="W206" s="1">
        <f t="shared" si="13"/>
        <v>30.9</v>
      </c>
      <c r="X206">
        <f t="shared" si="14"/>
        <v>0.55443769000000009</v>
      </c>
      <c r="Y206">
        <f t="shared" si="15"/>
        <v>24.200000000000003</v>
      </c>
      <c r="Z206" s="1">
        <v>6</v>
      </c>
      <c r="AA206">
        <v>94</v>
      </c>
      <c r="AB206">
        <v>6.3799999999999996E-2</v>
      </c>
      <c r="AC206">
        <v>8</v>
      </c>
      <c r="AD206">
        <v>146</v>
      </c>
      <c r="AE206">
        <v>5.4800000000000001E-2</v>
      </c>
      <c r="AF206" t="s">
        <v>2592</v>
      </c>
      <c r="AG206" t="s">
        <v>2588</v>
      </c>
    </row>
    <row r="207" spans="1:33">
      <c r="A207" s="2" t="s">
        <v>141</v>
      </c>
      <c r="B207" s="2" t="s">
        <v>13</v>
      </c>
      <c r="C207" s="1">
        <v>0.51109353000000002</v>
      </c>
      <c r="D207">
        <v>0.62487169300000001</v>
      </c>
      <c r="E207">
        <v>0.629348248</v>
      </c>
      <c r="F207" s="1" t="s">
        <v>142</v>
      </c>
      <c r="G207" s="1">
        <v>1.171344165</v>
      </c>
      <c r="H207" s="1">
        <v>60.9</v>
      </c>
      <c r="I207" s="1">
        <v>135.4</v>
      </c>
      <c r="J207" s="1">
        <v>0.58843782366666664</v>
      </c>
      <c r="K207" s="1">
        <v>0.48695497399999998</v>
      </c>
      <c r="L207" s="1">
        <v>0.54991327199999995</v>
      </c>
      <c r="M207" s="3">
        <v>0.67282609299999996</v>
      </c>
      <c r="N207" s="1" t="s">
        <v>14</v>
      </c>
      <c r="O207" s="1">
        <v>1.6052009460000001</v>
      </c>
      <c r="P207" s="1">
        <v>26.6</v>
      </c>
      <c r="Q207" s="1">
        <v>42.3</v>
      </c>
      <c r="R207" s="1">
        <v>0.56989811299999993</v>
      </c>
      <c r="S207" s="1">
        <v>8.9954198181198902E-2</v>
      </c>
      <c r="T207" t="s">
        <v>354</v>
      </c>
      <c r="U207" s="1">
        <v>6122</v>
      </c>
      <c r="V207">
        <f t="shared" si="12"/>
        <v>0.42076592502903509</v>
      </c>
      <c r="W207" s="1">
        <f t="shared" si="13"/>
        <v>34.299999999999997</v>
      </c>
      <c r="X207">
        <f t="shared" si="14"/>
        <v>0.43385678100000002</v>
      </c>
      <c r="Y207">
        <f t="shared" si="15"/>
        <v>93.100000000000009</v>
      </c>
      <c r="Z207" s="1">
        <v>1</v>
      </c>
      <c r="AA207">
        <v>99</v>
      </c>
      <c r="AB207">
        <v>1.01E-2</v>
      </c>
      <c r="AC207">
        <v>2</v>
      </c>
      <c r="AD207">
        <v>99</v>
      </c>
      <c r="AE207">
        <v>2.0199999999999999E-2</v>
      </c>
      <c r="AF207" t="s">
        <v>2592</v>
      </c>
      <c r="AG207" t="s">
        <v>2590</v>
      </c>
    </row>
    <row r="208" spans="1:33">
      <c r="A208" s="2" t="s">
        <v>141</v>
      </c>
      <c r="B208" s="2" t="s">
        <v>15</v>
      </c>
      <c r="C208" s="1">
        <v>0.51109353000000002</v>
      </c>
      <c r="D208">
        <v>0.62487169300000001</v>
      </c>
      <c r="E208">
        <v>0.629348248</v>
      </c>
      <c r="F208" s="1" t="s">
        <v>142</v>
      </c>
      <c r="G208" s="1">
        <v>1.171344165</v>
      </c>
      <c r="H208" s="1">
        <v>60.9</v>
      </c>
      <c r="I208" s="1">
        <v>135.4</v>
      </c>
      <c r="J208" s="1">
        <v>0.58843782366666664</v>
      </c>
      <c r="K208" s="1">
        <v>0.54560998800000005</v>
      </c>
      <c r="L208" s="1">
        <v>0.66721428400000005</v>
      </c>
      <c r="M208" s="3">
        <v>0.72650398400000005</v>
      </c>
      <c r="N208" s="1" t="s">
        <v>16</v>
      </c>
      <c r="O208" s="1">
        <v>5.1392405060000002</v>
      </c>
      <c r="P208" s="1">
        <v>35.9</v>
      </c>
      <c r="Q208" s="1">
        <v>15.8</v>
      </c>
      <c r="R208" s="1">
        <v>0.64644275200000012</v>
      </c>
      <c r="S208" s="1">
        <v>0.1114608358265842</v>
      </c>
      <c r="T208" t="s">
        <v>355</v>
      </c>
      <c r="U208" s="1">
        <v>707</v>
      </c>
      <c r="V208">
        <f t="shared" si="12"/>
        <v>0.31660215708854439</v>
      </c>
      <c r="W208" s="1">
        <f t="shared" si="13"/>
        <v>25</v>
      </c>
      <c r="X208">
        <f t="shared" si="14"/>
        <v>3.9678963410000003</v>
      </c>
      <c r="Y208">
        <f t="shared" si="15"/>
        <v>119.60000000000001</v>
      </c>
      <c r="Z208" s="1">
        <v>0</v>
      </c>
      <c r="AA208">
        <v>100</v>
      </c>
      <c r="AB208">
        <v>0</v>
      </c>
      <c r="AC208">
        <v>0</v>
      </c>
      <c r="AD208">
        <v>97</v>
      </c>
      <c r="AE208">
        <v>0</v>
      </c>
      <c r="AF208" t="s">
        <v>2592</v>
      </c>
      <c r="AG208" t="s">
        <v>2591</v>
      </c>
    </row>
    <row r="209" spans="1:33">
      <c r="A209" s="2" t="s">
        <v>141</v>
      </c>
      <c r="B209" s="2" t="s">
        <v>17</v>
      </c>
      <c r="C209" s="1">
        <v>0.51109353000000002</v>
      </c>
      <c r="D209">
        <v>0.62487169300000001</v>
      </c>
      <c r="E209">
        <v>0.629348248</v>
      </c>
      <c r="F209" s="1" t="s">
        <v>142</v>
      </c>
      <c r="G209" s="1">
        <v>1.171344165</v>
      </c>
      <c r="H209" s="1">
        <v>60.9</v>
      </c>
      <c r="I209" s="1">
        <v>135.4</v>
      </c>
      <c r="J209" s="1">
        <v>0.58843782366666664</v>
      </c>
      <c r="K209" s="1">
        <v>0.659112378</v>
      </c>
      <c r="L209" s="1">
        <v>0.68333493499999998</v>
      </c>
      <c r="M209" s="3">
        <v>0.70345495199999997</v>
      </c>
      <c r="N209" s="1" t="s">
        <v>18</v>
      </c>
      <c r="O209" s="1">
        <v>1.9463955639999999</v>
      </c>
      <c r="P209" s="1">
        <v>46.3</v>
      </c>
      <c r="Q209" s="1">
        <v>54.1</v>
      </c>
      <c r="R209" s="1">
        <v>0.68196742166666668</v>
      </c>
      <c r="S209" s="1">
        <v>0.17555436082917811</v>
      </c>
      <c r="T209" t="s">
        <v>356</v>
      </c>
      <c r="U209" s="1">
        <v>4279</v>
      </c>
      <c r="V209">
        <f t="shared" si="12"/>
        <v>0.40348247627599254</v>
      </c>
      <c r="W209" s="1">
        <f t="shared" si="13"/>
        <v>14.600000000000001</v>
      </c>
      <c r="X209">
        <f t="shared" si="14"/>
        <v>0.77505139899999986</v>
      </c>
      <c r="Y209">
        <f t="shared" si="15"/>
        <v>81.300000000000011</v>
      </c>
      <c r="Z209" s="1">
        <v>0</v>
      </c>
      <c r="AA209">
        <v>100</v>
      </c>
      <c r="AB209">
        <v>0</v>
      </c>
      <c r="AC209">
        <v>0</v>
      </c>
      <c r="AD209">
        <v>111</v>
      </c>
      <c r="AE209">
        <v>0</v>
      </c>
      <c r="AF209" t="s">
        <v>2592</v>
      </c>
      <c r="AG209" t="s">
        <v>2591</v>
      </c>
    </row>
    <row r="210" spans="1:33">
      <c r="A210" s="2" t="s">
        <v>141</v>
      </c>
      <c r="B210" s="2" t="s">
        <v>19</v>
      </c>
      <c r="C210" s="1">
        <v>0.51109353000000002</v>
      </c>
      <c r="D210">
        <v>0.62487169300000001</v>
      </c>
      <c r="E210">
        <v>0.629348248</v>
      </c>
      <c r="F210" s="1" t="s">
        <v>142</v>
      </c>
      <c r="G210" s="1">
        <v>1.171344165</v>
      </c>
      <c r="H210" s="1">
        <v>60.9</v>
      </c>
      <c r="I210" s="1">
        <v>135.4</v>
      </c>
      <c r="J210" s="1">
        <v>0.58843782366666664</v>
      </c>
      <c r="K210" s="1">
        <v>0.49391595300000002</v>
      </c>
      <c r="L210" s="1">
        <v>0.603599314</v>
      </c>
      <c r="M210" s="3">
        <v>0.63481471599999995</v>
      </c>
      <c r="N210" s="1" t="s">
        <v>20</v>
      </c>
      <c r="O210" s="1">
        <v>1.2140902870000001</v>
      </c>
      <c r="P210" s="1">
        <v>64.900000000000006</v>
      </c>
      <c r="Q210" s="1">
        <v>146.19999999999999</v>
      </c>
      <c r="R210" s="1">
        <v>0.57744332766666662</v>
      </c>
      <c r="S210" s="1">
        <v>2.7883068918352471E-2</v>
      </c>
      <c r="T210" t="s">
        <v>357</v>
      </c>
      <c r="U210" s="1">
        <v>8339</v>
      </c>
      <c r="V210">
        <f t="shared" si="12"/>
        <v>0.43567933042629786</v>
      </c>
      <c r="W210" s="1">
        <f t="shared" si="13"/>
        <v>4.0000000000000071</v>
      </c>
      <c r="X210">
        <f t="shared" si="14"/>
        <v>4.2746122000000053E-2</v>
      </c>
      <c r="Y210">
        <f t="shared" si="15"/>
        <v>10.799999999999983</v>
      </c>
      <c r="Z210" s="1">
        <v>30</v>
      </c>
      <c r="AA210">
        <v>70</v>
      </c>
      <c r="AB210">
        <v>0.42859999999999998</v>
      </c>
      <c r="AC210">
        <v>27</v>
      </c>
      <c r="AD210">
        <v>64</v>
      </c>
      <c r="AE210">
        <v>0.4219</v>
      </c>
      <c r="AF210" t="s">
        <v>2592</v>
      </c>
      <c r="AG210" t="s">
        <v>2593</v>
      </c>
    </row>
    <row r="211" spans="1:33">
      <c r="A211" s="2" t="s">
        <v>141</v>
      </c>
      <c r="B211" s="2" t="s">
        <v>21</v>
      </c>
      <c r="C211" s="1">
        <v>0.51109353000000002</v>
      </c>
      <c r="D211">
        <v>0.62487169300000001</v>
      </c>
      <c r="E211">
        <v>0.629348248</v>
      </c>
      <c r="F211" s="1" t="s">
        <v>142</v>
      </c>
      <c r="G211" s="1">
        <v>1.171344165</v>
      </c>
      <c r="H211" s="1">
        <v>60.9</v>
      </c>
      <c r="I211" s="1">
        <v>135.4</v>
      </c>
      <c r="J211" s="1">
        <v>0.58843782366666664</v>
      </c>
      <c r="K211" s="1">
        <v>0.53276376800000003</v>
      </c>
      <c r="L211" s="1">
        <v>0.65428149899999999</v>
      </c>
      <c r="M211" s="3">
        <v>0.70160154799999996</v>
      </c>
      <c r="N211" s="1" t="s">
        <v>22</v>
      </c>
      <c r="O211" s="1">
        <v>1.2440604749999999</v>
      </c>
      <c r="P211" s="1">
        <v>24.6</v>
      </c>
      <c r="Q211" s="1">
        <v>46.3</v>
      </c>
      <c r="R211" s="1">
        <v>0.62954893833333336</v>
      </c>
      <c r="S211" s="1">
        <v>8.0963419300473433E-2</v>
      </c>
      <c r="T211" t="s">
        <v>358</v>
      </c>
      <c r="U211" s="1">
        <v>1206</v>
      </c>
      <c r="V211">
        <f t="shared" si="12"/>
        <v>0.34237192308934805</v>
      </c>
      <c r="W211" s="1">
        <f t="shared" si="13"/>
        <v>36.299999999999997</v>
      </c>
      <c r="X211">
        <f t="shared" si="14"/>
        <v>7.2716309999999895E-2</v>
      </c>
      <c r="Y211">
        <f t="shared" si="15"/>
        <v>89.100000000000009</v>
      </c>
      <c r="Z211" s="1">
        <v>2</v>
      </c>
      <c r="AA211">
        <v>98</v>
      </c>
      <c r="AB211">
        <v>2.0400000000000001E-2</v>
      </c>
      <c r="AC211">
        <v>4</v>
      </c>
      <c r="AD211">
        <v>93</v>
      </c>
      <c r="AE211">
        <v>4.2999999999999997E-2</v>
      </c>
      <c r="AF211" t="s">
        <v>2592</v>
      </c>
      <c r="AG211" t="s">
        <v>2589</v>
      </c>
    </row>
    <row r="212" spans="1:33">
      <c r="A212" s="2" t="s">
        <v>141</v>
      </c>
      <c r="B212" s="2" t="s">
        <v>23</v>
      </c>
      <c r="C212" s="1">
        <v>0.51109353000000002</v>
      </c>
      <c r="D212">
        <v>0.62487169300000001</v>
      </c>
      <c r="E212">
        <v>0.629348248</v>
      </c>
      <c r="F212" s="1" t="s">
        <v>142</v>
      </c>
      <c r="G212" s="1">
        <v>1.171344165</v>
      </c>
      <c r="H212" s="1">
        <v>60.9</v>
      </c>
      <c r="I212" s="1">
        <v>135.4</v>
      </c>
      <c r="J212" s="1">
        <v>0.58843782366666664</v>
      </c>
      <c r="K212" s="1">
        <v>0.49415677200000002</v>
      </c>
      <c r="L212" s="1">
        <v>0.62090818999999997</v>
      </c>
      <c r="M212" s="3">
        <v>0.63381026900000004</v>
      </c>
      <c r="N212" s="1" t="s">
        <v>24</v>
      </c>
      <c r="O212" s="1">
        <v>1.141304348</v>
      </c>
      <c r="P212" s="1">
        <v>44.4</v>
      </c>
      <c r="Q212" s="1">
        <v>101.2</v>
      </c>
      <c r="R212" s="1">
        <v>0.58295841033333329</v>
      </c>
      <c r="S212" s="1">
        <v>1.7957526527504129E-2</v>
      </c>
      <c r="T212" t="s">
        <v>359</v>
      </c>
      <c r="U212" s="1">
        <v>11601</v>
      </c>
      <c r="V212">
        <f t="shared" si="12"/>
        <v>0.45161060297696981</v>
      </c>
      <c r="W212" s="1">
        <f t="shared" si="13"/>
        <v>16.5</v>
      </c>
      <c r="X212">
        <f t="shared" si="14"/>
        <v>3.0039817000000024E-2</v>
      </c>
      <c r="Y212">
        <f t="shared" si="15"/>
        <v>34.200000000000003</v>
      </c>
      <c r="Z212" s="1">
        <v>5</v>
      </c>
      <c r="AA212">
        <v>95</v>
      </c>
      <c r="AB212">
        <v>5.2600000000000001E-2</v>
      </c>
      <c r="AC212">
        <v>8</v>
      </c>
      <c r="AD212">
        <v>85</v>
      </c>
      <c r="AE212">
        <v>9.4100000000000003E-2</v>
      </c>
      <c r="AF212" t="s">
        <v>2592</v>
      </c>
      <c r="AG212" t="s">
        <v>2590</v>
      </c>
    </row>
    <row r="213" spans="1:33">
      <c r="A213" s="2" t="s">
        <v>141</v>
      </c>
      <c r="B213" s="2" t="s">
        <v>25</v>
      </c>
      <c r="C213" s="1">
        <v>0.51109353000000002</v>
      </c>
      <c r="D213">
        <v>0.62487169300000001</v>
      </c>
      <c r="E213">
        <v>0.629348248</v>
      </c>
      <c r="F213" s="1" t="s">
        <v>142</v>
      </c>
      <c r="G213" s="1">
        <v>1.171344165</v>
      </c>
      <c r="H213" s="1">
        <v>60.9</v>
      </c>
      <c r="I213" s="1">
        <v>135.4</v>
      </c>
      <c r="J213" s="1">
        <v>0.58843782366666664</v>
      </c>
      <c r="K213" s="1">
        <v>0.53959274199999996</v>
      </c>
      <c r="L213" s="1">
        <v>0.64971567399999997</v>
      </c>
      <c r="M213" s="3">
        <v>0.65028459999999999</v>
      </c>
      <c r="N213" s="1" t="s">
        <v>26</v>
      </c>
      <c r="O213" s="1">
        <v>1.623046875</v>
      </c>
      <c r="P213" s="1">
        <v>34.700000000000003</v>
      </c>
      <c r="Q213" s="1">
        <v>51.2</v>
      </c>
      <c r="R213" s="1">
        <v>0.61319767199999997</v>
      </c>
      <c r="S213" s="1">
        <v>4.321758104773106E-2</v>
      </c>
      <c r="T213" t="s">
        <v>360</v>
      </c>
      <c r="U213" s="1">
        <v>1762</v>
      </c>
      <c r="V213">
        <f t="shared" si="12"/>
        <v>0.36066732267511431</v>
      </c>
      <c r="W213" s="1">
        <f t="shared" si="13"/>
        <v>26.199999999999996</v>
      </c>
      <c r="X213">
        <f t="shared" si="14"/>
        <v>0.45170270999999995</v>
      </c>
      <c r="Y213">
        <f t="shared" si="15"/>
        <v>84.2</v>
      </c>
      <c r="Z213" s="1">
        <v>0</v>
      </c>
      <c r="AA213">
        <v>100</v>
      </c>
      <c r="AB213">
        <v>0</v>
      </c>
      <c r="AC213">
        <v>0</v>
      </c>
      <c r="AD213">
        <v>95</v>
      </c>
      <c r="AE213">
        <v>0</v>
      </c>
      <c r="AF213" t="s">
        <v>2592</v>
      </c>
      <c r="AG213" t="s">
        <v>2594</v>
      </c>
    </row>
    <row r="214" spans="1:33">
      <c r="A214" s="2" t="s">
        <v>141</v>
      </c>
      <c r="B214" s="2" t="s">
        <v>27</v>
      </c>
      <c r="C214" s="1">
        <v>0.51109353000000002</v>
      </c>
      <c r="D214">
        <v>0.62487169300000001</v>
      </c>
      <c r="E214">
        <v>0.629348248</v>
      </c>
      <c r="F214" s="1" t="s">
        <v>142</v>
      </c>
      <c r="G214" s="1">
        <v>1.171344165</v>
      </c>
      <c r="H214" s="1">
        <v>60.9</v>
      </c>
      <c r="I214" s="1">
        <v>135.4</v>
      </c>
      <c r="J214" s="1">
        <v>0.58843782366666664</v>
      </c>
      <c r="K214" s="1">
        <v>0.518608662</v>
      </c>
      <c r="L214" s="1">
        <v>0.64320369700000002</v>
      </c>
      <c r="M214" s="3">
        <v>0.62228994199999998</v>
      </c>
      <c r="N214" s="1" t="s">
        <v>28</v>
      </c>
      <c r="O214" s="1">
        <v>1.8717391299999999</v>
      </c>
      <c r="P214" s="1">
        <v>33.700000000000003</v>
      </c>
      <c r="Q214" s="1">
        <v>46</v>
      </c>
      <c r="R214" s="1">
        <v>0.59470076699999996</v>
      </c>
      <c r="S214" s="1">
        <v>2.1032338510566923E-2</v>
      </c>
      <c r="T214" t="s">
        <v>361</v>
      </c>
      <c r="U214" s="1">
        <v>8300</v>
      </c>
      <c r="V214">
        <f t="shared" si="12"/>
        <v>0.43545312137511932</v>
      </c>
      <c r="W214" s="1">
        <f t="shared" si="13"/>
        <v>27.199999999999996</v>
      </c>
      <c r="X214">
        <f t="shared" si="14"/>
        <v>0.70039496499999987</v>
      </c>
      <c r="Y214">
        <f t="shared" si="15"/>
        <v>89.4</v>
      </c>
      <c r="Z214" s="1">
        <v>2</v>
      </c>
      <c r="AA214">
        <v>98</v>
      </c>
      <c r="AB214">
        <v>2.0400000000000001E-2</v>
      </c>
      <c r="AC214">
        <v>4</v>
      </c>
      <c r="AD214">
        <v>98</v>
      </c>
      <c r="AE214">
        <v>4.0800000000000003E-2</v>
      </c>
      <c r="AF214" t="s">
        <v>2592</v>
      </c>
      <c r="AG214" t="s">
        <v>2590</v>
      </c>
    </row>
    <row r="215" spans="1:33">
      <c r="A215" s="2" t="s">
        <v>141</v>
      </c>
      <c r="B215" s="2" t="s">
        <v>29</v>
      </c>
      <c r="C215" s="1">
        <v>0.51109353000000002</v>
      </c>
      <c r="D215">
        <v>0.62487169300000001</v>
      </c>
      <c r="E215">
        <v>0.629348248</v>
      </c>
      <c r="F215" s="1" t="s">
        <v>142</v>
      </c>
      <c r="G215" s="1">
        <v>1.171344165</v>
      </c>
      <c r="H215" s="1">
        <v>60.9</v>
      </c>
      <c r="I215" s="1">
        <v>135.4</v>
      </c>
      <c r="J215" s="1">
        <v>0.58843782366666664</v>
      </c>
      <c r="K215" s="1">
        <v>0.59351545100000003</v>
      </c>
      <c r="L215" s="1">
        <v>0.68136602400000001</v>
      </c>
      <c r="M215" s="3">
        <v>0.73518087600000004</v>
      </c>
      <c r="N215" s="1" t="s">
        <v>30</v>
      </c>
      <c r="O215" s="1">
        <v>2.849112426</v>
      </c>
      <c r="P215" s="1">
        <v>37.9</v>
      </c>
      <c r="Q215" s="1">
        <v>33.799999999999997</v>
      </c>
      <c r="R215" s="1">
        <v>0.67002078366666673</v>
      </c>
      <c r="S215" s="1">
        <v>0.14555249103280302</v>
      </c>
      <c r="T215" t="s">
        <v>362</v>
      </c>
      <c r="U215" s="1">
        <v>1147</v>
      </c>
      <c r="V215">
        <f t="shared" si="12"/>
        <v>0.33995149087791865</v>
      </c>
      <c r="W215" s="1">
        <f t="shared" si="13"/>
        <v>23</v>
      </c>
      <c r="X215">
        <f t="shared" si="14"/>
        <v>1.677768261</v>
      </c>
      <c r="Y215">
        <f t="shared" si="15"/>
        <v>101.60000000000001</v>
      </c>
      <c r="Z215" s="1">
        <v>0</v>
      </c>
      <c r="AA215">
        <v>100</v>
      </c>
      <c r="AB215">
        <v>0</v>
      </c>
      <c r="AC215">
        <v>0</v>
      </c>
      <c r="AD215">
        <v>91</v>
      </c>
      <c r="AE215">
        <v>0</v>
      </c>
      <c r="AF215" t="s">
        <v>2592</v>
      </c>
      <c r="AG215" t="s">
        <v>2593</v>
      </c>
    </row>
    <row r="216" spans="1:33">
      <c r="A216" s="2" t="s">
        <v>141</v>
      </c>
      <c r="B216" s="2" t="s">
        <v>31</v>
      </c>
      <c r="C216" s="1">
        <v>0.51109353000000002</v>
      </c>
      <c r="D216">
        <v>0.62487169300000001</v>
      </c>
      <c r="E216">
        <v>0.629348248</v>
      </c>
      <c r="F216" s="1" t="s">
        <v>142</v>
      </c>
      <c r="G216" s="1">
        <v>1.171344165</v>
      </c>
      <c r="H216" s="1">
        <v>60.9</v>
      </c>
      <c r="I216" s="1">
        <v>135.4</v>
      </c>
      <c r="J216" s="1">
        <v>0.58843782366666664</v>
      </c>
      <c r="K216" s="1">
        <v>0.47727961800000002</v>
      </c>
      <c r="L216" s="1">
        <v>0.66941086400000005</v>
      </c>
      <c r="M216" s="3">
        <v>0.69294815300000001</v>
      </c>
      <c r="N216" s="1" t="s">
        <v>32</v>
      </c>
      <c r="O216" s="1">
        <v>1.341891892</v>
      </c>
      <c r="P216" s="1">
        <v>42.1</v>
      </c>
      <c r="Q216" s="1">
        <v>74</v>
      </c>
      <c r="R216" s="1">
        <v>0.61321287833333338</v>
      </c>
      <c r="S216" s="1">
        <v>8.4688052959788943E-2</v>
      </c>
      <c r="T216" t="s">
        <v>363</v>
      </c>
      <c r="U216" s="1">
        <v>3009</v>
      </c>
      <c r="V216">
        <f t="shared" si="12"/>
        <v>0.3864913541933423</v>
      </c>
      <c r="W216" s="1">
        <f t="shared" si="13"/>
        <v>18.799999999999997</v>
      </c>
      <c r="X216">
        <f t="shared" si="14"/>
        <v>0.17054772699999998</v>
      </c>
      <c r="Y216">
        <f t="shared" si="15"/>
        <v>61.400000000000006</v>
      </c>
      <c r="Z216" s="1">
        <v>10</v>
      </c>
      <c r="AA216">
        <v>90</v>
      </c>
      <c r="AB216">
        <v>0.1111</v>
      </c>
      <c r="AC216">
        <v>12</v>
      </c>
      <c r="AD216">
        <v>87</v>
      </c>
      <c r="AE216">
        <v>0.13789999999999999</v>
      </c>
      <c r="AF216" t="s">
        <v>2592</v>
      </c>
      <c r="AG216" t="s">
        <v>2589</v>
      </c>
    </row>
    <row r="217" spans="1:33">
      <c r="A217" s="2" t="s">
        <v>141</v>
      </c>
      <c r="B217" s="2" t="s">
        <v>33</v>
      </c>
      <c r="C217" s="1">
        <v>0.51109353000000002</v>
      </c>
      <c r="D217">
        <v>0.62487169300000001</v>
      </c>
      <c r="E217">
        <v>0.629348248</v>
      </c>
      <c r="F217" s="1" t="s">
        <v>142</v>
      </c>
      <c r="G217" s="1">
        <v>1.171344165</v>
      </c>
      <c r="H217" s="1">
        <v>60.9</v>
      </c>
      <c r="I217" s="1">
        <v>135.4</v>
      </c>
      <c r="J217" s="1">
        <v>0.58843782366666664</v>
      </c>
      <c r="K217" s="1">
        <v>0.51347926600000005</v>
      </c>
      <c r="L217" s="1">
        <v>0.63144379399999995</v>
      </c>
      <c r="M217" s="3">
        <v>0.64189093500000005</v>
      </c>
      <c r="N217" s="1" t="s">
        <v>34</v>
      </c>
      <c r="O217" s="1">
        <v>2.3123667380000001</v>
      </c>
      <c r="P217" s="1">
        <v>79.099999999999994</v>
      </c>
      <c r="Q217" s="1">
        <v>93.8</v>
      </c>
      <c r="R217" s="1">
        <v>0.59560466500000009</v>
      </c>
      <c r="S217" s="1">
        <v>1.4359778723777977E-2</v>
      </c>
      <c r="T217" t="s">
        <v>364</v>
      </c>
      <c r="U217" s="1">
        <v>53660</v>
      </c>
      <c r="V217">
        <f t="shared" si="12"/>
        <v>0.52551674092621337</v>
      </c>
      <c r="W217" s="1">
        <f t="shared" si="13"/>
        <v>18.199999999999996</v>
      </c>
      <c r="X217">
        <f t="shared" si="14"/>
        <v>1.1410225730000001</v>
      </c>
      <c r="Y217">
        <f t="shared" si="15"/>
        <v>41.600000000000009</v>
      </c>
      <c r="Z217" s="1">
        <v>20</v>
      </c>
      <c r="AA217">
        <v>80</v>
      </c>
      <c r="AB217">
        <v>0.25</v>
      </c>
      <c r="AC217">
        <v>18</v>
      </c>
      <c r="AD217">
        <v>75</v>
      </c>
      <c r="AE217">
        <v>0.24</v>
      </c>
      <c r="AF217" t="s">
        <v>2592</v>
      </c>
      <c r="AG217" t="s">
        <v>2590</v>
      </c>
    </row>
    <row r="218" spans="1:33">
      <c r="A218" s="2" t="s">
        <v>141</v>
      </c>
      <c r="B218" s="2" t="s">
        <v>35</v>
      </c>
      <c r="C218" s="1">
        <v>0.51109353000000002</v>
      </c>
      <c r="D218">
        <v>0.62487169300000001</v>
      </c>
      <c r="E218">
        <v>0.629348248</v>
      </c>
      <c r="F218" s="1" t="s">
        <v>142</v>
      </c>
      <c r="G218" s="1">
        <v>1.171344165</v>
      </c>
      <c r="H218" s="1">
        <v>60.9</v>
      </c>
      <c r="I218" s="1">
        <v>135.4</v>
      </c>
      <c r="J218" s="1">
        <v>0.58843782366666664</v>
      </c>
      <c r="K218" s="1">
        <v>0.52542897600000005</v>
      </c>
      <c r="L218" s="1">
        <v>0.60774736299999998</v>
      </c>
      <c r="M218" s="3">
        <v>0.62585751700000003</v>
      </c>
      <c r="N218" s="1" t="s">
        <v>36</v>
      </c>
      <c r="O218" s="1">
        <v>0.98848810399999998</v>
      </c>
      <c r="P218" s="1">
        <v>54.2</v>
      </c>
      <c r="Q218" s="1">
        <v>130.30000000000001</v>
      </c>
      <c r="R218" s="1">
        <v>0.58634461866666665</v>
      </c>
      <c r="S218" s="1">
        <v>2.2603824740122597E-2</v>
      </c>
      <c r="T218" t="s">
        <v>365</v>
      </c>
      <c r="U218" s="1">
        <v>14046</v>
      </c>
      <c r="V218">
        <f t="shared" si="12"/>
        <v>0.46083918489780756</v>
      </c>
      <c r="W218" s="1">
        <f t="shared" si="13"/>
        <v>6.6999999999999957</v>
      </c>
      <c r="X218">
        <f t="shared" si="14"/>
        <v>0.18285606100000007</v>
      </c>
      <c r="Y218">
        <f t="shared" si="15"/>
        <v>5.0999999999999943</v>
      </c>
      <c r="Z218" s="1">
        <v>13</v>
      </c>
      <c r="AA218">
        <v>87</v>
      </c>
      <c r="AB218">
        <v>0.14940000000000001</v>
      </c>
      <c r="AC218">
        <v>15</v>
      </c>
      <c r="AD218">
        <v>77</v>
      </c>
      <c r="AE218">
        <v>0.1948</v>
      </c>
      <c r="AF218" t="s">
        <v>2592</v>
      </c>
      <c r="AG218" t="s">
        <v>2589</v>
      </c>
    </row>
    <row r="219" spans="1:33">
      <c r="A219" s="2" t="s">
        <v>141</v>
      </c>
      <c r="B219" s="2" t="s">
        <v>37</v>
      </c>
      <c r="C219" s="1">
        <v>0.51109353000000002</v>
      </c>
      <c r="D219">
        <v>0.62487169300000001</v>
      </c>
      <c r="E219">
        <v>0.629348248</v>
      </c>
      <c r="F219" s="1" t="s">
        <v>142</v>
      </c>
      <c r="G219" s="1">
        <v>1.171344165</v>
      </c>
      <c r="H219" s="1">
        <v>60.9</v>
      </c>
      <c r="I219" s="1">
        <v>135.4</v>
      </c>
      <c r="J219" s="1">
        <v>0.58843782366666664</v>
      </c>
      <c r="K219" s="1">
        <v>0.50856695500000004</v>
      </c>
      <c r="L219" s="1">
        <v>0.654733224</v>
      </c>
      <c r="M219" s="3">
        <v>0.61418267199999999</v>
      </c>
      <c r="N219" s="1" t="s">
        <v>38</v>
      </c>
      <c r="O219" s="1">
        <v>0.64065708399999999</v>
      </c>
      <c r="P219" s="1">
        <v>41.9</v>
      </c>
      <c r="Q219" s="1">
        <v>146.1</v>
      </c>
      <c r="R219" s="1">
        <v>0.59249428366666679</v>
      </c>
      <c r="S219" s="1">
        <v>3.3587040809013854E-2</v>
      </c>
      <c r="T219" t="s">
        <v>366</v>
      </c>
      <c r="U219" s="1">
        <v>4541</v>
      </c>
      <c r="V219">
        <f t="shared" si="12"/>
        <v>0.40635016687788522</v>
      </c>
      <c r="W219" s="1">
        <f t="shared" si="13"/>
        <v>19</v>
      </c>
      <c r="X219">
        <f t="shared" si="14"/>
        <v>0.53068708100000006</v>
      </c>
      <c r="Y219">
        <f t="shared" si="15"/>
        <v>10.699999999999989</v>
      </c>
      <c r="Z219" s="1">
        <v>13</v>
      </c>
      <c r="AA219">
        <v>87</v>
      </c>
      <c r="AB219">
        <v>0.14940000000000001</v>
      </c>
      <c r="AC219">
        <v>13</v>
      </c>
      <c r="AD219">
        <v>78</v>
      </c>
      <c r="AE219">
        <v>0.16669999999999999</v>
      </c>
      <c r="AF219" t="s">
        <v>2592</v>
      </c>
      <c r="AG219" t="s">
        <v>2590</v>
      </c>
    </row>
    <row r="220" spans="1:33">
      <c r="A220" s="2" t="s">
        <v>141</v>
      </c>
      <c r="B220" s="2" t="s">
        <v>39</v>
      </c>
      <c r="C220" s="1">
        <v>0.51109353000000002</v>
      </c>
      <c r="D220">
        <v>0.62487169300000001</v>
      </c>
      <c r="E220">
        <v>0.629348248</v>
      </c>
      <c r="F220" s="1" t="s">
        <v>142</v>
      </c>
      <c r="G220" s="1">
        <v>1.171344165</v>
      </c>
      <c r="H220" s="1">
        <v>60.9</v>
      </c>
      <c r="I220" s="1">
        <v>135.4</v>
      </c>
      <c r="J220" s="1">
        <v>0.58843782366666664</v>
      </c>
      <c r="K220" s="1">
        <v>0.60811616199999996</v>
      </c>
      <c r="L220" s="1">
        <v>0.721105683</v>
      </c>
      <c r="M220" s="3">
        <v>0.741016169</v>
      </c>
      <c r="N220" s="1" t="s">
        <v>40</v>
      </c>
      <c r="O220" s="1">
        <v>1.0601915180000001</v>
      </c>
      <c r="P220" s="1">
        <v>34</v>
      </c>
      <c r="Q220" s="1">
        <v>73.099999999999994</v>
      </c>
      <c r="R220" s="1">
        <v>0.69007933799999999</v>
      </c>
      <c r="S220" s="1">
        <v>0.17647690084537906</v>
      </c>
      <c r="T220" t="s">
        <v>367</v>
      </c>
      <c r="U220" s="1">
        <v>2111</v>
      </c>
      <c r="V220">
        <f t="shared" si="12"/>
        <v>0.36938758147862849</v>
      </c>
      <c r="W220" s="1">
        <f t="shared" si="13"/>
        <v>26.9</v>
      </c>
      <c r="X220">
        <f t="shared" si="14"/>
        <v>0.11115264699999994</v>
      </c>
      <c r="Y220">
        <f t="shared" si="15"/>
        <v>62.300000000000011</v>
      </c>
      <c r="Z220" s="1">
        <v>4</v>
      </c>
      <c r="AA220">
        <v>96</v>
      </c>
      <c r="AB220">
        <v>4.1700000000000001E-2</v>
      </c>
      <c r="AC220">
        <v>7</v>
      </c>
      <c r="AD220">
        <v>87</v>
      </c>
      <c r="AE220">
        <v>8.0500000000000002E-2</v>
      </c>
      <c r="AF220" t="s">
        <v>2592</v>
      </c>
      <c r="AG220" t="s">
        <v>2589</v>
      </c>
    </row>
    <row r="221" spans="1:33">
      <c r="A221" s="2" t="s">
        <v>141</v>
      </c>
      <c r="B221" s="2" t="s">
        <v>41</v>
      </c>
      <c r="C221" s="1">
        <v>0.51109353000000002</v>
      </c>
      <c r="D221">
        <v>0.62487169300000001</v>
      </c>
      <c r="E221">
        <v>0.629348248</v>
      </c>
      <c r="F221" s="1" t="s">
        <v>142</v>
      </c>
      <c r="G221" s="1">
        <v>1.171344165</v>
      </c>
      <c r="H221" s="1">
        <v>60.9</v>
      </c>
      <c r="I221" s="1">
        <v>135.4</v>
      </c>
      <c r="J221" s="1">
        <v>0.58843782366666664</v>
      </c>
      <c r="K221" s="1">
        <v>0.60402244999999999</v>
      </c>
      <c r="L221" s="1">
        <v>0.669189213</v>
      </c>
      <c r="M221" s="3">
        <v>0.69821693799999995</v>
      </c>
      <c r="N221" s="1" t="s">
        <v>42</v>
      </c>
      <c r="O221" s="1">
        <v>1.3243902439999999</v>
      </c>
      <c r="P221" s="1">
        <v>23</v>
      </c>
      <c r="Q221" s="1">
        <v>41</v>
      </c>
      <c r="R221" s="1">
        <v>0.65714286700000002</v>
      </c>
      <c r="S221" s="1">
        <v>0.12386574673263342</v>
      </c>
      <c r="T221" t="s">
        <v>368</v>
      </c>
      <c r="U221" s="1">
        <v>1020</v>
      </c>
      <c r="V221">
        <f t="shared" si="12"/>
        <v>0.33428890797354638</v>
      </c>
      <c r="W221" s="1">
        <f t="shared" si="13"/>
        <v>37.9</v>
      </c>
      <c r="X221">
        <f t="shared" si="14"/>
        <v>0.15304607899999989</v>
      </c>
      <c r="Y221">
        <f t="shared" si="15"/>
        <v>94.4</v>
      </c>
      <c r="Z221" s="1">
        <v>0</v>
      </c>
      <c r="AA221">
        <v>100</v>
      </c>
      <c r="AB221">
        <v>0</v>
      </c>
      <c r="AC221">
        <v>0</v>
      </c>
      <c r="AD221">
        <v>108</v>
      </c>
      <c r="AE221">
        <v>0</v>
      </c>
      <c r="AF221" t="s">
        <v>2592</v>
      </c>
      <c r="AG221" t="s">
        <v>2591</v>
      </c>
    </row>
    <row r="222" spans="1:33">
      <c r="A222" s="2" t="s">
        <v>141</v>
      </c>
      <c r="B222" s="2" t="s">
        <v>43</v>
      </c>
      <c r="C222" s="1">
        <v>0.51109353000000002</v>
      </c>
      <c r="D222">
        <v>0.62487169300000001</v>
      </c>
      <c r="E222">
        <v>0.629348248</v>
      </c>
      <c r="F222" s="1" t="s">
        <v>142</v>
      </c>
      <c r="G222" s="1">
        <v>1.171344165</v>
      </c>
      <c r="H222" s="1">
        <v>60.9</v>
      </c>
      <c r="I222" s="1">
        <v>135.4</v>
      </c>
      <c r="J222" s="1">
        <v>0.58843782366666664</v>
      </c>
      <c r="K222" s="1">
        <v>0.54180634699999997</v>
      </c>
      <c r="L222" s="1">
        <v>0.59470779900000004</v>
      </c>
      <c r="M222" s="3">
        <v>0.69518155599999998</v>
      </c>
      <c r="N222" s="1" t="s">
        <v>44</v>
      </c>
      <c r="O222" s="1">
        <v>1.7403685090000001</v>
      </c>
      <c r="P222" s="1">
        <v>41.2</v>
      </c>
      <c r="Q222" s="1">
        <v>59.7</v>
      </c>
      <c r="R222" s="1">
        <v>0.61056523400000007</v>
      </c>
      <c r="S222" s="1">
        <v>7.8658515569145979E-2</v>
      </c>
      <c r="T222" t="s">
        <v>369</v>
      </c>
      <c r="U222" s="1">
        <v>7611</v>
      </c>
      <c r="V222">
        <f t="shared" si="12"/>
        <v>0.43127130243793255</v>
      </c>
      <c r="W222" s="1">
        <f t="shared" si="13"/>
        <v>19.699999999999996</v>
      </c>
      <c r="X222">
        <f t="shared" si="14"/>
        <v>0.56902434400000002</v>
      </c>
      <c r="Y222">
        <f t="shared" si="15"/>
        <v>75.7</v>
      </c>
      <c r="Z222" s="1">
        <v>11</v>
      </c>
      <c r="AA222">
        <v>89</v>
      </c>
      <c r="AB222">
        <v>0.1236</v>
      </c>
      <c r="AC222">
        <v>12</v>
      </c>
      <c r="AD222">
        <v>118</v>
      </c>
      <c r="AE222">
        <v>0.1017</v>
      </c>
      <c r="AF222" t="s">
        <v>2592</v>
      </c>
      <c r="AG222" t="s">
        <v>2589</v>
      </c>
    </row>
    <row r="223" spans="1:33">
      <c r="A223" s="2" t="s">
        <v>141</v>
      </c>
      <c r="B223" s="2" t="s">
        <v>45</v>
      </c>
      <c r="C223" s="1">
        <v>0.51109353000000002</v>
      </c>
      <c r="D223">
        <v>0.62487169300000001</v>
      </c>
      <c r="E223">
        <v>0.629348248</v>
      </c>
      <c r="F223" s="1" t="s">
        <v>142</v>
      </c>
      <c r="G223" s="1">
        <v>1.171344165</v>
      </c>
      <c r="H223" s="1">
        <v>60.9</v>
      </c>
      <c r="I223" s="1">
        <v>135.4</v>
      </c>
      <c r="J223" s="1">
        <v>0.58843782366666664</v>
      </c>
      <c r="K223" s="1">
        <v>0.50907007599999998</v>
      </c>
      <c r="L223" s="1">
        <v>0.68428041399999995</v>
      </c>
      <c r="M223" s="3">
        <v>0.67454742099999998</v>
      </c>
      <c r="N223" s="1" t="s">
        <v>46</v>
      </c>
      <c r="O223" s="1">
        <v>0.98140043799999999</v>
      </c>
      <c r="P223" s="1">
        <v>38.9</v>
      </c>
      <c r="Q223" s="1">
        <v>91.4</v>
      </c>
      <c r="R223" s="1">
        <v>0.62263263699999993</v>
      </c>
      <c r="S223" s="1">
        <v>7.4675670313897269E-2</v>
      </c>
      <c r="T223" t="s">
        <v>370</v>
      </c>
      <c r="U223" s="1">
        <v>2225</v>
      </c>
      <c r="V223">
        <f t="shared" si="12"/>
        <v>0.37192555725743892</v>
      </c>
      <c r="W223" s="1">
        <f t="shared" si="13"/>
        <v>22</v>
      </c>
      <c r="X223">
        <f t="shared" si="14"/>
        <v>0.18994372700000006</v>
      </c>
      <c r="Y223">
        <f t="shared" si="15"/>
        <v>44</v>
      </c>
      <c r="Z223" s="1">
        <v>12</v>
      </c>
      <c r="AA223">
        <v>88</v>
      </c>
      <c r="AB223">
        <v>0.13639999999999999</v>
      </c>
      <c r="AC223">
        <v>15</v>
      </c>
      <c r="AD223">
        <v>95</v>
      </c>
      <c r="AE223">
        <v>0.15790000000000001</v>
      </c>
      <c r="AF223" t="s">
        <v>2592</v>
      </c>
      <c r="AG223" t="s">
        <v>2589</v>
      </c>
    </row>
    <row r="224" spans="1:33">
      <c r="A224" s="2" t="s">
        <v>141</v>
      </c>
      <c r="B224" s="2" t="s">
        <v>47</v>
      </c>
      <c r="C224" s="1">
        <v>0.51109353000000002</v>
      </c>
      <c r="D224">
        <v>0.62487169300000001</v>
      </c>
      <c r="E224">
        <v>0.629348248</v>
      </c>
      <c r="F224" s="1" t="s">
        <v>142</v>
      </c>
      <c r="G224" s="1">
        <v>1.171344165</v>
      </c>
      <c r="H224" s="1">
        <v>60.9</v>
      </c>
      <c r="I224" s="1">
        <v>135.4</v>
      </c>
      <c r="J224" s="1">
        <v>0.58843782366666664</v>
      </c>
      <c r="K224" s="1">
        <v>0.50612154099999995</v>
      </c>
      <c r="L224" s="1">
        <v>0.55940039100000005</v>
      </c>
      <c r="M224" s="3">
        <v>0.66789001699999995</v>
      </c>
      <c r="N224" s="1" t="s">
        <v>48</v>
      </c>
      <c r="O224" s="1">
        <v>1.242622951</v>
      </c>
      <c r="P224" s="1">
        <v>17.8</v>
      </c>
      <c r="Q224" s="1">
        <v>30.5</v>
      </c>
      <c r="R224" s="1">
        <v>0.57780398300000002</v>
      </c>
      <c r="S224" s="1">
        <v>7.6135931187847672E-2</v>
      </c>
      <c r="T224" t="s">
        <v>371</v>
      </c>
      <c r="U224" s="1">
        <v>4975</v>
      </c>
      <c r="V224">
        <f t="shared" si="12"/>
        <v>0.41075478723130493</v>
      </c>
      <c r="W224" s="1">
        <f t="shared" si="13"/>
        <v>43.099999999999994</v>
      </c>
      <c r="X224">
        <f t="shared" si="14"/>
        <v>7.1278785999999927E-2</v>
      </c>
      <c r="Y224">
        <f t="shared" si="15"/>
        <v>104.9</v>
      </c>
      <c r="Z224" s="1">
        <v>1</v>
      </c>
      <c r="AA224">
        <v>99</v>
      </c>
      <c r="AB224">
        <v>1.01E-2</v>
      </c>
      <c r="AC224">
        <v>2</v>
      </c>
      <c r="AD224">
        <v>115</v>
      </c>
      <c r="AE224">
        <v>1.7399999999999999E-2</v>
      </c>
      <c r="AF224" t="s">
        <v>2592</v>
      </c>
      <c r="AG224" t="s">
        <v>2590</v>
      </c>
    </row>
    <row r="225" spans="1:33">
      <c r="A225" s="2" t="s">
        <v>141</v>
      </c>
      <c r="B225" s="2" t="s">
        <v>49</v>
      </c>
      <c r="C225" s="1">
        <v>0.51109353000000002</v>
      </c>
      <c r="D225">
        <v>0.62487169300000001</v>
      </c>
      <c r="E225">
        <v>0.629348248</v>
      </c>
      <c r="F225" s="1" t="s">
        <v>142</v>
      </c>
      <c r="G225" s="1">
        <v>1.171344165</v>
      </c>
      <c r="H225" s="1">
        <v>60.9</v>
      </c>
      <c r="I225" s="1">
        <v>135.4</v>
      </c>
      <c r="J225" s="1">
        <v>0.58843782366666664</v>
      </c>
      <c r="K225" s="1">
        <v>0.50647110500000003</v>
      </c>
      <c r="L225" s="1">
        <v>0.55713136799999996</v>
      </c>
      <c r="M225" s="3">
        <v>0.63402682300000002</v>
      </c>
      <c r="N225" s="1" t="s">
        <v>50</v>
      </c>
      <c r="O225" s="1">
        <v>1.876675603</v>
      </c>
      <c r="P225" s="1">
        <v>28.8</v>
      </c>
      <c r="Q225" s="1">
        <v>37.299999999999997</v>
      </c>
      <c r="R225" s="1">
        <v>0.56587643200000004</v>
      </c>
      <c r="S225" s="1">
        <v>6.8058853266984173E-2</v>
      </c>
      <c r="T225" t="s">
        <v>372</v>
      </c>
      <c r="U225" s="1">
        <v>14422</v>
      </c>
      <c r="V225">
        <f t="shared" si="12"/>
        <v>0.46211394346943391</v>
      </c>
      <c r="W225" s="1">
        <f t="shared" si="13"/>
        <v>32.099999999999994</v>
      </c>
      <c r="X225">
        <f t="shared" si="14"/>
        <v>0.70533143799999998</v>
      </c>
      <c r="Y225">
        <f t="shared" si="15"/>
        <v>98.100000000000009</v>
      </c>
      <c r="Z225" s="1">
        <v>6</v>
      </c>
      <c r="AA225">
        <v>94</v>
      </c>
      <c r="AB225">
        <v>6.3799999999999996E-2</v>
      </c>
      <c r="AC225">
        <v>8</v>
      </c>
      <c r="AD225">
        <v>83</v>
      </c>
      <c r="AE225">
        <v>9.64E-2</v>
      </c>
      <c r="AF225" t="s">
        <v>2592</v>
      </c>
      <c r="AG225" t="s">
        <v>2590</v>
      </c>
    </row>
    <row r="226" spans="1:33">
      <c r="A226" s="2" t="s">
        <v>141</v>
      </c>
      <c r="B226" s="2" t="s">
        <v>51</v>
      </c>
      <c r="C226" s="1">
        <v>0.51109353000000002</v>
      </c>
      <c r="D226">
        <v>0.62487169300000001</v>
      </c>
      <c r="E226">
        <v>0.629348248</v>
      </c>
      <c r="F226" s="1" t="s">
        <v>142</v>
      </c>
      <c r="G226" s="1">
        <v>1.171344165</v>
      </c>
      <c r="H226" s="1">
        <v>60.9</v>
      </c>
      <c r="I226" s="1">
        <v>135.4</v>
      </c>
      <c r="J226" s="1">
        <v>0.58843782366666664</v>
      </c>
      <c r="K226" s="1">
        <v>0.60067161999999996</v>
      </c>
      <c r="L226" s="1">
        <v>0.68094129999999997</v>
      </c>
      <c r="M226" s="3">
        <v>0.73595931299999995</v>
      </c>
      <c r="N226" s="1" t="s">
        <v>52</v>
      </c>
      <c r="O226" s="1">
        <v>1.858638743</v>
      </c>
      <c r="P226" s="1">
        <v>29.4</v>
      </c>
      <c r="Q226" s="1">
        <v>38.200000000000003</v>
      </c>
      <c r="R226" s="1">
        <v>0.67252407766666666</v>
      </c>
      <c r="S226" s="1">
        <v>0.15011313805798862</v>
      </c>
      <c r="T226" t="s">
        <v>373</v>
      </c>
      <c r="U226" s="1">
        <v>1818</v>
      </c>
      <c r="V226">
        <f t="shared" si="12"/>
        <v>0.36217709765399431</v>
      </c>
      <c r="W226" s="1">
        <f t="shared" si="13"/>
        <v>31.5</v>
      </c>
      <c r="X226">
        <f t="shared" si="14"/>
        <v>0.68729457799999993</v>
      </c>
      <c r="Y226">
        <f t="shared" si="15"/>
        <v>97.2</v>
      </c>
      <c r="Z226" s="1">
        <v>3</v>
      </c>
      <c r="AA226">
        <v>97</v>
      </c>
      <c r="AB226">
        <v>3.09E-2</v>
      </c>
      <c r="AC226">
        <v>4</v>
      </c>
      <c r="AD226">
        <v>96</v>
      </c>
      <c r="AE226">
        <v>4.1700000000000001E-2</v>
      </c>
      <c r="AF226" t="s">
        <v>2592</v>
      </c>
      <c r="AG226" t="s">
        <v>2591</v>
      </c>
    </row>
    <row r="227" spans="1:33">
      <c r="A227" s="2" t="s">
        <v>141</v>
      </c>
      <c r="B227" s="2" t="s">
        <v>53</v>
      </c>
      <c r="C227" s="1">
        <v>0.51109353000000002</v>
      </c>
      <c r="D227">
        <v>0.62487169300000001</v>
      </c>
      <c r="E227">
        <v>0.629348248</v>
      </c>
      <c r="F227" s="1" t="s">
        <v>142</v>
      </c>
      <c r="G227" s="1">
        <v>1.171344165</v>
      </c>
      <c r="H227" s="1">
        <v>60.9</v>
      </c>
      <c r="I227" s="1">
        <v>135.4</v>
      </c>
      <c r="J227" s="1">
        <v>0.58843782366666664</v>
      </c>
      <c r="K227" s="1">
        <v>0.54695832700000002</v>
      </c>
      <c r="L227" s="1">
        <v>0.659790137</v>
      </c>
      <c r="M227" s="3">
        <v>0.70662085500000005</v>
      </c>
      <c r="N227" s="1" t="s">
        <v>54</v>
      </c>
      <c r="O227" s="1">
        <v>2.5053995680000001</v>
      </c>
      <c r="P227" s="1">
        <v>43.9</v>
      </c>
      <c r="Q227" s="1">
        <v>46.3</v>
      </c>
      <c r="R227" s="1">
        <v>0.63778977300000006</v>
      </c>
      <c r="S227" s="1">
        <v>9.206865475181443E-2</v>
      </c>
      <c r="T227" t="s">
        <v>374</v>
      </c>
      <c r="U227" s="1">
        <v>1569</v>
      </c>
      <c r="V227">
        <f t="shared" si="12"/>
        <v>0.35506921595410407</v>
      </c>
      <c r="W227" s="1">
        <f t="shared" si="13"/>
        <v>17</v>
      </c>
      <c r="X227">
        <f t="shared" si="14"/>
        <v>1.334055403</v>
      </c>
      <c r="Y227">
        <f t="shared" si="15"/>
        <v>89.100000000000009</v>
      </c>
      <c r="Z227" s="1">
        <v>1</v>
      </c>
      <c r="AA227">
        <v>99</v>
      </c>
      <c r="AB227">
        <v>1.01E-2</v>
      </c>
      <c r="AC227">
        <v>2</v>
      </c>
      <c r="AD227">
        <v>98</v>
      </c>
      <c r="AE227">
        <v>2.0400000000000001E-2</v>
      </c>
      <c r="AF227" t="s">
        <v>2592</v>
      </c>
      <c r="AG227" t="s">
        <v>2593</v>
      </c>
    </row>
    <row r="228" spans="1:33">
      <c r="A228" s="2" t="s">
        <v>141</v>
      </c>
      <c r="B228" s="2" t="s">
        <v>55</v>
      </c>
      <c r="C228" s="1">
        <v>0.51109353000000002</v>
      </c>
      <c r="D228">
        <v>0.62487169300000001</v>
      </c>
      <c r="E228">
        <v>0.629348248</v>
      </c>
      <c r="F228" s="1" t="s">
        <v>142</v>
      </c>
      <c r="G228" s="1">
        <v>1.171344165</v>
      </c>
      <c r="H228" s="1">
        <v>60.9</v>
      </c>
      <c r="I228" s="1">
        <v>135.4</v>
      </c>
      <c r="J228" s="1">
        <v>0.58843782366666664</v>
      </c>
      <c r="K228" s="1">
        <v>0.52971861799999997</v>
      </c>
      <c r="L228" s="1">
        <v>0.62258244500000004</v>
      </c>
      <c r="M228" s="3">
        <v>0.63939760400000001</v>
      </c>
      <c r="N228" s="1" t="s">
        <v>56</v>
      </c>
      <c r="O228" s="1">
        <v>1.0796934869999999</v>
      </c>
      <c r="P228" s="1">
        <v>55.3</v>
      </c>
      <c r="Q228" s="1">
        <v>130.5</v>
      </c>
      <c r="R228" s="1">
        <v>0.59723288899999993</v>
      </c>
      <c r="S228" s="1">
        <v>2.1286712179854887E-2</v>
      </c>
      <c r="T228" t="s">
        <v>375</v>
      </c>
      <c r="U228" s="1">
        <v>301254</v>
      </c>
      <c r="V228">
        <f t="shared" si="12"/>
        <v>0.60877031356781952</v>
      </c>
      <c r="W228" s="1">
        <f t="shared" si="13"/>
        <v>5.6000000000000014</v>
      </c>
      <c r="X228">
        <f t="shared" si="14"/>
        <v>9.1650678000000152E-2</v>
      </c>
      <c r="Y228">
        <f t="shared" si="15"/>
        <v>4.9000000000000057</v>
      </c>
      <c r="Z228" s="1">
        <v>40</v>
      </c>
      <c r="AA228">
        <v>60</v>
      </c>
      <c r="AB228">
        <v>0.66669999999999996</v>
      </c>
      <c r="AC228">
        <v>39</v>
      </c>
      <c r="AD228">
        <v>53</v>
      </c>
      <c r="AE228">
        <v>0.73580000000000001</v>
      </c>
      <c r="AF228" t="s">
        <v>2592</v>
      </c>
      <c r="AG228" t="s">
        <v>2592</v>
      </c>
    </row>
    <row r="229" spans="1:33">
      <c r="A229" s="2" t="s">
        <v>141</v>
      </c>
      <c r="B229" s="2" t="s">
        <v>57</v>
      </c>
      <c r="C229" s="1">
        <v>0.51109353000000002</v>
      </c>
      <c r="D229">
        <v>0.62487169300000001</v>
      </c>
      <c r="E229">
        <v>0.629348248</v>
      </c>
      <c r="F229" s="1" t="s">
        <v>142</v>
      </c>
      <c r="G229" s="1">
        <v>1.171344165</v>
      </c>
      <c r="H229" s="1">
        <v>60.9</v>
      </c>
      <c r="I229" s="1">
        <v>135.4</v>
      </c>
      <c r="J229" s="1">
        <v>0.58843782366666664</v>
      </c>
      <c r="K229" s="1">
        <v>0.528732855</v>
      </c>
      <c r="L229" s="1">
        <v>0.63387497599999998</v>
      </c>
      <c r="M229" s="3">
        <v>0.63337360200000004</v>
      </c>
      <c r="N229" s="1" t="s">
        <v>58</v>
      </c>
      <c r="O229" s="1">
        <v>1.386610879</v>
      </c>
      <c r="P229" s="1">
        <v>69</v>
      </c>
      <c r="Q229" s="1">
        <v>119.5</v>
      </c>
      <c r="R229" s="1">
        <v>0.59866047766666663</v>
      </c>
      <c r="S229" s="1">
        <v>2.020911591482985E-2</v>
      </c>
      <c r="T229" t="s">
        <v>376</v>
      </c>
      <c r="U229" s="1">
        <v>11930</v>
      </c>
      <c r="V229">
        <f t="shared" si="12"/>
        <v>0.45296004929670464</v>
      </c>
      <c r="W229" s="1">
        <f t="shared" si="13"/>
        <v>8.1000000000000014</v>
      </c>
      <c r="X229">
        <f t="shared" si="14"/>
        <v>0.21526671399999997</v>
      </c>
      <c r="Y229">
        <f t="shared" si="15"/>
        <v>15.900000000000006</v>
      </c>
      <c r="Z229" s="1">
        <v>23</v>
      </c>
      <c r="AA229">
        <v>77</v>
      </c>
      <c r="AB229">
        <v>0.29870000000000002</v>
      </c>
      <c r="AC229">
        <v>21</v>
      </c>
      <c r="AD229">
        <v>77</v>
      </c>
      <c r="AE229">
        <v>0.2727</v>
      </c>
      <c r="AF229" t="s">
        <v>2592</v>
      </c>
      <c r="AG229" t="s">
        <v>2589</v>
      </c>
    </row>
    <row r="230" spans="1:33">
      <c r="A230" s="2" t="s">
        <v>141</v>
      </c>
      <c r="B230" s="2" t="s">
        <v>59</v>
      </c>
      <c r="C230" s="1">
        <v>0.51109353000000002</v>
      </c>
      <c r="D230">
        <v>0.62487169300000001</v>
      </c>
      <c r="E230">
        <v>0.629348248</v>
      </c>
      <c r="F230" s="1" t="s">
        <v>142</v>
      </c>
      <c r="G230" s="1">
        <v>1.171344165</v>
      </c>
      <c r="H230" s="1">
        <v>60.9</v>
      </c>
      <c r="I230" s="1">
        <v>135.4</v>
      </c>
      <c r="J230" s="1">
        <v>0.58843782366666664</v>
      </c>
      <c r="K230" s="1">
        <v>0.56225432799999997</v>
      </c>
      <c r="L230" s="1">
        <v>0.68100706499999997</v>
      </c>
      <c r="M230" s="3">
        <v>0.67505263699999996</v>
      </c>
      <c r="N230" s="1" t="s">
        <v>60</v>
      </c>
      <c r="O230" s="1">
        <v>1.1501154730000001</v>
      </c>
      <c r="P230" s="1">
        <v>60.5</v>
      </c>
      <c r="Q230" s="1">
        <v>129.9</v>
      </c>
      <c r="R230" s="1">
        <v>0.63943801</v>
      </c>
      <c r="S230" s="1">
        <v>8.8642531639380059E-2</v>
      </c>
      <c r="T230" t="s">
        <v>377</v>
      </c>
      <c r="U230" s="1">
        <v>12149</v>
      </c>
      <c r="V230">
        <f t="shared" si="12"/>
        <v>0.45383783689572049</v>
      </c>
      <c r="W230" s="1">
        <f t="shared" si="13"/>
        <v>0.39999999999999858</v>
      </c>
      <c r="X230">
        <f t="shared" si="14"/>
        <v>2.1228691999999993E-2</v>
      </c>
      <c r="Y230">
        <f t="shared" si="15"/>
        <v>5.5</v>
      </c>
      <c r="Z230" s="1">
        <v>12</v>
      </c>
      <c r="AA230">
        <v>88</v>
      </c>
      <c r="AB230">
        <v>0.13639999999999999</v>
      </c>
      <c r="AC230">
        <v>16</v>
      </c>
      <c r="AD230">
        <v>101</v>
      </c>
      <c r="AE230">
        <v>0.15840000000000001</v>
      </c>
      <c r="AF230" t="s">
        <v>2592</v>
      </c>
      <c r="AG230" t="s">
        <v>2589</v>
      </c>
    </row>
    <row r="231" spans="1:33">
      <c r="A231" s="2" t="s">
        <v>141</v>
      </c>
      <c r="B231" s="2" t="s">
        <v>61</v>
      </c>
      <c r="C231" s="1">
        <v>0.51109353000000002</v>
      </c>
      <c r="D231">
        <v>0.62487169300000001</v>
      </c>
      <c r="E231">
        <v>0.629348248</v>
      </c>
      <c r="F231" s="1" t="s">
        <v>142</v>
      </c>
      <c r="G231" s="1">
        <v>1.171344165</v>
      </c>
      <c r="H231" s="1">
        <v>60.9</v>
      </c>
      <c r="I231" s="1">
        <v>135.4</v>
      </c>
      <c r="J231" s="1">
        <v>0.58843782366666664</v>
      </c>
      <c r="K231" s="1">
        <v>0.62063455999999995</v>
      </c>
      <c r="L231" s="1">
        <v>0.67798104299999995</v>
      </c>
      <c r="M231" s="3">
        <v>0.72175371600000005</v>
      </c>
      <c r="N231" s="1" t="s">
        <v>62</v>
      </c>
      <c r="O231" s="1">
        <v>7.5471698109999998</v>
      </c>
      <c r="P231" s="1">
        <v>26.4</v>
      </c>
      <c r="Q231" s="1">
        <v>10.6</v>
      </c>
      <c r="R231" s="1">
        <v>0.6734564396666668</v>
      </c>
      <c r="S231" s="1">
        <v>0.15283524078949334</v>
      </c>
      <c r="T231" t="s">
        <v>378</v>
      </c>
      <c r="U231" s="1">
        <v>2071</v>
      </c>
      <c r="V231">
        <f t="shared" si="12"/>
        <v>0.36846445543260586</v>
      </c>
      <c r="W231" s="1">
        <f t="shared" si="13"/>
        <v>34.5</v>
      </c>
      <c r="X231">
        <f t="shared" si="14"/>
        <v>6.375825646</v>
      </c>
      <c r="Y231">
        <f t="shared" si="15"/>
        <v>124.80000000000001</v>
      </c>
      <c r="Z231" s="1">
        <v>0</v>
      </c>
      <c r="AA231">
        <v>100</v>
      </c>
      <c r="AB231">
        <v>0</v>
      </c>
      <c r="AC231">
        <v>0</v>
      </c>
      <c r="AD231">
        <v>92</v>
      </c>
      <c r="AE231">
        <v>0</v>
      </c>
      <c r="AF231" t="s">
        <v>2592</v>
      </c>
      <c r="AG231" t="s">
        <v>2588</v>
      </c>
    </row>
    <row r="232" spans="1:33">
      <c r="A232" s="2" t="s">
        <v>141</v>
      </c>
      <c r="B232" s="2" t="s">
        <v>63</v>
      </c>
      <c r="C232" s="1">
        <v>0.51109353000000002</v>
      </c>
      <c r="D232">
        <v>0.62487169300000001</v>
      </c>
      <c r="E232">
        <v>0.629348248</v>
      </c>
      <c r="F232" s="1" t="s">
        <v>142</v>
      </c>
      <c r="G232" s="1">
        <v>1.171344165</v>
      </c>
      <c r="H232" s="1">
        <v>60.9</v>
      </c>
      <c r="I232" s="1">
        <v>135.4</v>
      </c>
      <c r="J232" s="1">
        <v>0.58843782366666664</v>
      </c>
      <c r="K232" s="1">
        <v>0.44311141399999998</v>
      </c>
      <c r="L232" s="1">
        <v>0.57053969199999999</v>
      </c>
      <c r="M232" s="3">
        <v>0.59266330599999995</v>
      </c>
      <c r="N232" s="1" t="s">
        <v>64</v>
      </c>
      <c r="O232" s="1">
        <v>0.89618138400000003</v>
      </c>
      <c r="P232" s="1">
        <v>29.7</v>
      </c>
      <c r="Q232" s="1">
        <v>83.8</v>
      </c>
      <c r="R232" s="1">
        <v>0.53543813733333334</v>
      </c>
      <c r="S232" s="1">
        <v>9.4442148419256286E-2</v>
      </c>
      <c r="T232" t="s">
        <v>379</v>
      </c>
      <c r="U232" s="1">
        <v>18896</v>
      </c>
      <c r="V232">
        <f t="shared" si="12"/>
        <v>0.47515220891882659</v>
      </c>
      <c r="W232" s="1">
        <f t="shared" si="13"/>
        <v>31.2</v>
      </c>
      <c r="X232">
        <f t="shared" si="14"/>
        <v>0.27516278100000002</v>
      </c>
      <c r="Y232">
        <f t="shared" si="15"/>
        <v>51.600000000000009</v>
      </c>
      <c r="Z232" s="1">
        <v>11</v>
      </c>
      <c r="AA232">
        <v>89</v>
      </c>
      <c r="AB232">
        <v>0.1236</v>
      </c>
      <c r="AC232">
        <v>13</v>
      </c>
      <c r="AD232">
        <v>86</v>
      </c>
      <c r="AE232">
        <v>0.1512</v>
      </c>
      <c r="AF232" t="s">
        <v>2592</v>
      </c>
      <c r="AG232" t="s">
        <v>2590</v>
      </c>
    </row>
    <row r="233" spans="1:33">
      <c r="A233" s="2" t="s">
        <v>141</v>
      </c>
      <c r="B233" s="2" t="s">
        <v>65</v>
      </c>
      <c r="C233" s="1">
        <v>0.51109353000000002</v>
      </c>
      <c r="D233">
        <v>0.62487169300000001</v>
      </c>
      <c r="E233">
        <v>0.629348248</v>
      </c>
      <c r="F233" s="1" t="s">
        <v>142</v>
      </c>
      <c r="G233" s="1">
        <v>1.171344165</v>
      </c>
      <c r="H233" s="1">
        <v>60.9</v>
      </c>
      <c r="I233" s="1">
        <v>135.4</v>
      </c>
      <c r="J233" s="1">
        <v>0.58843782366666664</v>
      </c>
      <c r="K233" s="1">
        <v>0.67377447499999998</v>
      </c>
      <c r="L233" s="1">
        <v>0.69144672900000004</v>
      </c>
      <c r="M233" s="3">
        <v>0.73046409700000003</v>
      </c>
      <c r="N233" s="1" t="s">
        <v>66</v>
      </c>
      <c r="O233" s="1">
        <v>1.8507462690000001</v>
      </c>
      <c r="P233" s="1">
        <v>34.5</v>
      </c>
      <c r="Q233" s="1">
        <v>46.9</v>
      </c>
      <c r="R233" s="1">
        <v>0.69856176700000006</v>
      </c>
      <c r="S233" s="1">
        <v>0.20278496049629796</v>
      </c>
      <c r="T233" t="s">
        <v>380</v>
      </c>
      <c r="U233" s="1">
        <v>677</v>
      </c>
      <c r="V233">
        <f t="shared" si="12"/>
        <v>0.31450985207612714</v>
      </c>
      <c r="W233" s="1">
        <f t="shared" si="13"/>
        <v>26.4</v>
      </c>
      <c r="X233">
        <f t="shared" si="14"/>
        <v>0.67940210400000001</v>
      </c>
      <c r="Y233">
        <f t="shared" si="15"/>
        <v>88.5</v>
      </c>
      <c r="Z233" s="1">
        <v>0</v>
      </c>
      <c r="AA233">
        <v>100</v>
      </c>
      <c r="AB233">
        <v>0</v>
      </c>
      <c r="AC233">
        <v>0</v>
      </c>
      <c r="AD233">
        <v>81</v>
      </c>
      <c r="AE233">
        <v>0</v>
      </c>
      <c r="AF233" t="s">
        <v>2592</v>
      </c>
      <c r="AG233" t="s">
        <v>2593</v>
      </c>
    </row>
    <row r="234" spans="1:33">
      <c r="A234" s="2" t="s">
        <v>141</v>
      </c>
      <c r="B234" s="2" t="s">
        <v>67</v>
      </c>
      <c r="C234" s="1">
        <v>0.51109353000000002</v>
      </c>
      <c r="D234">
        <v>0.62487169300000001</v>
      </c>
      <c r="E234">
        <v>0.629348248</v>
      </c>
      <c r="F234" s="1" t="s">
        <v>142</v>
      </c>
      <c r="G234" s="1">
        <v>1.171344165</v>
      </c>
      <c r="H234" s="1">
        <v>60.9</v>
      </c>
      <c r="I234" s="1">
        <v>135.4</v>
      </c>
      <c r="J234" s="1">
        <v>0.58843782366666664</v>
      </c>
      <c r="K234" s="1">
        <v>0.53971122199999999</v>
      </c>
      <c r="L234" s="1">
        <v>0.621203065</v>
      </c>
      <c r="M234" s="3">
        <v>0.67806811499999997</v>
      </c>
      <c r="N234" s="1" t="s">
        <v>68</v>
      </c>
      <c r="O234" s="1">
        <v>1.5131894480000001</v>
      </c>
      <c r="P234" s="1">
        <v>27.2</v>
      </c>
      <c r="Q234" s="1">
        <v>41.7</v>
      </c>
      <c r="R234" s="1">
        <v>0.61299413400000002</v>
      </c>
      <c r="S234" s="1">
        <v>5.6622050186362315E-2</v>
      </c>
      <c r="T234" t="s">
        <v>381</v>
      </c>
      <c r="U234" s="1">
        <v>604</v>
      </c>
      <c r="V234">
        <f t="shared" si="12"/>
        <v>0.30900410429123687</v>
      </c>
      <c r="W234" s="1">
        <f t="shared" si="13"/>
        <v>33.700000000000003</v>
      </c>
      <c r="X234">
        <f t="shared" si="14"/>
        <v>0.34184528300000006</v>
      </c>
      <c r="Y234">
        <f t="shared" si="15"/>
        <v>93.7</v>
      </c>
      <c r="Z234" s="1">
        <v>1</v>
      </c>
      <c r="AA234">
        <v>99</v>
      </c>
      <c r="AB234">
        <v>1.01E-2</v>
      </c>
      <c r="AC234">
        <v>2</v>
      </c>
      <c r="AD234">
        <v>90</v>
      </c>
      <c r="AE234">
        <v>2.2200000000000001E-2</v>
      </c>
      <c r="AF234" t="s">
        <v>2592</v>
      </c>
      <c r="AG234" t="s">
        <v>2588</v>
      </c>
    </row>
    <row r="235" spans="1:33">
      <c r="A235" s="2" t="s">
        <v>141</v>
      </c>
      <c r="B235" s="2" t="s">
        <v>69</v>
      </c>
      <c r="C235" s="1">
        <v>0.51109353000000002</v>
      </c>
      <c r="D235">
        <v>0.62487169300000001</v>
      </c>
      <c r="E235">
        <v>0.629348248</v>
      </c>
      <c r="F235" s="1" t="s">
        <v>142</v>
      </c>
      <c r="G235" s="1">
        <v>1.171344165</v>
      </c>
      <c r="H235" s="1">
        <v>60.9</v>
      </c>
      <c r="I235" s="1">
        <v>135.4</v>
      </c>
      <c r="J235" s="1">
        <v>0.58843782366666664</v>
      </c>
      <c r="K235" s="1">
        <v>0.50188385300000005</v>
      </c>
      <c r="L235" s="1">
        <v>0.64580031500000001</v>
      </c>
      <c r="M235" s="3">
        <v>0.66006355800000005</v>
      </c>
      <c r="N235" s="1" t="s">
        <v>70</v>
      </c>
      <c r="O235" s="1">
        <v>1.2401055409999999</v>
      </c>
      <c r="P235" s="1">
        <v>43.4</v>
      </c>
      <c r="Q235" s="1">
        <v>75.8</v>
      </c>
      <c r="R235" s="1">
        <v>0.60258257533333337</v>
      </c>
      <c r="S235" s="1">
        <v>3.8291717611767119E-2</v>
      </c>
      <c r="T235" t="s">
        <v>382</v>
      </c>
      <c r="U235" s="1">
        <v>3653</v>
      </c>
      <c r="V235">
        <f t="shared" si="12"/>
        <v>0.39584996357910185</v>
      </c>
      <c r="W235" s="1">
        <f t="shared" si="13"/>
        <v>17.5</v>
      </c>
      <c r="X235">
        <f t="shared" si="14"/>
        <v>6.8761375999999874E-2</v>
      </c>
      <c r="Y235">
        <f t="shared" si="15"/>
        <v>59.600000000000009</v>
      </c>
      <c r="Z235" s="1">
        <v>22</v>
      </c>
      <c r="AA235">
        <v>78</v>
      </c>
      <c r="AB235">
        <v>0.28210000000000002</v>
      </c>
      <c r="AC235">
        <v>25</v>
      </c>
      <c r="AD235">
        <v>74</v>
      </c>
      <c r="AE235">
        <v>0.33779999999999999</v>
      </c>
      <c r="AF235" t="s">
        <v>2592</v>
      </c>
      <c r="AG235" t="s">
        <v>2589</v>
      </c>
    </row>
    <row r="236" spans="1:33">
      <c r="A236" s="2" t="s">
        <v>141</v>
      </c>
      <c r="B236" s="2" t="s">
        <v>71</v>
      </c>
      <c r="C236" s="1">
        <v>0.51109353000000002</v>
      </c>
      <c r="D236">
        <v>0.62487169300000001</v>
      </c>
      <c r="E236">
        <v>0.629348248</v>
      </c>
      <c r="F236" s="1" t="s">
        <v>142</v>
      </c>
      <c r="G236" s="1">
        <v>1.171344165</v>
      </c>
      <c r="H236" s="1">
        <v>60.9</v>
      </c>
      <c r="I236" s="1">
        <v>135.4</v>
      </c>
      <c r="J236" s="1">
        <v>0.58843782366666664</v>
      </c>
      <c r="K236" s="1">
        <v>0.53267569100000001</v>
      </c>
      <c r="L236" s="1">
        <v>0.64507433599999997</v>
      </c>
      <c r="M236" s="3">
        <v>0.66598465100000004</v>
      </c>
      <c r="N236" s="1" t="s">
        <v>72</v>
      </c>
      <c r="O236" s="1">
        <v>0.97289666900000005</v>
      </c>
      <c r="P236" s="1">
        <v>64.8</v>
      </c>
      <c r="Q236" s="1">
        <v>177.1</v>
      </c>
      <c r="R236" s="1">
        <v>0.61457822600000001</v>
      </c>
      <c r="S236" s="1">
        <v>4.7076134955981466E-2</v>
      </c>
      <c r="T236" t="s">
        <v>383</v>
      </c>
      <c r="U236" s="1">
        <v>10600</v>
      </c>
      <c r="V236">
        <f t="shared" si="12"/>
        <v>0.44725620725164117</v>
      </c>
      <c r="W236" s="1">
        <f t="shared" si="13"/>
        <v>3.8999999999999986</v>
      </c>
      <c r="X236">
        <f t="shared" si="14"/>
        <v>0.198447496</v>
      </c>
      <c r="Y236">
        <f t="shared" si="15"/>
        <v>41.699999999999989</v>
      </c>
      <c r="Z236" s="1">
        <v>17</v>
      </c>
      <c r="AA236">
        <v>83</v>
      </c>
      <c r="AB236">
        <v>0.20480000000000001</v>
      </c>
      <c r="AC236">
        <v>19</v>
      </c>
      <c r="AD236">
        <v>91</v>
      </c>
      <c r="AE236">
        <v>0.20880000000000001</v>
      </c>
      <c r="AF236" t="s">
        <v>2592</v>
      </c>
      <c r="AG236" t="s">
        <v>2589</v>
      </c>
    </row>
    <row r="237" spans="1:33">
      <c r="A237" s="2" t="s">
        <v>141</v>
      </c>
      <c r="B237" s="2" t="s">
        <v>73</v>
      </c>
      <c r="C237" s="1">
        <v>0.51109353000000002</v>
      </c>
      <c r="D237">
        <v>0.62487169300000001</v>
      </c>
      <c r="E237">
        <v>0.629348248</v>
      </c>
      <c r="F237" s="1" t="s">
        <v>142</v>
      </c>
      <c r="G237" s="1">
        <v>1.171344165</v>
      </c>
      <c r="H237" s="1">
        <v>60.9</v>
      </c>
      <c r="I237" s="1">
        <v>135.4</v>
      </c>
      <c r="J237" s="1">
        <v>0.58843782366666664</v>
      </c>
      <c r="K237" s="1">
        <v>0.55697925299999995</v>
      </c>
      <c r="L237" s="1">
        <v>0.64461978399999997</v>
      </c>
      <c r="M237" s="3">
        <v>0.69570690000000002</v>
      </c>
      <c r="N237" s="1" t="s">
        <v>74</v>
      </c>
      <c r="O237" s="1">
        <v>1.23433584</v>
      </c>
      <c r="P237" s="1">
        <v>44</v>
      </c>
      <c r="Q237" s="1">
        <v>79.8</v>
      </c>
      <c r="R237" s="1">
        <v>0.63243531233333328</v>
      </c>
      <c r="S237" s="1">
        <v>8.305996248875934E-2</v>
      </c>
      <c r="T237" t="s">
        <v>384</v>
      </c>
      <c r="U237" s="1">
        <v>3689</v>
      </c>
      <c r="V237">
        <f t="shared" si="12"/>
        <v>0.39632318391408927</v>
      </c>
      <c r="W237" s="1">
        <f t="shared" si="13"/>
        <v>16.899999999999999</v>
      </c>
      <c r="X237">
        <f t="shared" si="14"/>
        <v>6.2991674999999914E-2</v>
      </c>
      <c r="Y237">
        <f t="shared" si="15"/>
        <v>55.600000000000009</v>
      </c>
      <c r="Z237" s="1">
        <v>17</v>
      </c>
      <c r="AA237">
        <v>83</v>
      </c>
      <c r="AB237">
        <v>0.20480000000000001</v>
      </c>
      <c r="AC237">
        <v>20</v>
      </c>
      <c r="AD237">
        <v>75</v>
      </c>
      <c r="AE237">
        <v>0.26669999999999999</v>
      </c>
      <c r="AF237" t="s">
        <v>2592</v>
      </c>
      <c r="AG237" t="s">
        <v>2589</v>
      </c>
    </row>
    <row r="238" spans="1:33">
      <c r="A238" s="2" t="s">
        <v>141</v>
      </c>
      <c r="B238" s="2" t="s">
        <v>75</v>
      </c>
      <c r="C238" s="1">
        <v>0.51109353000000002</v>
      </c>
      <c r="D238">
        <v>0.62487169300000001</v>
      </c>
      <c r="E238">
        <v>0.629348248</v>
      </c>
      <c r="F238" s="1" t="s">
        <v>142</v>
      </c>
      <c r="G238" s="1">
        <v>1.171344165</v>
      </c>
      <c r="H238" s="1">
        <v>60.9</v>
      </c>
      <c r="I238" s="1">
        <v>135.4</v>
      </c>
      <c r="J238" s="1">
        <v>0.58843782366666664</v>
      </c>
      <c r="K238" s="1">
        <v>0.50354843500000002</v>
      </c>
      <c r="L238" s="1">
        <v>0.59724402499999996</v>
      </c>
      <c r="M238" s="3">
        <v>0.70308254199999998</v>
      </c>
      <c r="N238" s="1" t="s">
        <v>76</v>
      </c>
      <c r="O238" s="1">
        <v>1.2696850390000001</v>
      </c>
      <c r="P238" s="1">
        <v>26.6</v>
      </c>
      <c r="Q238" s="1">
        <v>50.8</v>
      </c>
      <c r="R238" s="1">
        <v>0.60129166733333339</v>
      </c>
      <c r="S238" s="1">
        <v>7.9100964655026085E-2</v>
      </c>
      <c r="T238" t="s">
        <v>385</v>
      </c>
      <c r="U238" s="1">
        <v>1158</v>
      </c>
      <c r="V238">
        <f t="shared" si="12"/>
        <v>0.3404120621546019</v>
      </c>
      <c r="W238" s="1">
        <f t="shared" si="13"/>
        <v>34.299999999999997</v>
      </c>
      <c r="X238">
        <f t="shared" si="14"/>
        <v>9.8340874000000023E-2</v>
      </c>
      <c r="Y238">
        <f t="shared" si="15"/>
        <v>84.600000000000009</v>
      </c>
      <c r="Z238" s="1">
        <v>4</v>
      </c>
      <c r="AA238">
        <v>96</v>
      </c>
      <c r="AB238">
        <v>4.1700000000000001E-2</v>
      </c>
      <c r="AC238">
        <v>5</v>
      </c>
      <c r="AD238">
        <v>90</v>
      </c>
      <c r="AE238">
        <v>5.5599999999999997E-2</v>
      </c>
      <c r="AF238" t="s">
        <v>2592</v>
      </c>
      <c r="AG238" t="s">
        <v>2594</v>
      </c>
    </row>
    <row r="239" spans="1:33">
      <c r="A239" s="2" t="s">
        <v>141</v>
      </c>
      <c r="B239" s="2" t="s">
        <v>77</v>
      </c>
      <c r="C239" s="1">
        <v>0.51109353000000002</v>
      </c>
      <c r="D239">
        <v>0.62487169300000001</v>
      </c>
      <c r="E239">
        <v>0.629348248</v>
      </c>
      <c r="F239" s="1" t="s">
        <v>142</v>
      </c>
      <c r="G239" s="1">
        <v>1.171344165</v>
      </c>
      <c r="H239" s="1">
        <v>60.9</v>
      </c>
      <c r="I239" s="1">
        <v>135.4</v>
      </c>
      <c r="J239" s="1">
        <v>0.58843782366666664</v>
      </c>
      <c r="K239" s="1">
        <v>0.54630843299999998</v>
      </c>
      <c r="L239" s="1">
        <v>0.68935555900000001</v>
      </c>
      <c r="M239" s="3">
        <v>0.65478744899999997</v>
      </c>
      <c r="N239" s="1" t="s">
        <v>78</v>
      </c>
      <c r="O239" s="1">
        <v>1.3914285710000001</v>
      </c>
      <c r="P239" s="1">
        <v>56.5</v>
      </c>
      <c r="Q239" s="1">
        <v>105</v>
      </c>
      <c r="R239" s="1">
        <v>0.63015048033333343</v>
      </c>
      <c r="S239" s="1">
        <v>7.7752243151717249E-2</v>
      </c>
      <c r="T239" t="s">
        <v>386</v>
      </c>
      <c r="U239" s="1">
        <v>9987</v>
      </c>
      <c r="V239">
        <f t="shared" si="12"/>
        <v>0.44438167220848107</v>
      </c>
      <c r="W239" s="1">
        <f t="shared" si="13"/>
        <v>4.3999999999999986</v>
      </c>
      <c r="X239">
        <f t="shared" si="14"/>
        <v>0.22008440600000001</v>
      </c>
      <c r="Y239">
        <f t="shared" si="15"/>
        <v>30.400000000000006</v>
      </c>
      <c r="Z239" s="1">
        <v>3</v>
      </c>
      <c r="AA239">
        <v>97</v>
      </c>
      <c r="AB239">
        <v>3.09E-2</v>
      </c>
      <c r="AC239">
        <v>5</v>
      </c>
      <c r="AD239">
        <v>79</v>
      </c>
      <c r="AE239">
        <v>6.3299999999999995E-2</v>
      </c>
      <c r="AF239" t="s">
        <v>2592</v>
      </c>
      <c r="AG239" t="s">
        <v>2590</v>
      </c>
    </row>
    <row r="240" spans="1:33">
      <c r="A240" s="2" t="s">
        <v>141</v>
      </c>
      <c r="B240" s="2" t="s">
        <v>79</v>
      </c>
      <c r="C240" s="1">
        <v>0.51109353000000002</v>
      </c>
      <c r="D240">
        <v>0.62487169300000001</v>
      </c>
      <c r="E240">
        <v>0.629348248</v>
      </c>
      <c r="F240" s="1" t="s">
        <v>142</v>
      </c>
      <c r="G240" s="1">
        <v>1.171344165</v>
      </c>
      <c r="H240" s="1">
        <v>60.9</v>
      </c>
      <c r="I240" s="1">
        <v>135.4</v>
      </c>
      <c r="J240" s="1">
        <v>0.58843782366666664</v>
      </c>
      <c r="K240" s="1">
        <v>0.63652882899999996</v>
      </c>
      <c r="L240" s="1">
        <v>0.77536518600000004</v>
      </c>
      <c r="M240" s="3">
        <v>0.610415606</v>
      </c>
      <c r="N240" s="1" t="s">
        <v>80</v>
      </c>
      <c r="O240" s="1">
        <v>0.95325542600000002</v>
      </c>
      <c r="P240" s="1">
        <v>45.6</v>
      </c>
      <c r="Q240" s="1">
        <v>119.8</v>
      </c>
      <c r="R240" s="1">
        <v>0.67410320700000004</v>
      </c>
      <c r="S240" s="1">
        <v>0.19682670195799301</v>
      </c>
      <c r="T240" t="s">
        <v>387</v>
      </c>
      <c r="U240" s="1">
        <v>11896</v>
      </c>
      <c r="V240">
        <f t="shared" si="12"/>
        <v>0.45282232839043307</v>
      </c>
      <c r="W240" s="1">
        <f t="shared" si="13"/>
        <v>15.299999999999997</v>
      </c>
      <c r="X240">
        <f t="shared" si="14"/>
        <v>0.21808873900000003</v>
      </c>
      <c r="Y240">
        <f t="shared" si="15"/>
        <v>15.600000000000009</v>
      </c>
      <c r="Z240" s="1">
        <v>1</v>
      </c>
      <c r="AA240">
        <v>99</v>
      </c>
      <c r="AB240">
        <v>1.01E-2</v>
      </c>
      <c r="AC240">
        <v>2</v>
      </c>
      <c r="AD240">
        <v>73</v>
      </c>
      <c r="AE240">
        <v>2.7400000000000001E-2</v>
      </c>
      <c r="AF240" t="s">
        <v>2592</v>
      </c>
      <c r="AG240" t="s">
        <v>2590</v>
      </c>
    </row>
    <row r="241" spans="1:33">
      <c r="A241" s="2" t="s">
        <v>141</v>
      </c>
      <c r="B241" s="2" t="s">
        <v>81</v>
      </c>
      <c r="C241" s="1">
        <v>0.51109353000000002</v>
      </c>
      <c r="D241">
        <v>0.62487169300000001</v>
      </c>
      <c r="E241">
        <v>0.629348248</v>
      </c>
      <c r="F241" s="1" t="s">
        <v>142</v>
      </c>
      <c r="G241" s="1">
        <v>1.171344165</v>
      </c>
      <c r="H241" s="1">
        <v>60.9</v>
      </c>
      <c r="I241" s="1">
        <v>135.4</v>
      </c>
      <c r="J241" s="1">
        <v>0.58843782366666664</v>
      </c>
      <c r="K241" s="1">
        <v>0.50183280699999999</v>
      </c>
      <c r="L241" s="1">
        <v>0.68550824600000004</v>
      </c>
      <c r="M241" s="3">
        <v>0.66941488999999998</v>
      </c>
      <c r="N241" s="1" t="s">
        <v>82</v>
      </c>
      <c r="O241" s="1">
        <v>1.4359576970000001</v>
      </c>
      <c r="P241" s="1">
        <v>51</v>
      </c>
      <c r="Q241" s="1">
        <v>85.1</v>
      </c>
      <c r="R241" s="1">
        <v>0.61891864766666671</v>
      </c>
      <c r="S241" s="1">
        <v>7.3265874398390315E-2</v>
      </c>
      <c r="T241" t="s">
        <v>388</v>
      </c>
      <c r="U241" s="1">
        <v>9424</v>
      </c>
      <c r="V241">
        <f t="shared" si="12"/>
        <v>0.4415816974936696</v>
      </c>
      <c r="W241" s="1">
        <f t="shared" si="13"/>
        <v>9.8999999999999986</v>
      </c>
      <c r="X241">
        <f t="shared" si="14"/>
        <v>0.26461353200000004</v>
      </c>
      <c r="Y241">
        <f t="shared" si="15"/>
        <v>50.300000000000011</v>
      </c>
      <c r="Z241" s="1">
        <v>0</v>
      </c>
      <c r="AA241">
        <v>100</v>
      </c>
      <c r="AB241">
        <v>0</v>
      </c>
      <c r="AC241">
        <v>0</v>
      </c>
      <c r="AD241">
        <v>86</v>
      </c>
      <c r="AE241">
        <v>0</v>
      </c>
      <c r="AF241" t="s">
        <v>2592</v>
      </c>
      <c r="AG241" t="s">
        <v>2589</v>
      </c>
    </row>
    <row r="242" spans="1:33">
      <c r="A242" s="2" t="s">
        <v>141</v>
      </c>
      <c r="B242" s="2" t="s">
        <v>83</v>
      </c>
      <c r="C242" s="1">
        <v>0.51109353000000002</v>
      </c>
      <c r="D242">
        <v>0.62487169300000001</v>
      </c>
      <c r="E242">
        <v>0.629348248</v>
      </c>
      <c r="F242" s="1" t="s">
        <v>142</v>
      </c>
      <c r="G242" s="1">
        <v>1.171344165</v>
      </c>
      <c r="H242" s="1">
        <v>60.9</v>
      </c>
      <c r="I242" s="1">
        <v>135.4</v>
      </c>
      <c r="J242" s="1">
        <v>0.58843782366666664</v>
      </c>
      <c r="K242" s="1">
        <v>0.51815179099999997</v>
      </c>
      <c r="L242" s="1">
        <v>0.50115949400000004</v>
      </c>
      <c r="M242" s="3">
        <v>0.68053170600000001</v>
      </c>
      <c r="N242" s="1" t="s">
        <v>84</v>
      </c>
      <c r="O242" s="1">
        <v>1.760323887</v>
      </c>
      <c r="P242" s="1">
        <v>83.4</v>
      </c>
      <c r="Q242" s="1">
        <v>123.5</v>
      </c>
      <c r="R242" s="1">
        <v>0.56661433033333342</v>
      </c>
      <c r="S242" s="1">
        <v>0.1340681677453581</v>
      </c>
      <c r="T242" t="s">
        <v>389</v>
      </c>
      <c r="U242" s="1">
        <v>10566</v>
      </c>
      <c r="V242">
        <f t="shared" si="12"/>
        <v>0.44710117848343561</v>
      </c>
      <c r="W242" s="1">
        <f t="shared" si="13"/>
        <v>22.500000000000007</v>
      </c>
      <c r="X242">
        <f t="shared" si="14"/>
        <v>0.58897972199999993</v>
      </c>
      <c r="Y242">
        <f t="shared" si="15"/>
        <v>11.900000000000006</v>
      </c>
      <c r="Z242" s="1">
        <v>7</v>
      </c>
      <c r="AA242">
        <v>93</v>
      </c>
      <c r="AB242">
        <v>7.5300000000000006E-2</v>
      </c>
      <c r="AC242">
        <v>8</v>
      </c>
      <c r="AD242">
        <v>73</v>
      </c>
      <c r="AE242">
        <v>0.1096</v>
      </c>
      <c r="AF242" t="s">
        <v>2592</v>
      </c>
      <c r="AG242" t="s">
        <v>2589</v>
      </c>
    </row>
    <row r="243" spans="1:33">
      <c r="A243" s="2" t="s">
        <v>141</v>
      </c>
      <c r="B243" s="2" t="s">
        <v>85</v>
      </c>
      <c r="C243" s="1">
        <v>0.51109353000000002</v>
      </c>
      <c r="D243">
        <v>0.62487169300000001</v>
      </c>
      <c r="E243">
        <v>0.629348248</v>
      </c>
      <c r="F243" s="1" t="s">
        <v>142</v>
      </c>
      <c r="G243" s="1">
        <v>1.171344165</v>
      </c>
      <c r="H243" s="1">
        <v>60.9</v>
      </c>
      <c r="I243" s="1">
        <v>135.4</v>
      </c>
      <c r="J243" s="1">
        <v>0.58843782366666664</v>
      </c>
      <c r="K243" s="1">
        <v>0.522280945</v>
      </c>
      <c r="L243" s="1">
        <v>0.58016629799999997</v>
      </c>
      <c r="M243" s="3">
        <v>0.62446713499999995</v>
      </c>
      <c r="N243" s="1" t="s">
        <v>86</v>
      </c>
      <c r="O243" s="1">
        <v>0.57177615599999998</v>
      </c>
      <c r="P243" s="1">
        <v>19.5</v>
      </c>
      <c r="Q243" s="1">
        <v>82.2</v>
      </c>
      <c r="R243" s="1">
        <v>0.57563812599999997</v>
      </c>
      <c r="S243" s="1">
        <v>4.6341729149946727E-2</v>
      </c>
      <c r="T243" t="s">
        <v>390</v>
      </c>
      <c r="U243" s="1">
        <v>3918</v>
      </c>
      <c r="V243">
        <f t="shared" si="12"/>
        <v>0.39922938129541308</v>
      </c>
      <c r="W243" s="1">
        <f t="shared" si="13"/>
        <v>41.4</v>
      </c>
      <c r="X243">
        <f t="shared" si="14"/>
        <v>0.59956800900000007</v>
      </c>
      <c r="Y243">
        <f t="shared" si="15"/>
        <v>53.2</v>
      </c>
      <c r="Z243" s="1">
        <v>1</v>
      </c>
      <c r="AA243">
        <v>99</v>
      </c>
      <c r="AB243">
        <v>1.01E-2</v>
      </c>
      <c r="AC243">
        <v>2</v>
      </c>
      <c r="AD243">
        <v>144</v>
      </c>
      <c r="AE243">
        <v>1.3899999999999999E-2</v>
      </c>
      <c r="AF243" t="s">
        <v>2592</v>
      </c>
      <c r="AG243" t="s">
        <v>2590</v>
      </c>
    </row>
    <row r="244" spans="1:33">
      <c r="A244" s="2" t="s">
        <v>141</v>
      </c>
      <c r="B244" s="2" t="s">
        <v>87</v>
      </c>
      <c r="C244" s="1">
        <v>0.51109353000000002</v>
      </c>
      <c r="D244">
        <v>0.62487169300000001</v>
      </c>
      <c r="E244">
        <v>0.629348248</v>
      </c>
      <c r="F244" s="1" t="s">
        <v>142</v>
      </c>
      <c r="G244" s="1">
        <v>1.171344165</v>
      </c>
      <c r="H244" s="1">
        <v>60.9</v>
      </c>
      <c r="I244" s="1">
        <v>135.4</v>
      </c>
      <c r="J244" s="1">
        <v>0.58843782366666664</v>
      </c>
      <c r="K244" s="1">
        <v>0.46780425199999998</v>
      </c>
      <c r="L244" s="1">
        <v>0.54149707400000002</v>
      </c>
      <c r="M244" s="3">
        <v>0.61626236400000001</v>
      </c>
      <c r="N244" s="1" t="s">
        <v>88</v>
      </c>
      <c r="O244" s="1">
        <v>1.395454545</v>
      </c>
      <c r="P244" s="1">
        <v>65.2</v>
      </c>
      <c r="Q244" s="1">
        <v>110</v>
      </c>
      <c r="R244" s="1">
        <v>0.54185456333333337</v>
      </c>
      <c r="S244" s="1">
        <v>9.4850034492444446E-2</v>
      </c>
      <c r="T244" t="s">
        <v>391</v>
      </c>
      <c r="U244" s="1">
        <v>10296</v>
      </c>
      <c r="V244">
        <f t="shared" si="12"/>
        <v>0.44585205932181449</v>
      </c>
      <c r="W244" s="1">
        <f t="shared" si="13"/>
        <v>4.3000000000000043</v>
      </c>
      <c r="X244">
        <f t="shared" si="14"/>
        <v>0.22411037999999994</v>
      </c>
      <c r="Y244">
        <f t="shared" si="15"/>
        <v>25.400000000000006</v>
      </c>
      <c r="Z244" s="1">
        <v>8</v>
      </c>
      <c r="AA244">
        <v>92</v>
      </c>
      <c r="AB244">
        <v>8.6999999999999994E-2</v>
      </c>
      <c r="AC244">
        <v>10</v>
      </c>
      <c r="AD244">
        <v>69</v>
      </c>
      <c r="AE244">
        <v>0.1449</v>
      </c>
      <c r="AF244" t="s">
        <v>2592</v>
      </c>
      <c r="AG244" t="s">
        <v>2590</v>
      </c>
    </row>
    <row r="245" spans="1:33">
      <c r="A245" s="2" t="s">
        <v>141</v>
      </c>
      <c r="B245" s="2" t="s">
        <v>89</v>
      </c>
      <c r="C245" s="1">
        <v>0.51109353000000002</v>
      </c>
      <c r="D245">
        <v>0.62487169300000001</v>
      </c>
      <c r="E245">
        <v>0.629348248</v>
      </c>
      <c r="F245" s="1" t="s">
        <v>142</v>
      </c>
      <c r="G245" s="1">
        <v>1.171344165</v>
      </c>
      <c r="H245" s="1">
        <v>60.9</v>
      </c>
      <c r="I245" s="1">
        <v>135.4</v>
      </c>
      <c r="J245" s="1">
        <v>0.58843782366666664</v>
      </c>
      <c r="K245" s="1">
        <v>0.51097051500000001</v>
      </c>
      <c r="L245" s="1">
        <v>0.61917891400000002</v>
      </c>
      <c r="M245" s="3">
        <v>0.60984479800000002</v>
      </c>
      <c r="N245" s="1" t="s">
        <v>90</v>
      </c>
      <c r="O245" s="1">
        <v>1.429752066</v>
      </c>
      <c r="P245" s="1">
        <v>59.8</v>
      </c>
      <c r="Q245" s="1">
        <v>108.9</v>
      </c>
      <c r="R245" s="1">
        <v>0.57999807566666661</v>
      </c>
      <c r="S245" s="1">
        <v>2.0317662939805969E-2</v>
      </c>
      <c r="T245" t="s">
        <v>392</v>
      </c>
      <c r="U245" s="1">
        <v>112719</v>
      </c>
      <c r="V245">
        <f t="shared" si="12"/>
        <v>0.56133301413592207</v>
      </c>
      <c r="W245" s="1">
        <f t="shared" si="13"/>
        <v>1.1000000000000014</v>
      </c>
      <c r="X245">
        <f t="shared" si="14"/>
        <v>0.258407901</v>
      </c>
      <c r="Y245">
        <f t="shared" si="15"/>
        <v>26.5</v>
      </c>
      <c r="Z245" s="1">
        <v>36</v>
      </c>
      <c r="AA245">
        <v>64</v>
      </c>
      <c r="AB245">
        <v>0.5625</v>
      </c>
      <c r="AC245">
        <v>33</v>
      </c>
      <c r="AD245">
        <v>55</v>
      </c>
      <c r="AE245">
        <v>0.6</v>
      </c>
      <c r="AF245" t="s">
        <v>2592</v>
      </c>
      <c r="AG245" t="s">
        <v>2589</v>
      </c>
    </row>
    <row r="246" spans="1:33">
      <c r="A246" s="2" t="s">
        <v>141</v>
      </c>
      <c r="B246" s="2" t="s">
        <v>91</v>
      </c>
      <c r="C246" s="1">
        <v>0.51109353000000002</v>
      </c>
      <c r="D246">
        <v>0.62487169300000001</v>
      </c>
      <c r="E246">
        <v>0.629348248</v>
      </c>
      <c r="F246" s="1" t="s">
        <v>142</v>
      </c>
      <c r="G246" s="1">
        <v>1.171344165</v>
      </c>
      <c r="H246" s="1">
        <v>60.9</v>
      </c>
      <c r="I246" s="1">
        <v>135.4</v>
      </c>
      <c r="J246" s="1">
        <v>0.58843782366666664</v>
      </c>
      <c r="K246" s="1">
        <v>0.37439919700000002</v>
      </c>
      <c r="L246" s="1">
        <v>0.508839347</v>
      </c>
      <c r="M246" s="3">
        <v>0.52701193599999996</v>
      </c>
      <c r="N246" s="1" t="s">
        <v>92</v>
      </c>
      <c r="O246" s="1">
        <v>1.911504425</v>
      </c>
      <c r="P246" s="1">
        <v>24.6</v>
      </c>
      <c r="Q246" s="1">
        <v>33.9</v>
      </c>
      <c r="R246" s="1">
        <v>0.47008349333333332</v>
      </c>
      <c r="S246" s="1">
        <v>0.20644991340840993</v>
      </c>
      <c r="T246" t="s">
        <v>393</v>
      </c>
      <c r="U246" s="1">
        <v>2936</v>
      </c>
      <c r="V246">
        <f t="shared" si="12"/>
        <v>0.38530622791600366</v>
      </c>
      <c r="W246" s="1">
        <f t="shared" si="13"/>
        <v>36.299999999999997</v>
      </c>
      <c r="X246">
        <f t="shared" si="14"/>
        <v>0.7401602599999999</v>
      </c>
      <c r="Y246">
        <f t="shared" si="15"/>
        <v>101.5</v>
      </c>
      <c r="Z246" s="1">
        <v>5</v>
      </c>
      <c r="AA246">
        <v>95</v>
      </c>
      <c r="AB246">
        <v>5.2600000000000001E-2</v>
      </c>
      <c r="AC246">
        <v>5</v>
      </c>
      <c r="AD246">
        <v>90</v>
      </c>
      <c r="AE246">
        <v>5.5599999999999997E-2</v>
      </c>
      <c r="AF246" t="s">
        <v>2592</v>
      </c>
      <c r="AG246" t="s">
        <v>2590</v>
      </c>
    </row>
    <row r="247" spans="1:33">
      <c r="A247" s="2" t="s">
        <v>141</v>
      </c>
      <c r="B247" s="2" t="s">
        <v>93</v>
      </c>
      <c r="C247" s="1">
        <v>0.51109353000000002</v>
      </c>
      <c r="D247">
        <v>0.62487169300000001</v>
      </c>
      <c r="E247">
        <v>0.629348248</v>
      </c>
      <c r="F247" s="1" t="s">
        <v>142</v>
      </c>
      <c r="G247" s="1">
        <v>1.171344165</v>
      </c>
      <c r="H247" s="1">
        <v>60.9</v>
      </c>
      <c r="I247" s="1">
        <v>135.4</v>
      </c>
      <c r="J247" s="1">
        <v>0.58843782366666664</v>
      </c>
      <c r="K247" s="1">
        <v>0.54134617200000001</v>
      </c>
      <c r="L247" s="1">
        <v>0.674899633</v>
      </c>
      <c r="M247" s="3">
        <v>0.719840174</v>
      </c>
      <c r="N247" s="1" t="s">
        <v>94</v>
      </c>
      <c r="O247" s="1">
        <v>1.175388967</v>
      </c>
      <c r="P247" s="1">
        <v>36.6</v>
      </c>
      <c r="Q247" s="1">
        <v>70.7</v>
      </c>
      <c r="R247" s="1">
        <v>0.64536199299999997</v>
      </c>
      <c r="S247" s="1">
        <v>0.10773488664222579</v>
      </c>
      <c r="T247" t="s">
        <v>394</v>
      </c>
      <c r="U247" s="1">
        <v>3555</v>
      </c>
      <c r="V247">
        <f t="shared" si="12"/>
        <v>0.39453773389619834</v>
      </c>
      <c r="W247" s="1">
        <f t="shared" si="13"/>
        <v>24.299999999999997</v>
      </c>
      <c r="X247">
        <f t="shared" si="14"/>
        <v>4.044801999999903E-3</v>
      </c>
      <c r="Y247">
        <f t="shared" si="15"/>
        <v>64.7</v>
      </c>
      <c r="Z247" s="1">
        <v>13</v>
      </c>
      <c r="AA247">
        <v>87</v>
      </c>
      <c r="AB247">
        <v>0.14940000000000001</v>
      </c>
      <c r="AC247">
        <v>16</v>
      </c>
      <c r="AD247">
        <v>70</v>
      </c>
      <c r="AE247">
        <v>0.2286</v>
      </c>
      <c r="AF247" t="s">
        <v>2592</v>
      </c>
      <c r="AG247" t="s">
        <v>2589</v>
      </c>
    </row>
    <row r="248" spans="1:33">
      <c r="A248" s="2" t="s">
        <v>141</v>
      </c>
      <c r="B248" s="2" t="s">
        <v>95</v>
      </c>
      <c r="C248" s="1">
        <v>0.51109353000000002</v>
      </c>
      <c r="D248">
        <v>0.62487169300000001</v>
      </c>
      <c r="E248">
        <v>0.629348248</v>
      </c>
      <c r="F248" s="1" t="s">
        <v>142</v>
      </c>
      <c r="G248" s="1">
        <v>1.171344165</v>
      </c>
      <c r="H248" s="1">
        <v>60.9</v>
      </c>
      <c r="I248" s="1">
        <v>135.4</v>
      </c>
      <c r="J248" s="1">
        <v>0.58843782366666664</v>
      </c>
      <c r="K248" s="1">
        <v>0.59462093100000002</v>
      </c>
      <c r="L248" s="1">
        <v>0.68038960500000001</v>
      </c>
      <c r="M248" s="3">
        <v>0.72533004899999998</v>
      </c>
      <c r="N248" s="1" t="s">
        <v>96</v>
      </c>
      <c r="O248" s="1">
        <v>1.9717647060000001</v>
      </c>
      <c r="P248" s="1">
        <v>34.6</v>
      </c>
      <c r="Q248" s="1">
        <v>42.5</v>
      </c>
      <c r="R248" s="1">
        <v>0.66678019499999996</v>
      </c>
      <c r="S248" s="1">
        <v>0.13882208539659005</v>
      </c>
      <c r="T248" t="s">
        <v>395</v>
      </c>
      <c r="U248" s="1">
        <v>302</v>
      </c>
      <c r="V248">
        <f t="shared" si="12"/>
        <v>0.27555632699523896</v>
      </c>
      <c r="W248" s="1">
        <f t="shared" si="13"/>
        <v>26.299999999999997</v>
      </c>
      <c r="X248">
        <f t="shared" si="14"/>
        <v>0.80042054100000004</v>
      </c>
      <c r="Y248">
        <f t="shared" si="15"/>
        <v>92.9</v>
      </c>
      <c r="Z248" s="1">
        <v>0</v>
      </c>
      <c r="AA248">
        <v>100</v>
      </c>
      <c r="AB248">
        <v>0</v>
      </c>
      <c r="AC248">
        <v>0</v>
      </c>
      <c r="AD248">
        <v>92</v>
      </c>
      <c r="AE248">
        <v>0</v>
      </c>
      <c r="AF248" t="s">
        <v>2592</v>
      </c>
      <c r="AG248" t="s">
        <v>2593</v>
      </c>
    </row>
    <row r="249" spans="1:33">
      <c r="A249" s="2" t="s">
        <v>141</v>
      </c>
      <c r="B249" s="2" t="s">
        <v>97</v>
      </c>
      <c r="C249" s="1">
        <v>0.51109353000000002</v>
      </c>
      <c r="D249">
        <v>0.62487169300000001</v>
      </c>
      <c r="E249">
        <v>0.629348248</v>
      </c>
      <c r="F249" s="1" t="s">
        <v>142</v>
      </c>
      <c r="G249" s="1">
        <v>1.171344165</v>
      </c>
      <c r="H249" s="1">
        <v>60.9</v>
      </c>
      <c r="I249" s="1">
        <v>135.4</v>
      </c>
      <c r="J249" s="1">
        <v>0.58843782366666664</v>
      </c>
      <c r="K249" s="1">
        <v>0.63674842300000001</v>
      </c>
      <c r="L249" s="1">
        <v>0.68532635500000005</v>
      </c>
      <c r="M249" s="3">
        <v>0.727031494</v>
      </c>
      <c r="N249" s="1" t="s">
        <v>98</v>
      </c>
      <c r="O249" s="1">
        <v>2.360103627</v>
      </c>
      <c r="P249" s="1">
        <v>36.799999999999997</v>
      </c>
      <c r="Q249" s="1">
        <v>38.6</v>
      </c>
      <c r="R249" s="1">
        <v>0.68303542400000017</v>
      </c>
      <c r="S249" s="1">
        <v>0.17025256192337376</v>
      </c>
      <c r="T249" t="s">
        <v>396</v>
      </c>
      <c r="U249" s="1">
        <v>364</v>
      </c>
      <c r="V249">
        <f t="shared" si="12"/>
        <v>0.28456682040545067</v>
      </c>
      <c r="W249" s="1">
        <f t="shared" si="13"/>
        <v>24.1</v>
      </c>
      <c r="X249">
        <f t="shared" si="14"/>
        <v>1.1887594619999999</v>
      </c>
      <c r="Y249">
        <f t="shared" si="15"/>
        <v>96.800000000000011</v>
      </c>
      <c r="Z249" s="1">
        <v>0</v>
      </c>
      <c r="AA249">
        <v>100</v>
      </c>
      <c r="AB249">
        <v>0</v>
      </c>
      <c r="AC249">
        <v>0</v>
      </c>
      <c r="AD249">
        <v>92</v>
      </c>
      <c r="AE249">
        <v>0</v>
      </c>
      <c r="AF249" t="s">
        <v>2592</v>
      </c>
      <c r="AG249" t="s">
        <v>2593</v>
      </c>
    </row>
    <row r="250" spans="1:33">
      <c r="A250" s="2" t="s">
        <v>141</v>
      </c>
      <c r="B250" s="2" t="s">
        <v>99</v>
      </c>
      <c r="C250" s="1">
        <v>0.51109353000000002</v>
      </c>
      <c r="D250">
        <v>0.62487169300000001</v>
      </c>
      <c r="E250">
        <v>0.629348248</v>
      </c>
      <c r="F250" s="1" t="s">
        <v>142</v>
      </c>
      <c r="G250" s="1">
        <v>1.171344165</v>
      </c>
      <c r="H250" s="1">
        <v>60.9</v>
      </c>
      <c r="I250" s="1">
        <v>135.4</v>
      </c>
      <c r="J250" s="1">
        <v>0.58843782366666664</v>
      </c>
      <c r="K250" s="1">
        <v>0.52525630099999998</v>
      </c>
      <c r="L250" s="1">
        <v>0.68706170200000005</v>
      </c>
      <c r="M250" s="3">
        <v>0.71473597300000002</v>
      </c>
      <c r="N250" s="1" t="s">
        <v>100</v>
      </c>
      <c r="O250" s="1">
        <v>1.72605042</v>
      </c>
      <c r="P250" s="1">
        <v>46.5</v>
      </c>
      <c r="Q250" s="1">
        <v>59.5</v>
      </c>
      <c r="R250" s="1">
        <v>0.64235132533333339</v>
      </c>
      <c r="S250" s="1">
        <v>0.10657975831504853</v>
      </c>
      <c r="T250" t="s">
        <v>397</v>
      </c>
      <c r="U250" s="1">
        <v>14082</v>
      </c>
      <c r="V250">
        <f t="shared" si="12"/>
        <v>0.46096270444247067</v>
      </c>
      <c r="W250" s="1">
        <f t="shared" si="13"/>
        <v>14.399999999999999</v>
      </c>
      <c r="X250">
        <f t="shared" si="14"/>
        <v>0.55470625499999993</v>
      </c>
      <c r="Y250">
        <f t="shared" si="15"/>
        <v>75.900000000000006</v>
      </c>
      <c r="Z250" s="1">
        <v>0</v>
      </c>
      <c r="AA250">
        <v>100</v>
      </c>
      <c r="AB250">
        <v>0</v>
      </c>
      <c r="AC250">
        <v>0</v>
      </c>
      <c r="AD250">
        <v>94</v>
      </c>
      <c r="AE250">
        <v>0</v>
      </c>
      <c r="AF250" t="s">
        <v>2592</v>
      </c>
      <c r="AG250" t="s">
        <v>2589</v>
      </c>
    </row>
    <row r="251" spans="1:33">
      <c r="A251" s="2" t="s">
        <v>141</v>
      </c>
      <c r="B251" s="2" t="s">
        <v>148</v>
      </c>
      <c r="C251" s="1">
        <v>0.51109353000000002</v>
      </c>
      <c r="D251">
        <v>0.62487169300000001</v>
      </c>
      <c r="E251">
        <v>0.629348248</v>
      </c>
      <c r="F251" s="1" t="s">
        <v>142</v>
      </c>
      <c r="G251" s="1">
        <v>1.171344165</v>
      </c>
      <c r="H251" s="1">
        <v>60.9</v>
      </c>
      <c r="I251" s="1">
        <v>135.4</v>
      </c>
      <c r="J251" s="1">
        <v>0.58843782366666664</v>
      </c>
      <c r="K251" s="1">
        <v>0.52246277500000005</v>
      </c>
      <c r="L251" s="1">
        <v>0.64036274199999998</v>
      </c>
      <c r="M251" s="3">
        <v>0.62317592099999997</v>
      </c>
      <c r="N251" s="1" t="s">
        <v>149</v>
      </c>
      <c r="O251" s="1">
        <v>1.201000834</v>
      </c>
      <c r="P251" s="1">
        <v>59.2</v>
      </c>
      <c r="Q251" s="1">
        <v>119.9</v>
      </c>
      <c r="R251" s="1">
        <v>0.59533381266666663</v>
      </c>
      <c r="S251" s="1">
        <v>2.0182416891575582E-2</v>
      </c>
      <c r="T251" t="s">
        <v>418</v>
      </c>
      <c r="U251" s="1">
        <v>47255</v>
      </c>
      <c r="V251">
        <f t="shared" si="12"/>
        <v>0.51938308527798815</v>
      </c>
      <c r="W251" s="1">
        <f t="shared" si="13"/>
        <v>1.6999999999999957</v>
      </c>
      <c r="X251">
        <f t="shared" si="14"/>
        <v>2.9656668999999969E-2</v>
      </c>
      <c r="Y251">
        <f t="shared" si="15"/>
        <v>15.5</v>
      </c>
      <c r="Z251" s="1">
        <v>40</v>
      </c>
      <c r="AA251">
        <v>60</v>
      </c>
      <c r="AB251">
        <v>0.66669999999999996</v>
      </c>
      <c r="AC251">
        <v>38</v>
      </c>
      <c r="AD251">
        <v>51</v>
      </c>
      <c r="AE251">
        <v>0.74509999999999998</v>
      </c>
      <c r="AF251" t="s">
        <v>2592</v>
      </c>
      <c r="AG251" t="s">
        <v>2589</v>
      </c>
    </row>
    <row r="252" spans="1:33">
      <c r="A252" s="2" t="s">
        <v>141</v>
      </c>
      <c r="B252" s="2" t="s">
        <v>101</v>
      </c>
      <c r="C252" s="1">
        <v>0.51109353000000002</v>
      </c>
      <c r="D252">
        <v>0.62487169300000001</v>
      </c>
      <c r="E252">
        <v>0.629348248</v>
      </c>
      <c r="F252" s="1" t="s">
        <v>142</v>
      </c>
      <c r="G252" s="1">
        <v>1.171344165</v>
      </c>
      <c r="H252" s="1">
        <v>60.9</v>
      </c>
      <c r="I252" s="1">
        <v>135.4</v>
      </c>
      <c r="J252" s="1">
        <v>0.58843782366666664</v>
      </c>
      <c r="K252" s="1">
        <v>0.57277697599999999</v>
      </c>
      <c r="L252" s="1">
        <v>0.64568820599999999</v>
      </c>
      <c r="M252" s="3">
        <v>0.70909993500000001</v>
      </c>
      <c r="N252" s="1" t="s">
        <v>102</v>
      </c>
      <c r="O252" s="1">
        <v>1.2818181820000001</v>
      </c>
      <c r="P252" s="1">
        <v>58</v>
      </c>
      <c r="Q252" s="1">
        <v>110</v>
      </c>
      <c r="R252" s="1">
        <v>0.64252170566666666</v>
      </c>
      <c r="S252" s="1">
        <v>0.10294904712167108</v>
      </c>
      <c r="T252" t="s">
        <v>398</v>
      </c>
      <c r="U252" s="1">
        <v>6914</v>
      </c>
      <c r="V252">
        <f t="shared" si="12"/>
        <v>0.42663659724515424</v>
      </c>
      <c r="W252" s="1">
        <f t="shared" si="13"/>
        <v>2.8999999999999986</v>
      </c>
      <c r="X252">
        <f t="shared" si="14"/>
        <v>0.11047401700000004</v>
      </c>
      <c r="Y252">
        <f t="shared" si="15"/>
        <v>25.400000000000006</v>
      </c>
      <c r="Z252" s="1">
        <v>6</v>
      </c>
      <c r="AA252">
        <v>94</v>
      </c>
      <c r="AB252">
        <v>6.3799999999999996E-2</v>
      </c>
      <c r="AC252">
        <v>8</v>
      </c>
      <c r="AD252">
        <v>79</v>
      </c>
      <c r="AE252">
        <v>0.1013</v>
      </c>
      <c r="AF252" t="s">
        <v>2592</v>
      </c>
      <c r="AG252" t="s">
        <v>2589</v>
      </c>
    </row>
    <row r="253" spans="1:33">
      <c r="A253" s="2" t="s">
        <v>141</v>
      </c>
      <c r="B253" s="2" t="s">
        <v>103</v>
      </c>
      <c r="C253" s="1">
        <v>0.51109353000000002</v>
      </c>
      <c r="D253">
        <v>0.62487169300000001</v>
      </c>
      <c r="E253">
        <v>0.629348248</v>
      </c>
      <c r="F253" s="1" t="s">
        <v>142</v>
      </c>
      <c r="G253" s="1">
        <v>1.171344165</v>
      </c>
      <c r="H253" s="1">
        <v>60.9</v>
      </c>
      <c r="I253" s="1">
        <v>135.4</v>
      </c>
      <c r="J253" s="1">
        <v>0.58843782366666664</v>
      </c>
      <c r="K253" s="1">
        <v>0.58538445800000005</v>
      </c>
      <c r="L253" s="1">
        <v>0.70461059999999998</v>
      </c>
      <c r="M253" s="3">
        <v>0.67846608399999997</v>
      </c>
      <c r="N253" s="1" t="s">
        <v>104</v>
      </c>
      <c r="O253" s="1">
        <v>1.1020080320000001</v>
      </c>
      <c r="P253" s="1">
        <v>58.7</v>
      </c>
      <c r="Q253" s="1">
        <v>124.5</v>
      </c>
      <c r="R253" s="1">
        <v>0.65615371400000011</v>
      </c>
      <c r="S253" s="1">
        <v>0.11954077582975077</v>
      </c>
      <c r="T253" t="s">
        <v>399</v>
      </c>
      <c r="U253" s="1">
        <v>10847</v>
      </c>
      <c r="V253">
        <f t="shared" si="12"/>
        <v>0.44836773779520012</v>
      </c>
      <c r="W253" s="1">
        <f t="shared" si="13"/>
        <v>2.1999999999999957</v>
      </c>
      <c r="X253">
        <f t="shared" si="14"/>
        <v>6.9336132999999966E-2</v>
      </c>
      <c r="Y253">
        <f t="shared" si="15"/>
        <v>10.900000000000006</v>
      </c>
      <c r="Z253" s="1">
        <v>1</v>
      </c>
      <c r="AA253">
        <v>99</v>
      </c>
      <c r="AB253">
        <v>1.01E-2</v>
      </c>
      <c r="AC253">
        <v>2</v>
      </c>
      <c r="AD253">
        <v>86</v>
      </c>
      <c r="AE253">
        <v>2.3300000000000001E-2</v>
      </c>
      <c r="AF253" t="s">
        <v>2592</v>
      </c>
      <c r="AG253" t="s">
        <v>2589</v>
      </c>
    </row>
    <row r="254" spans="1:33">
      <c r="A254" s="2" t="s">
        <v>141</v>
      </c>
      <c r="B254" s="2" t="s">
        <v>105</v>
      </c>
      <c r="C254" s="1">
        <v>0.51109353000000002</v>
      </c>
      <c r="D254">
        <v>0.62487169300000001</v>
      </c>
      <c r="E254">
        <v>0.629348248</v>
      </c>
      <c r="F254" s="1" t="s">
        <v>142</v>
      </c>
      <c r="G254" s="1">
        <v>1.171344165</v>
      </c>
      <c r="H254" s="1">
        <v>60.9</v>
      </c>
      <c r="I254" s="1">
        <v>135.4</v>
      </c>
      <c r="J254" s="1">
        <v>0.58843782366666664</v>
      </c>
      <c r="K254" s="1">
        <v>0.56210716000000005</v>
      </c>
      <c r="L254" s="1">
        <v>0.68032504299999996</v>
      </c>
      <c r="M254" s="3">
        <v>0.71115907899999997</v>
      </c>
      <c r="N254" s="1" t="s">
        <v>106</v>
      </c>
      <c r="O254" s="1">
        <v>1.0978593270000001</v>
      </c>
      <c r="P254" s="1">
        <v>43.5</v>
      </c>
      <c r="Q254" s="1">
        <v>98.1</v>
      </c>
      <c r="R254" s="1">
        <v>0.65119709399999992</v>
      </c>
      <c r="S254" s="1">
        <v>0.11122264401150493</v>
      </c>
      <c r="T254" t="s">
        <v>400</v>
      </c>
      <c r="U254" s="1">
        <v>5009</v>
      </c>
      <c r="V254">
        <f t="shared" si="12"/>
        <v>0.41108344796550156</v>
      </c>
      <c r="W254" s="1">
        <f t="shared" si="13"/>
        <v>17.399999999999999</v>
      </c>
      <c r="X254">
        <f t="shared" si="14"/>
        <v>7.3484837999999941E-2</v>
      </c>
      <c r="Y254">
        <f t="shared" si="15"/>
        <v>37.300000000000011</v>
      </c>
      <c r="Z254" s="1">
        <v>0</v>
      </c>
      <c r="AA254">
        <v>100</v>
      </c>
      <c r="AB254">
        <v>0</v>
      </c>
      <c r="AC254">
        <v>0</v>
      </c>
      <c r="AD254">
        <v>106</v>
      </c>
      <c r="AE254">
        <v>0</v>
      </c>
      <c r="AF254" t="s">
        <v>2592</v>
      </c>
      <c r="AG254" t="s">
        <v>2589</v>
      </c>
    </row>
    <row r="255" spans="1:33">
      <c r="A255" s="2" t="s">
        <v>141</v>
      </c>
      <c r="B255" s="2" t="s">
        <v>107</v>
      </c>
      <c r="C255" s="1">
        <v>0.51109353000000002</v>
      </c>
      <c r="D255">
        <v>0.62487169300000001</v>
      </c>
      <c r="E255">
        <v>0.629348248</v>
      </c>
      <c r="F255" s="1" t="s">
        <v>142</v>
      </c>
      <c r="G255" s="1">
        <v>1.171344165</v>
      </c>
      <c r="H255" s="1">
        <v>60.9</v>
      </c>
      <c r="I255" s="1">
        <v>135.4</v>
      </c>
      <c r="J255" s="1">
        <v>0.58843782366666664</v>
      </c>
      <c r="K255" s="1">
        <v>0.61734740899999996</v>
      </c>
      <c r="L255" s="1">
        <v>0.68293216999999995</v>
      </c>
      <c r="M255" s="3">
        <v>0.69981194099999999</v>
      </c>
      <c r="N255" s="1" t="s">
        <v>108</v>
      </c>
      <c r="O255" s="1">
        <v>2</v>
      </c>
      <c r="P255" s="1">
        <v>19</v>
      </c>
      <c r="Q255" s="1">
        <v>21.1</v>
      </c>
      <c r="R255" s="1">
        <v>0.66669717333333323</v>
      </c>
      <c r="S255" s="1">
        <v>0.14009296136213412</v>
      </c>
      <c r="T255" t="s">
        <v>401</v>
      </c>
      <c r="U255" s="1">
        <v>1440</v>
      </c>
      <c r="V255">
        <f t="shared" si="12"/>
        <v>0.35092916578836109</v>
      </c>
      <c r="W255" s="1">
        <f t="shared" si="13"/>
        <v>41.9</v>
      </c>
      <c r="X255">
        <f t="shared" si="14"/>
        <v>0.82865583499999995</v>
      </c>
      <c r="Y255">
        <f t="shared" si="15"/>
        <v>114.30000000000001</v>
      </c>
      <c r="Z255" s="1">
        <v>1</v>
      </c>
      <c r="AA255">
        <v>99</v>
      </c>
      <c r="AB255">
        <v>1.01E-2</v>
      </c>
      <c r="AC255">
        <v>1</v>
      </c>
      <c r="AD255">
        <v>81</v>
      </c>
      <c r="AE255">
        <v>1.23E-2</v>
      </c>
      <c r="AF255" t="s">
        <v>2592</v>
      </c>
      <c r="AG255" t="s">
        <v>2588</v>
      </c>
    </row>
    <row r="256" spans="1:33">
      <c r="A256" s="2" t="s">
        <v>141</v>
      </c>
      <c r="B256" s="2" t="s">
        <v>109</v>
      </c>
      <c r="C256" s="1">
        <v>0.51109353000000002</v>
      </c>
      <c r="D256">
        <v>0.62487169300000001</v>
      </c>
      <c r="E256">
        <v>0.629348248</v>
      </c>
      <c r="F256" s="1" t="s">
        <v>142</v>
      </c>
      <c r="G256" s="1">
        <v>1.171344165</v>
      </c>
      <c r="H256" s="1">
        <v>60.9</v>
      </c>
      <c r="I256" s="1">
        <v>135.4</v>
      </c>
      <c r="J256" s="1">
        <v>0.58843782366666664</v>
      </c>
      <c r="K256" s="1">
        <v>0.51638908800000005</v>
      </c>
      <c r="L256" s="1">
        <v>0.68684605300000001</v>
      </c>
      <c r="M256" s="3">
        <v>0.66065444600000001</v>
      </c>
      <c r="N256" s="1" t="s">
        <v>110</v>
      </c>
      <c r="O256" s="1">
        <v>1.2897862229999999</v>
      </c>
      <c r="P256" s="1">
        <v>49.4</v>
      </c>
      <c r="Q256" s="1">
        <v>84.2</v>
      </c>
      <c r="R256" s="1">
        <v>0.62129652899999999</v>
      </c>
      <c r="S256" s="1">
        <v>6.9634346878219303E-2</v>
      </c>
      <c r="T256" t="s">
        <v>402</v>
      </c>
      <c r="U256" s="1">
        <v>20507</v>
      </c>
      <c r="V256">
        <f t="shared" si="12"/>
        <v>0.47910023682438774</v>
      </c>
      <c r="W256" s="1">
        <f t="shared" si="13"/>
        <v>11.5</v>
      </c>
      <c r="X256">
        <f t="shared" si="14"/>
        <v>0.11844205799999985</v>
      </c>
      <c r="Y256">
        <f t="shared" si="15"/>
        <v>51.2</v>
      </c>
      <c r="Z256" s="1">
        <v>20</v>
      </c>
      <c r="AA256">
        <v>80</v>
      </c>
      <c r="AB256">
        <v>0.25</v>
      </c>
      <c r="AC256">
        <v>23</v>
      </c>
      <c r="AD256">
        <v>80</v>
      </c>
      <c r="AE256">
        <v>0.28749999999999998</v>
      </c>
      <c r="AF256" t="s">
        <v>2592</v>
      </c>
      <c r="AG256" t="s">
        <v>2589</v>
      </c>
    </row>
    <row r="257" spans="1:33">
      <c r="A257" s="2" t="s">
        <v>141</v>
      </c>
      <c r="B257" s="2" t="s">
        <v>111</v>
      </c>
      <c r="C257" s="1">
        <v>0.51109353000000002</v>
      </c>
      <c r="D257">
        <v>0.62487169300000001</v>
      </c>
      <c r="E257">
        <v>0.629348248</v>
      </c>
      <c r="F257" s="1" t="s">
        <v>142</v>
      </c>
      <c r="G257" s="1">
        <v>1.171344165</v>
      </c>
      <c r="H257" s="1">
        <v>60.9</v>
      </c>
      <c r="I257" s="1">
        <v>135.4</v>
      </c>
      <c r="J257" s="1">
        <v>0.58843782366666664</v>
      </c>
      <c r="K257" s="1">
        <v>0.60132418300000001</v>
      </c>
      <c r="L257" s="1">
        <v>0.67605095299999995</v>
      </c>
      <c r="M257" s="3">
        <v>0.74222981799999999</v>
      </c>
      <c r="N257" s="1" t="s">
        <v>112</v>
      </c>
      <c r="O257" s="1">
        <v>1.561403509</v>
      </c>
      <c r="P257" s="1">
        <v>30</v>
      </c>
      <c r="Q257" s="1">
        <v>45.6</v>
      </c>
      <c r="R257" s="1">
        <v>0.67320165133333332</v>
      </c>
      <c r="S257" s="1">
        <v>0.1533073261152868</v>
      </c>
      <c r="T257" t="s">
        <v>403</v>
      </c>
      <c r="U257" s="1">
        <v>1656</v>
      </c>
      <c r="V257">
        <f t="shared" si="12"/>
        <v>0.35767337027209567</v>
      </c>
      <c r="W257" s="1">
        <f t="shared" si="13"/>
        <v>30.9</v>
      </c>
      <c r="X257">
        <f t="shared" si="14"/>
        <v>0.39005934399999997</v>
      </c>
      <c r="Y257">
        <f t="shared" si="15"/>
        <v>89.800000000000011</v>
      </c>
      <c r="Z257" s="1">
        <v>1</v>
      </c>
      <c r="AA257">
        <v>99</v>
      </c>
      <c r="AB257">
        <v>1.01E-2</v>
      </c>
      <c r="AC257">
        <v>2</v>
      </c>
      <c r="AD257">
        <v>96</v>
      </c>
      <c r="AE257">
        <v>2.0799999999999999E-2</v>
      </c>
      <c r="AF257" t="s">
        <v>2592</v>
      </c>
      <c r="AG257" t="s">
        <v>2591</v>
      </c>
    </row>
    <row r="258" spans="1:33">
      <c r="A258" s="2" t="s">
        <v>141</v>
      </c>
      <c r="B258" s="2" t="s">
        <v>113</v>
      </c>
      <c r="C258" s="1">
        <v>0.51109353000000002</v>
      </c>
      <c r="D258">
        <v>0.62487169300000001</v>
      </c>
      <c r="E258">
        <v>0.629348248</v>
      </c>
      <c r="F258" s="1" t="s">
        <v>142</v>
      </c>
      <c r="G258" s="1">
        <v>1.171344165</v>
      </c>
      <c r="H258" s="1">
        <v>60.9</v>
      </c>
      <c r="I258" s="1">
        <v>135.4</v>
      </c>
      <c r="J258" s="1">
        <v>0.58843782366666664</v>
      </c>
      <c r="K258" s="1">
        <v>0.57440698499999998</v>
      </c>
      <c r="L258" s="1">
        <v>0.66920790399999996</v>
      </c>
      <c r="M258" s="3">
        <v>0.71602402300000001</v>
      </c>
      <c r="N258" s="1" t="s">
        <v>114</v>
      </c>
      <c r="O258" s="1">
        <v>2.5573248409999998</v>
      </c>
      <c r="P258" s="1">
        <v>34.299999999999997</v>
      </c>
      <c r="Q258" s="1">
        <v>31.4</v>
      </c>
      <c r="R258" s="1">
        <v>0.65321297066666661</v>
      </c>
      <c r="S258" s="1">
        <v>0.11613347132383568</v>
      </c>
      <c r="T258" t="s">
        <v>404</v>
      </c>
      <c r="U258" s="1">
        <v>471</v>
      </c>
      <c r="V258">
        <f t="shared" ref="V258:V321" si="16">LOG10(U258) / 9</f>
        <v>0.29700232301432178</v>
      </c>
      <c r="W258" s="1">
        <f t="shared" ref="W258:W321" si="17">ABS(H258-P258)</f>
        <v>26.6</v>
      </c>
      <c r="X258">
        <f t="shared" ref="X258:X321" si="18">ABS(G258-O258)</f>
        <v>1.3859806759999997</v>
      </c>
      <c r="Y258">
        <f t="shared" ref="Y258:Y321" si="19">ABS(I258-Q258)</f>
        <v>104</v>
      </c>
      <c r="Z258" s="1">
        <v>0</v>
      </c>
      <c r="AA258">
        <v>100</v>
      </c>
      <c r="AB258">
        <v>0</v>
      </c>
      <c r="AC258">
        <v>0</v>
      </c>
      <c r="AD258">
        <v>92</v>
      </c>
      <c r="AE258">
        <v>0</v>
      </c>
      <c r="AF258" t="s">
        <v>2592</v>
      </c>
      <c r="AG258" t="s">
        <v>2593</v>
      </c>
    </row>
    <row r="259" spans="1:33">
      <c r="A259" s="2" t="s">
        <v>141</v>
      </c>
      <c r="B259" s="2" t="s">
        <v>115</v>
      </c>
      <c r="C259" s="1">
        <v>0.51109353000000002</v>
      </c>
      <c r="D259">
        <v>0.62487169300000001</v>
      </c>
      <c r="E259">
        <v>0.629348248</v>
      </c>
      <c r="F259" s="1" t="s">
        <v>142</v>
      </c>
      <c r="G259" s="1">
        <v>1.171344165</v>
      </c>
      <c r="H259" s="1">
        <v>60.9</v>
      </c>
      <c r="I259" s="1">
        <v>135.4</v>
      </c>
      <c r="J259" s="1">
        <v>0.58843782366666664</v>
      </c>
      <c r="K259" s="1">
        <v>0.55237211100000005</v>
      </c>
      <c r="L259" s="1">
        <v>0.65961031000000003</v>
      </c>
      <c r="M259" s="3">
        <v>0.69215541599999997</v>
      </c>
      <c r="N259" s="1" t="s">
        <v>116</v>
      </c>
      <c r="O259" s="1">
        <v>1.149700599</v>
      </c>
      <c r="P259" s="1">
        <v>66.900000000000006</v>
      </c>
      <c r="Q259" s="1">
        <v>133.6</v>
      </c>
      <c r="R259" s="1">
        <v>0.63471261233333331</v>
      </c>
      <c r="S259" s="1">
        <v>8.279754291418602E-2</v>
      </c>
      <c r="T259" t="s">
        <v>405</v>
      </c>
      <c r="U259" s="1">
        <v>12679</v>
      </c>
      <c r="V259">
        <f t="shared" si="16"/>
        <v>0.45589833353795711</v>
      </c>
      <c r="W259" s="1">
        <f t="shared" si="17"/>
        <v>6.0000000000000071</v>
      </c>
      <c r="X259">
        <f t="shared" si="18"/>
        <v>2.1643566000000058E-2</v>
      </c>
      <c r="Y259">
        <f t="shared" si="19"/>
        <v>1.8000000000000114</v>
      </c>
      <c r="Z259" s="1">
        <v>10</v>
      </c>
      <c r="AA259">
        <v>90</v>
      </c>
      <c r="AB259">
        <v>0.1111</v>
      </c>
      <c r="AC259">
        <v>12</v>
      </c>
      <c r="AD259">
        <v>85</v>
      </c>
      <c r="AE259">
        <v>0.14119999999999999</v>
      </c>
      <c r="AF259" t="s">
        <v>2592</v>
      </c>
      <c r="AG259" t="s">
        <v>2589</v>
      </c>
    </row>
    <row r="260" spans="1:33">
      <c r="A260" s="2" t="s">
        <v>141</v>
      </c>
      <c r="B260" s="2" t="s">
        <v>117</v>
      </c>
      <c r="C260" s="1">
        <v>0.51109353000000002</v>
      </c>
      <c r="D260">
        <v>0.62487169300000001</v>
      </c>
      <c r="E260">
        <v>0.629348248</v>
      </c>
      <c r="F260" s="1" t="s">
        <v>142</v>
      </c>
      <c r="G260" s="1">
        <v>1.171344165</v>
      </c>
      <c r="H260" s="1">
        <v>60.9</v>
      </c>
      <c r="I260" s="1">
        <v>135.4</v>
      </c>
      <c r="J260" s="1">
        <v>0.58843782366666664</v>
      </c>
      <c r="K260" s="1">
        <v>0.52788907299999999</v>
      </c>
      <c r="L260" s="1">
        <v>0.665074418</v>
      </c>
      <c r="M260" s="3">
        <v>0.69056128699999997</v>
      </c>
      <c r="N260" s="1" t="s">
        <v>118</v>
      </c>
      <c r="O260" s="1">
        <v>1.0818253339999999</v>
      </c>
      <c r="P260" s="1">
        <v>58.4</v>
      </c>
      <c r="Q260" s="1">
        <v>127.1</v>
      </c>
      <c r="R260" s="1">
        <v>0.62784159266666661</v>
      </c>
      <c r="S260" s="1">
        <v>7.5135780462479984E-2</v>
      </c>
      <c r="T260" t="s">
        <v>406</v>
      </c>
      <c r="U260" s="1">
        <v>8504</v>
      </c>
      <c r="V260">
        <f t="shared" si="16"/>
        <v>0.4366248057239156</v>
      </c>
      <c r="W260" s="1">
        <f t="shared" si="17"/>
        <v>2.5</v>
      </c>
      <c r="X260">
        <f t="shared" si="18"/>
        <v>8.9518831000000132E-2</v>
      </c>
      <c r="Y260">
        <f t="shared" si="19"/>
        <v>8.3000000000000114</v>
      </c>
      <c r="Z260" s="1">
        <v>10</v>
      </c>
      <c r="AA260">
        <v>90</v>
      </c>
      <c r="AB260">
        <v>0.1111</v>
      </c>
      <c r="AC260">
        <v>13</v>
      </c>
      <c r="AD260">
        <v>96</v>
      </c>
      <c r="AE260">
        <v>0.13539999999999999</v>
      </c>
      <c r="AF260" t="s">
        <v>2592</v>
      </c>
      <c r="AG260" t="s">
        <v>2589</v>
      </c>
    </row>
    <row r="261" spans="1:33">
      <c r="A261" s="2" t="s">
        <v>141</v>
      </c>
      <c r="B261" s="2" t="s">
        <v>119</v>
      </c>
      <c r="C261" s="1">
        <v>0.51109353000000002</v>
      </c>
      <c r="D261">
        <v>0.62487169300000001</v>
      </c>
      <c r="E261">
        <v>0.629348248</v>
      </c>
      <c r="F261" s="1" t="s">
        <v>142</v>
      </c>
      <c r="G261" s="1">
        <v>1.171344165</v>
      </c>
      <c r="H261" s="1">
        <v>60.9</v>
      </c>
      <c r="I261" s="1">
        <v>135.4</v>
      </c>
      <c r="J261" s="1">
        <v>0.58843782366666664</v>
      </c>
      <c r="K261" s="1">
        <v>0.48582609999999998</v>
      </c>
      <c r="L261" s="1">
        <v>0.67226483999999997</v>
      </c>
      <c r="M261" s="3">
        <v>0.68571362400000002</v>
      </c>
      <c r="N261" s="1" t="s">
        <v>120</v>
      </c>
      <c r="O261" s="1">
        <v>1.1435028249999999</v>
      </c>
      <c r="P261" s="1">
        <v>42.6</v>
      </c>
      <c r="Q261" s="1">
        <v>88.5</v>
      </c>
      <c r="R261" s="1">
        <v>0.61460152133333334</v>
      </c>
      <c r="S261" s="1">
        <v>7.7856335727992526E-2</v>
      </c>
      <c r="T261" t="s">
        <v>407</v>
      </c>
      <c r="U261" s="1">
        <v>3639</v>
      </c>
      <c r="V261">
        <f t="shared" si="16"/>
        <v>0.39566467284291501</v>
      </c>
      <c r="W261" s="1">
        <f t="shared" si="17"/>
        <v>18.299999999999997</v>
      </c>
      <c r="X261">
        <f t="shared" si="18"/>
        <v>2.7841340000000159E-2</v>
      </c>
      <c r="Y261">
        <f t="shared" si="19"/>
        <v>46.900000000000006</v>
      </c>
      <c r="Z261" s="1">
        <v>10</v>
      </c>
      <c r="AA261">
        <v>90</v>
      </c>
      <c r="AB261">
        <v>0.1111</v>
      </c>
      <c r="AC261">
        <v>12</v>
      </c>
      <c r="AD261">
        <v>85</v>
      </c>
      <c r="AE261">
        <v>0.14119999999999999</v>
      </c>
      <c r="AF261" t="s">
        <v>2592</v>
      </c>
      <c r="AG261" t="s">
        <v>2589</v>
      </c>
    </row>
    <row r="262" spans="1:33">
      <c r="A262" s="2" t="s">
        <v>141</v>
      </c>
      <c r="B262" s="2" t="s">
        <v>121</v>
      </c>
      <c r="C262" s="1">
        <v>0.51109353000000002</v>
      </c>
      <c r="D262">
        <v>0.62487169300000001</v>
      </c>
      <c r="E262">
        <v>0.629348248</v>
      </c>
      <c r="F262" s="1" t="s">
        <v>142</v>
      </c>
      <c r="G262" s="1">
        <v>1.171344165</v>
      </c>
      <c r="H262" s="1">
        <v>60.9</v>
      </c>
      <c r="I262" s="1">
        <v>135.4</v>
      </c>
      <c r="J262" s="1">
        <v>0.58843782366666664</v>
      </c>
      <c r="K262" s="1">
        <v>0.57363214500000004</v>
      </c>
      <c r="L262" s="1">
        <v>0.65876685800000001</v>
      </c>
      <c r="M262" s="3">
        <v>0.71110834000000001</v>
      </c>
      <c r="N262" s="1" t="s">
        <v>122</v>
      </c>
      <c r="O262" s="1">
        <v>2.4518664050000001</v>
      </c>
      <c r="P262" s="1">
        <v>50.1</v>
      </c>
      <c r="Q262" s="1">
        <v>50.9</v>
      </c>
      <c r="R262" s="1">
        <v>0.64783578100000005</v>
      </c>
      <c r="S262" s="1">
        <v>0.10837284355568011</v>
      </c>
      <c r="T262" t="s">
        <v>408</v>
      </c>
      <c r="U262" s="1">
        <v>1565</v>
      </c>
      <c r="V262">
        <f t="shared" si="16"/>
        <v>0.3549460379869408</v>
      </c>
      <c r="W262" s="1">
        <f t="shared" si="17"/>
        <v>10.799999999999997</v>
      </c>
      <c r="X262">
        <f t="shared" si="18"/>
        <v>1.28052224</v>
      </c>
      <c r="Y262">
        <f t="shared" si="19"/>
        <v>84.5</v>
      </c>
      <c r="Z262" s="1">
        <v>1</v>
      </c>
      <c r="AA262">
        <v>99</v>
      </c>
      <c r="AB262">
        <v>1.01E-2</v>
      </c>
      <c r="AC262">
        <v>2</v>
      </c>
      <c r="AD262">
        <v>102</v>
      </c>
      <c r="AE262">
        <v>1.9599999999999999E-2</v>
      </c>
      <c r="AF262" t="s">
        <v>2592</v>
      </c>
      <c r="AG262" t="s">
        <v>2593</v>
      </c>
    </row>
    <row r="263" spans="1:33">
      <c r="A263" s="2" t="s">
        <v>141</v>
      </c>
      <c r="B263" s="2" t="s">
        <v>123</v>
      </c>
      <c r="C263" s="1">
        <v>0.51109353000000002</v>
      </c>
      <c r="D263">
        <v>0.62487169300000001</v>
      </c>
      <c r="E263">
        <v>0.629348248</v>
      </c>
      <c r="F263" s="1" t="s">
        <v>142</v>
      </c>
      <c r="G263" s="1">
        <v>1.171344165</v>
      </c>
      <c r="H263" s="1">
        <v>60.9</v>
      </c>
      <c r="I263" s="1">
        <v>135.4</v>
      </c>
      <c r="J263" s="1">
        <v>0.58843782366666664</v>
      </c>
      <c r="K263" s="1">
        <v>0.59184352799999995</v>
      </c>
      <c r="L263" s="1">
        <v>0.67011857600000002</v>
      </c>
      <c r="M263" s="3">
        <v>0.74025419199999998</v>
      </c>
      <c r="N263" s="1" t="s">
        <v>124</v>
      </c>
      <c r="O263" s="1">
        <v>1.7166666669999999</v>
      </c>
      <c r="P263" s="1">
        <v>26</v>
      </c>
      <c r="Q263" s="1">
        <v>36</v>
      </c>
      <c r="R263" s="1">
        <v>0.66740543199999991</v>
      </c>
      <c r="S263" s="1">
        <v>0.14445750590657039</v>
      </c>
      <c r="T263" t="s">
        <v>409</v>
      </c>
      <c r="U263" s="1">
        <v>5804</v>
      </c>
      <c r="V263">
        <f t="shared" si="16"/>
        <v>0.41819193375174429</v>
      </c>
      <c r="W263" s="1">
        <f t="shared" si="17"/>
        <v>34.9</v>
      </c>
      <c r="X263">
        <f t="shared" si="18"/>
        <v>0.54532250199999988</v>
      </c>
      <c r="Y263">
        <f t="shared" si="19"/>
        <v>99.4</v>
      </c>
      <c r="Z263" s="1">
        <v>0</v>
      </c>
      <c r="AA263">
        <v>100</v>
      </c>
      <c r="AB263">
        <v>0</v>
      </c>
      <c r="AC263">
        <v>0</v>
      </c>
      <c r="AD263">
        <v>99</v>
      </c>
      <c r="AE263">
        <v>0</v>
      </c>
      <c r="AF263" t="s">
        <v>2592</v>
      </c>
      <c r="AG263" t="s">
        <v>2591</v>
      </c>
    </row>
    <row r="264" spans="1:33">
      <c r="A264" s="2" t="s">
        <v>141</v>
      </c>
      <c r="B264" s="2" t="s">
        <v>125</v>
      </c>
      <c r="C264" s="1">
        <v>0.51109353000000002</v>
      </c>
      <c r="D264">
        <v>0.62487169300000001</v>
      </c>
      <c r="E264">
        <v>0.629348248</v>
      </c>
      <c r="F264" s="1" t="s">
        <v>142</v>
      </c>
      <c r="G264" s="1">
        <v>1.171344165</v>
      </c>
      <c r="H264" s="1">
        <v>60.9</v>
      </c>
      <c r="I264" s="1">
        <v>135.4</v>
      </c>
      <c r="J264" s="1">
        <v>0.58843782366666664</v>
      </c>
      <c r="K264" s="1">
        <v>0.611478776</v>
      </c>
      <c r="L264" s="1">
        <v>0.67681801600000002</v>
      </c>
      <c r="M264" s="3">
        <v>0.73326355300000001</v>
      </c>
      <c r="N264" s="1" t="s">
        <v>126</v>
      </c>
      <c r="O264" s="1">
        <v>1.6431372550000001</v>
      </c>
      <c r="P264" s="1">
        <v>35.1</v>
      </c>
      <c r="Q264" s="1">
        <v>51</v>
      </c>
      <c r="R264" s="1">
        <v>0.67385344833333338</v>
      </c>
      <c r="S264" s="1">
        <v>0.15353829718003217</v>
      </c>
      <c r="T264" t="s">
        <v>410</v>
      </c>
      <c r="U264" s="1">
        <v>5696</v>
      </c>
      <c r="V264">
        <f t="shared" si="16"/>
        <v>0.4172855534032</v>
      </c>
      <c r="W264" s="1">
        <f t="shared" si="17"/>
        <v>25.799999999999997</v>
      </c>
      <c r="X264">
        <f t="shared" si="18"/>
        <v>0.47179309000000003</v>
      </c>
      <c r="Y264">
        <f t="shared" si="19"/>
        <v>84.4</v>
      </c>
      <c r="Z264" s="1">
        <v>1</v>
      </c>
      <c r="AA264">
        <v>99</v>
      </c>
      <c r="AB264">
        <v>1.01E-2</v>
      </c>
      <c r="AC264">
        <v>2</v>
      </c>
      <c r="AD264">
        <v>107</v>
      </c>
      <c r="AE264">
        <v>1.8700000000000001E-2</v>
      </c>
      <c r="AF264" t="s">
        <v>2592</v>
      </c>
      <c r="AG264" t="s">
        <v>2591</v>
      </c>
    </row>
    <row r="265" spans="1:33">
      <c r="A265" s="2" t="s">
        <v>141</v>
      </c>
      <c r="B265" s="2" t="s">
        <v>127</v>
      </c>
      <c r="C265" s="1">
        <v>0.51109353000000002</v>
      </c>
      <c r="D265">
        <v>0.62487169300000001</v>
      </c>
      <c r="E265">
        <v>0.629348248</v>
      </c>
      <c r="F265" s="1" t="s">
        <v>142</v>
      </c>
      <c r="G265" s="1">
        <v>1.171344165</v>
      </c>
      <c r="H265" s="1">
        <v>60.9</v>
      </c>
      <c r="I265" s="1">
        <v>135.4</v>
      </c>
      <c r="J265" s="1">
        <v>0.58843782366666664</v>
      </c>
      <c r="K265" s="1">
        <v>0.50688118500000001</v>
      </c>
      <c r="L265" s="1">
        <v>0.64616698699999997</v>
      </c>
      <c r="M265" s="3">
        <v>0.65580376299999998</v>
      </c>
      <c r="N265" s="1" t="s">
        <v>128</v>
      </c>
      <c r="O265" s="1">
        <v>1.5447714459999999</v>
      </c>
      <c r="P265" s="1">
        <v>98.4</v>
      </c>
      <c r="Q265" s="1">
        <v>159.69999999999999</v>
      </c>
      <c r="R265" s="1">
        <v>0.60295064500000006</v>
      </c>
      <c r="S265" s="1">
        <v>3.422174266253377E-2</v>
      </c>
      <c r="T265" t="s">
        <v>411</v>
      </c>
      <c r="U265" s="1">
        <v>15185</v>
      </c>
      <c r="V265">
        <f t="shared" si="16"/>
        <v>0.46460164402825377</v>
      </c>
      <c r="W265" s="1">
        <f t="shared" si="17"/>
        <v>37.500000000000007</v>
      </c>
      <c r="X265">
        <f t="shared" si="18"/>
        <v>0.37342728099999989</v>
      </c>
      <c r="Y265">
        <f t="shared" si="19"/>
        <v>24.299999999999983</v>
      </c>
      <c r="Z265" s="1">
        <v>17</v>
      </c>
      <c r="AA265">
        <v>83</v>
      </c>
      <c r="AB265">
        <v>0.20480000000000001</v>
      </c>
      <c r="AC265">
        <v>19</v>
      </c>
      <c r="AD265">
        <v>90</v>
      </c>
      <c r="AE265">
        <v>0.21110000000000001</v>
      </c>
      <c r="AF265" t="s">
        <v>2592</v>
      </c>
      <c r="AG265" t="s">
        <v>2589</v>
      </c>
    </row>
    <row r="266" spans="1:33">
      <c r="A266" s="2" t="s">
        <v>141</v>
      </c>
      <c r="B266" s="2" t="s">
        <v>129</v>
      </c>
      <c r="C266" s="1">
        <v>0.51109353000000002</v>
      </c>
      <c r="D266">
        <v>0.62487169300000001</v>
      </c>
      <c r="E266">
        <v>0.629348248</v>
      </c>
      <c r="F266" s="1" t="s">
        <v>142</v>
      </c>
      <c r="G266" s="1">
        <v>1.171344165</v>
      </c>
      <c r="H266" s="1">
        <v>60.9</v>
      </c>
      <c r="I266" s="1">
        <v>135.4</v>
      </c>
      <c r="J266" s="1">
        <v>0.58843782366666664</v>
      </c>
      <c r="K266" s="1">
        <v>0.50422724299999999</v>
      </c>
      <c r="L266" s="1">
        <v>0.61050655300000001</v>
      </c>
      <c r="M266" s="3">
        <v>0.63007085299999999</v>
      </c>
      <c r="N266" s="1" t="s">
        <v>130</v>
      </c>
      <c r="O266" s="1">
        <v>1.4142988080000001</v>
      </c>
      <c r="P266" s="1">
        <v>58.7</v>
      </c>
      <c r="Q266" s="1">
        <v>109.1</v>
      </c>
      <c r="R266" s="1">
        <v>0.58160154966666655</v>
      </c>
      <c r="S266" s="1">
        <v>1.5938171236750918E-2</v>
      </c>
      <c r="T266" t="s">
        <v>412</v>
      </c>
      <c r="U266" s="1">
        <v>26516</v>
      </c>
      <c r="V266">
        <f t="shared" si="16"/>
        <v>0.49150089003838804</v>
      </c>
      <c r="W266" s="1">
        <f t="shared" si="17"/>
        <v>2.1999999999999957</v>
      </c>
      <c r="X266">
        <f t="shared" si="18"/>
        <v>0.24295464300000003</v>
      </c>
      <c r="Y266">
        <f t="shared" si="19"/>
        <v>26.300000000000011</v>
      </c>
      <c r="Z266" s="1">
        <v>38</v>
      </c>
      <c r="AA266">
        <v>62</v>
      </c>
      <c r="AB266">
        <v>0.6129</v>
      </c>
      <c r="AC266">
        <v>37</v>
      </c>
      <c r="AD266">
        <v>55</v>
      </c>
      <c r="AE266">
        <v>0.67269999999999996</v>
      </c>
      <c r="AF266" t="s">
        <v>2592</v>
      </c>
      <c r="AG266" t="s">
        <v>2593</v>
      </c>
    </row>
    <row r="267" spans="1:33">
      <c r="A267" s="2" t="s">
        <v>141</v>
      </c>
      <c r="B267" s="2" t="s">
        <v>131</v>
      </c>
      <c r="C267" s="1">
        <v>0.51109353000000002</v>
      </c>
      <c r="D267">
        <v>0.62487169300000001</v>
      </c>
      <c r="E267">
        <v>0.629348248</v>
      </c>
      <c r="F267" s="1" t="s">
        <v>142</v>
      </c>
      <c r="G267" s="1">
        <v>1.171344165</v>
      </c>
      <c r="H267" s="1">
        <v>60.9</v>
      </c>
      <c r="I267" s="1">
        <v>135.4</v>
      </c>
      <c r="J267" s="1">
        <v>0.58843782366666664</v>
      </c>
      <c r="K267" s="1">
        <v>0.53830564800000003</v>
      </c>
      <c r="L267" s="1">
        <v>0.65609959100000004</v>
      </c>
      <c r="M267" s="3">
        <v>0.68896664299999999</v>
      </c>
      <c r="N267" s="1" t="s">
        <v>132</v>
      </c>
      <c r="O267" s="1">
        <v>1.0676416820000001</v>
      </c>
      <c r="P267" s="1">
        <v>25</v>
      </c>
      <c r="Q267" s="1">
        <v>54.7</v>
      </c>
      <c r="R267" s="1">
        <v>0.62779062733333335</v>
      </c>
      <c r="S267" s="1">
        <v>7.259499984103833E-2</v>
      </c>
      <c r="T267" t="s">
        <v>413</v>
      </c>
      <c r="U267" s="1">
        <v>2526</v>
      </c>
      <c r="V267">
        <f t="shared" si="16"/>
        <v>0.37804814957992355</v>
      </c>
      <c r="W267" s="1">
        <f t="shared" si="17"/>
        <v>35.9</v>
      </c>
      <c r="X267">
        <f t="shared" si="18"/>
        <v>0.10370248299999996</v>
      </c>
      <c r="Y267">
        <f t="shared" si="19"/>
        <v>80.7</v>
      </c>
      <c r="Z267" s="1">
        <v>0</v>
      </c>
      <c r="AA267">
        <v>100</v>
      </c>
      <c r="AB267">
        <v>0</v>
      </c>
      <c r="AC267">
        <v>0</v>
      </c>
      <c r="AD267">
        <v>88</v>
      </c>
      <c r="AE267">
        <v>0</v>
      </c>
      <c r="AF267" t="s">
        <v>2592</v>
      </c>
      <c r="AG267" t="s">
        <v>2589</v>
      </c>
    </row>
    <row r="268" spans="1:33">
      <c r="A268" s="2" t="s">
        <v>141</v>
      </c>
      <c r="B268" s="2" t="s">
        <v>133</v>
      </c>
      <c r="C268" s="1">
        <v>0.51109353000000002</v>
      </c>
      <c r="D268">
        <v>0.62487169300000001</v>
      </c>
      <c r="E268">
        <v>0.629348248</v>
      </c>
      <c r="F268" s="1" t="s">
        <v>142</v>
      </c>
      <c r="G268" s="1">
        <v>1.171344165</v>
      </c>
      <c r="H268" s="1">
        <v>60.9</v>
      </c>
      <c r="I268" s="1">
        <v>135.4</v>
      </c>
      <c r="J268" s="1">
        <v>0.58843782366666664</v>
      </c>
      <c r="K268" s="1">
        <v>0.65296959200000004</v>
      </c>
      <c r="L268" s="1">
        <v>0.71047257900000005</v>
      </c>
      <c r="M268" s="3">
        <v>0.679994718</v>
      </c>
      <c r="N268" s="1" t="s">
        <v>134</v>
      </c>
      <c r="O268" s="1">
        <v>1.3877068560000001</v>
      </c>
      <c r="P268" s="1">
        <v>25.6</v>
      </c>
      <c r="Q268" s="1">
        <v>42.3</v>
      </c>
      <c r="R268" s="1">
        <v>0.6811456296666667</v>
      </c>
      <c r="S268" s="1">
        <v>0.17326682768514506</v>
      </c>
      <c r="T268" t="s">
        <v>414</v>
      </c>
      <c r="U268" s="1">
        <v>2946</v>
      </c>
      <c r="V268">
        <f t="shared" si="16"/>
        <v>0.3854703047229569</v>
      </c>
      <c r="W268" s="1">
        <f t="shared" si="17"/>
        <v>35.299999999999997</v>
      </c>
      <c r="X268">
        <f t="shared" si="18"/>
        <v>0.21636269100000005</v>
      </c>
      <c r="Y268">
        <f t="shared" si="19"/>
        <v>93.100000000000009</v>
      </c>
      <c r="Z268" s="1">
        <v>1</v>
      </c>
      <c r="AA268">
        <v>99</v>
      </c>
      <c r="AB268">
        <v>1.01E-2</v>
      </c>
      <c r="AC268">
        <v>2</v>
      </c>
      <c r="AD268">
        <v>138</v>
      </c>
      <c r="AE268">
        <v>1.4500000000000001E-2</v>
      </c>
      <c r="AF268" t="s">
        <v>2592</v>
      </c>
      <c r="AG268" t="s">
        <v>2591</v>
      </c>
    </row>
    <row r="269" spans="1:33">
      <c r="A269" s="2" t="s">
        <v>141</v>
      </c>
      <c r="B269" s="2" t="s">
        <v>135</v>
      </c>
      <c r="C269" s="1">
        <v>0.51109353000000002</v>
      </c>
      <c r="D269">
        <v>0.62487169300000001</v>
      </c>
      <c r="E269">
        <v>0.629348248</v>
      </c>
      <c r="F269" s="1" t="s">
        <v>142</v>
      </c>
      <c r="G269" s="1">
        <v>1.171344165</v>
      </c>
      <c r="H269" s="1">
        <v>60.9</v>
      </c>
      <c r="I269" s="1">
        <v>135.4</v>
      </c>
      <c r="J269" s="1">
        <v>0.58843782366666664</v>
      </c>
      <c r="K269" s="1">
        <v>0.62083905900000003</v>
      </c>
      <c r="L269" s="1">
        <v>0.69185057000000005</v>
      </c>
      <c r="M269" s="3">
        <v>0.70435387900000002</v>
      </c>
      <c r="N269" s="1" t="s">
        <v>136</v>
      </c>
      <c r="O269" s="1">
        <v>1.353075171</v>
      </c>
      <c r="P269" s="1">
        <v>25.2</v>
      </c>
      <c r="Q269" s="1">
        <v>43.9</v>
      </c>
      <c r="R269" s="1">
        <v>0.67234783600000003</v>
      </c>
      <c r="S269" s="1">
        <v>0.14884923843063202</v>
      </c>
      <c r="T269" t="s">
        <v>415</v>
      </c>
      <c r="U269" s="1">
        <v>558</v>
      </c>
      <c r="V269">
        <f t="shared" si="16"/>
        <v>0.30518157765973097</v>
      </c>
      <c r="W269" s="1">
        <f t="shared" si="17"/>
        <v>35.700000000000003</v>
      </c>
      <c r="X269">
        <f t="shared" si="18"/>
        <v>0.18173100599999992</v>
      </c>
      <c r="Y269">
        <f t="shared" si="19"/>
        <v>91.5</v>
      </c>
      <c r="Z269" s="1">
        <v>1</v>
      </c>
      <c r="AA269">
        <v>99</v>
      </c>
      <c r="AB269">
        <v>1.01E-2</v>
      </c>
      <c r="AC269">
        <v>2</v>
      </c>
      <c r="AD269">
        <v>108</v>
      </c>
      <c r="AE269">
        <v>1.8499999999999999E-2</v>
      </c>
      <c r="AF269" t="s">
        <v>2592</v>
      </c>
      <c r="AG269" t="s">
        <v>2591</v>
      </c>
    </row>
    <row r="270" spans="1:33">
      <c r="A270" s="2" t="s">
        <v>141</v>
      </c>
      <c r="B270" s="2" t="s">
        <v>137</v>
      </c>
      <c r="C270" s="1">
        <v>0.51109353000000002</v>
      </c>
      <c r="D270">
        <v>0.62487169300000001</v>
      </c>
      <c r="E270">
        <v>0.629348248</v>
      </c>
      <c r="F270" s="1" t="s">
        <v>142</v>
      </c>
      <c r="G270" s="1">
        <v>1.171344165</v>
      </c>
      <c r="H270" s="1">
        <v>60.9</v>
      </c>
      <c r="I270" s="1">
        <v>135.4</v>
      </c>
      <c r="J270" s="1">
        <v>0.58843782366666664</v>
      </c>
      <c r="K270" s="1">
        <v>0.63291540800000001</v>
      </c>
      <c r="L270" s="1">
        <v>0.77430151800000002</v>
      </c>
      <c r="M270" s="3">
        <v>0.70057116200000003</v>
      </c>
      <c r="N270" s="1" t="s">
        <v>138</v>
      </c>
      <c r="O270" s="1">
        <v>1.1048387099999999</v>
      </c>
      <c r="P270" s="1">
        <v>35.4</v>
      </c>
      <c r="Q270" s="1">
        <v>74.400000000000006</v>
      </c>
      <c r="R270" s="1">
        <v>0.70259602933333332</v>
      </c>
      <c r="S270" s="1">
        <v>0.20552991518907635</v>
      </c>
      <c r="T270" t="s">
        <v>416</v>
      </c>
      <c r="U270" s="1">
        <v>1925</v>
      </c>
      <c r="V270">
        <f t="shared" si="16"/>
        <v>0.36493674820494659</v>
      </c>
      <c r="W270" s="1">
        <f t="shared" si="17"/>
        <v>25.5</v>
      </c>
      <c r="X270">
        <f t="shared" si="18"/>
        <v>6.6505455000000158E-2</v>
      </c>
      <c r="Y270">
        <f t="shared" si="19"/>
        <v>61</v>
      </c>
      <c r="Z270" s="1">
        <v>6</v>
      </c>
      <c r="AA270">
        <v>94</v>
      </c>
      <c r="AB270">
        <v>6.3799999999999996E-2</v>
      </c>
      <c r="AC270">
        <v>9</v>
      </c>
      <c r="AD270">
        <v>92</v>
      </c>
      <c r="AE270">
        <v>9.7799999999999998E-2</v>
      </c>
      <c r="AF270" t="s">
        <v>2592</v>
      </c>
      <c r="AG270" t="s">
        <v>2589</v>
      </c>
    </row>
    <row r="271" spans="1:33">
      <c r="A271" s="2" t="s">
        <v>141</v>
      </c>
      <c r="B271" s="2" t="s">
        <v>139</v>
      </c>
      <c r="C271" s="1">
        <v>0.51109353000000002</v>
      </c>
      <c r="D271">
        <v>0.62487169300000001</v>
      </c>
      <c r="E271">
        <v>0.629348248</v>
      </c>
      <c r="F271" s="1" t="s">
        <v>142</v>
      </c>
      <c r="G271" s="1">
        <v>1.171344165</v>
      </c>
      <c r="H271" s="1">
        <v>60.9</v>
      </c>
      <c r="I271" s="1">
        <v>135.4</v>
      </c>
      <c r="J271" s="1">
        <v>0.58843782366666664</v>
      </c>
      <c r="K271" s="1">
        <v>0.52583481399999998</v>
      </c>
      <c r="L271" s="1">
        <v>0.65097824800000004</v>
      </c>
      <c r="M271" s="3">
        <v>0.65942698399999999</v>
      </c>
      <c r="N271" s="1" t="s">
        <v>140</v>
      </c>
      <c r="O271" s="1">
        <v>1.123169681</v>
      </c>
      <c r="P271" s="1">
        <v>56.5</v>
      </c>
      <c r="Q271" s="1">
        <v>116.1</v>
      </c>
      <c r="R271" s="1">
        <v>0.61208001533333334</v>
      </c>
      <c r="S271" s="1">
        <v>4.2468671127012879E-2</v>
      </c>
      <c r="T271" t="s">
        <v>417</v>
      </c>
      <c r="U271" s="1">
        <v>6874</v>
      </c>
      <c r="V271">
        <f t="shared" si="16"/>
        <v>0.42635661420013404</v>
      </c>
      <c r="W271" s="1">
        <f t="shared" si="17"/>
        <v>4.3999999999999986</v>
      </c>
      <c r="X271">
        <f t="shared" si="18"/>
        <v>4.8174484000000017E-2</v>
      </c>
      <c r="Y271">
        <f t="shared" si="19"/>
        <v>19.300000000000011</v>
      </c>
      <c r="Z271" s="1">
        <v>16</v>
      </c>
      <c r="AA271">
        <v>84</v>
      </c>
      <c r="AB271">
        <v>0.1905</v>
      </c>
      <c r="AC271">
        <v>19</v>
      </c>
      <c r="AD271">
        <v>93</v>
      </c>
      <c r="AE271">
        <v>0.20430000000000001</v>
      </c>
      <c r="AF271" t="s">
        <v>2592</v>
      </c>
      <c r="AG271" t="s">
        <v>2589</v>
      </c>
    </row>
    <row r="272" spans="1:33">
      <c r="A272" s="2" t="s">
        <v>139</v>
      </c>
      <c r="B272" s="2" t="s">
        <v>10</v>
      </c>
      <c r="C272" s="1">
        <v>0.52583481399999998</v>
      </c>
      <c r="D272">
        <v>0.65097824800000004</v>
      </c>
      <c r="E272">
        <v>0.65942698399999999</v>
      </c>
      <c r="F272" s="1" t="s">
        <v>140</v>
      </c>
      <c r="G272" s="1">
        <v>1.123169681</v>
      </c>
      <c r="H272" s="1">
        <v>56.5</v>
      </c>
      <c r="I272" s="1">
        <v>116.1</v>
      </c>
      <c r="J272" s="1">
        <v>0.61208001533333334</v>
      </c>
      <c r="K272" s="1">
        <v>0.52456325500000001</v>
      </c>
      <c r="L272" s="1">
        <v>0.61925627999999999</v>
      </c>
      <c r="M272" s="3">
        <v>0.72111139899999999</v>
      </c>
      <c r="N272" s="1" t="s">
        <v>12</v>
      </c>
      <c r="O272" s="1">
        <v>0.61690647499999995</v>
      </c>
      <c r="P272" s="1">
        <v>30</v>
      </c>
      <c r="Q272" s="1">
        <v>111.2</v>
      </c>
      <c r="R272" s="1">
        <v>0.62164364466666666</v>
      </c>
      <c r="S272" s="1">
        <v>6.9374830954574085E-2</v>
      </c>
      <c r="T272" t="s">
        <v>419</v>
      </c>
      <c r="U272" s="1">
        <v>1596</v>
      </c>
      <c r="V272">
        <f t="shared" si="16"/>
        <v>0.35589254300163448</v>
      </c>
      <c r="W272" s="1">
        <f t="shared" si="17"/>
        <v>26.5</v>
      </c>
      <c r="X272">
        <f t="shared" si="18"/>
        <v>0.50626320600000008</v>
      </c>
      <c r="Y272">
        <f t="shared" si="19"/>
        <v>4.8999999999999915</v>
      </c>
      <c r="Z272" s="1">
        <v>4</v>
      </c>
      <c r="AA272">
        <v>96</v>
      </c>
      <c r="AB272">
        <v>4.1700000000000001E-2</v>
      </c>
      <c r="AC272">
        <v>5</v>
      </c>
      <c r="AD272">
        <v>167</v>
      </c>
      <c r="AE272">
        <v>2.9899999999999999E-2</v>
      </c>
      <c r="AF272" t="s">
        <v>2589</v>
      </c>
      <c r="AG272" t="s">
        <v>2588</v>
      </c>
    </row>
    <row r="273" spans="1:33">
      <c r="A273" s="2" t="s">
        <v>139</v>
      </c>
      <c r="B273" s="2" t="s">
        <v>13</v>
      </c>
      <c r="C273" s="1">
        <v>0.52583481399999998</v>
      </c>
      <c r="D273">
        <v>0.65097824800000004</v>
      </c>
      <c r="E273">
        <v>0.65942698399999999</v>
      </c>
      <c r="F273" s="1" t="s">
        <v>140</v>
      </c>
      <c r="G273" s="1">
        <v>1.123169681</v>
      </c>
      <c r="H273" s="1">
        <v>56.5</v>
      </c>
      <c r="I273" s="1">
        <v>116.1</v>
      </c>
      <c r="J273" s="1">
        <v>0.61208001533333334</v>
      </c>
      <c r="K273" s="1">
        <v>0.48695497399999998</v>
      </c>
      <c r="L273" s="1">
        <v>0.54991327199999995</v>
      </c>
      <c r="M273" s="3">
        <v>0.67282609299999996</v>
      </c>
      <c r="N273" s="1" t="s">
        <v>14</v>
      </c>
      <c r="O273" s="1">
        <v>1.6052009460000001</v>
      </c>
      <c r="P273" s="1">
        <v>26.6</v>
      </c>
      <c r="Q273" s="1">
        <v>42.3</v>
      </c>
      <c r="R273" s="1">
        <v>0.56989811299999993</v>
      </c>
      <c r="S273" s="1">
        <v>0.10911144511140924</v>
      </c>
      <c r="T273" t="s">
        <v>420</v>
      </c>
      <c r="U273" s="1">
        <v>533</v>
      </c>
      <c r="V273">
        <f t="shared" si="16"/>
        <v>0.30296968989184137</v>
      </c>
      <c r="W273" s="1">
        <f t="shared" si="17"/>
        <v>29.9</v>
      </c>
      <c r="X273">
        <f t="shared" si="18"/>
        <v>0.48203126500000004</v>
      </c>
      <c r="Y273">
        <f t="shared" si="19"/>
        <v>73.8</v>
      </c>
      <c r="Z273" s="1">
        <v>1</v>
      </c>
      <c r="AA273">
        <v>99</v>
      </c>
      <c r="AB273">
        <v>1.01E-2</v>
      </c>
      <c r="AC273">
        <v>2</v>
      </c>
      <c r="AD273">
        <v>117</v>
      </c>
      <c r="AE273">
        <v>1.7100000000000001E-2</v>
      </c>
      <c r="AF273" t="s">
        <v>2589</v>
      </c>
      <c r="AG273" t="s">
        <v>2590</v>
      </c>
    </row>
    <row r="274" spans="1:33">
      <c r="A274" s="2" t="s">
        <v>139</v>
      </c>
      <c r="B274" s="2" t="s">
        <v>15</v>
      </c>
      <c r="C274" s="1">
        <v>0.52583481399999998</v>
      </c>
      <c r="D274">
        <v>0.65097824800000004</v>
      </c>
      <c r="E274">
        <v>0.65942698399999999</v>
      </c>
      <c r="F274" s="1" t="s">
        <v>140</v>
      </c>
      <c r="G274" s="1">
        <v>1.123169681</v>
      </c>
      <c r="H274" s="1">
        <v>56.5</v>
      </c>
      <c r="I274" s="1">
        <v>116.1</v>
      </c>
      <c r="J274" s="1">
        <v>0.61208001533333334</v>
      </c>
      <c r="K274" s="1">
        <v>0.54560998800000005</v>
      </c>
      <c r="L274" s="1">
        <v>0.66721428400000005</v>
      </c>
      <c r="M274" s="3">
        <v>0.72650398400000005</v>
      </c>
      <c r="N274" s="1" t="s">
        <v>16</v>
      </c>
      <c r="O274" s="1">
        <v>5.1392405060000002</v>
      </c>
      <c r="P274" s="1">
        <v>35.9</v>
      </c>
      <c r="Q274" s="1">
        <v>15.8</v>
      </c>
      <c r="R274" s="1">
        <v>0.64644275200000012</v>
      </c>
      <c r="S274" s="1">
        <v>7.1791296831326165E-2</v>
      </c>
      <c r="T274" t="s">
        <v>421</v>
      </c>
      <c r="U274" s="1">
        <v>1568</v>
      </c>
      <c r="V274">
        <f t="shared" si="16"/>
        <v>0.35503845092760217</v>
      </c>
      <c r="W274" s="1">
        <f t="shared" si="17"/>
        <v>20.6</v>
      </c>
      <c r="X274">
        <f t="shared" si="18"/>
        <v>4.0160708249999999</v>
      </c>
      <c r="Y274">
        <f t="shared" si="19"/>
        <v>100.3</v>
      </c>
      <c r="Z274" s="1">
        <v>2</v>
      </c>
      <c r="AA274">
        <v>98</v>
      </c>
      <c r="AB274">
        <v>2.0400000000000001E-2</v>
      </c>
      <c r="AC274">
        <v>2</v>
      </c>
      <c r="AD274">
        <v>113</v>
      </c>
      <c r="AE274">
        <v>1.77E-2</v>
      </c>
      <c r="AF274" t="s">
        <v>2589</v>
      </c>
      <c r="AG274" t="s">
        <v>2591</v>
      </c>
    </row>
    <row r="275" spans="1:33">
      <c r="A275" s="2" t="s">
        <v>139</v>
      </c>
      <c r="B275" s="2" t="s">
        <v>17</v>
      </c>
      <c r="C275" s="1">
        <v>0.52583481399999998</v>
      </c>
      <c r="D275">
        <v>0.65097824800000004</v>
      </c>
      <c r="E275">
        <v>0.65942698399999999</v>
      </c>
      <c r="F275" s="1" t="s">
        <v>140</v>
      </c>
      <c r="G275" s="1">
        <v>1.123169681</v>
      </c>
      <c r="H275" s="1">
        <v>56.5</v>
      </c>
      <c r="I275" s="1">
        <v>116.1</v>
      </c>
      <c r="J275" s="1">
        <v>0.61208001533333334</v>
      </c>
      <c r="K275" s="1">
        <v>0.659112378</v>
      </c>
      <c r="L275" s="1">
        <v>0.68333493499999998</v>
      </c>
      <c r="M275" s="3">
        <v>0.70345495199999997</v>
      </c>
      <c r="N275" s="1" t="s">
        <v>18</v>
      </c>
      <c r="O275" s="1">
        <v>1.9463955639999999</v>
      </c>
      <c r="P275" s="1">
        <v>46.3</v>
      </c>
      <c r="Q275" s="1">
        <v>54.1</v>
      </c>
      <c r="R275" s="1">
        <v>0.68196742166666668</v>
      </c>
      <c r="S275" s="1">
        <v>0.14404279303595541</v>
      </c>
      <c r="T275" t="s">
        <v>422</v>
      </c>
      <c r="U275" s="1">
        <v>1860</v>
      </c>
      <c r="V275">
        <f t="shared" si="16"/>
        <v>0.36327921602421293</v>
      </c>
      <c r="W275" s="1">
        <f t="shared" si="17"/>
        <v>10.200000000000003</v>
      </c>
      <c r="X275">
        <f t="shared" si="18"/>
        <v>0.82322588299999988</v>
      </c>
      <c r="Y275">
        <f t="shared" si="19"/>
        <v>61.999999999999993</v>
      </c>
      <c r="Z275" s="1">
        <v>2</v>
      </c>
      <c r="AA275">
        <v>98</v>
      </c>
      <c r="AB275">
        <v>2.0400000000000001E-2</v>
      </c>
      <c r="AC275">
        <v>2</v>
      </c>
      <c r="AD275">
        <v>127</v>
      </c>
      <c r="AE275">
        <v>1.5699999999999999E-2</v>
      </c>
      <c r="AF275" t="s">
        <v>2589</v>
      </c>
      <c r="AG275" t="s">
        <v>2591</v>
      </c>
    </row>
    <row r="276" spans="1:33">
      <c r="A276" s="2" t="s">
        <v>139</v>
      </c>
      <c r="B276" s="2" t="s">
        <v>19</v>
      </c>
      <c r="C276" s="1">
        <v>0.52583481399999998</v>
      </c>
      <c r="D276">
        <v>0.65097824800000004</v>
      </c>
      <c r="E276">
        <v>0.65942698399999999</v>
      </c>
      <c r="F276" s="1" t="s">
        <v>140</v>
      </c>
      <c r="G276" s="1">
        <v>1.123169681</v>
      </c>
      <c r="H276" s="1">
        <v>56.5</v>
      </c>
      <c r="I276" s="1">
        <v>116.1</v>
      </c>
      <c r="J276" s="1">
        <v>0.61208001533333334</v>
      </c>
      <c r="K276" s="1">
        <v>0.49391595300000002</v>
      </c>
      <c r="L276" s="1">
        <v>0.603599314</v>
      </c>
      <c r="M276" s="3">
        <v>0.63481471599999995</v>
      </c>
      <c r="N276" s="1" t="s">
        <v>20</v>
      </c>
      <c r="O276" s="1">
        <v>1.2140902870000001</v>
      </c>
      <c r="P276" s="1">
        <v>64.900000000000006</v>
      </c>
      <c r="Q276" s="1">
        <v>146.19999999999999</v>
      </c>
      <c r="R276" s="1">
        <v>0.57744332766666662</v>
      </c>
      <c r="S276" s="1">
        <v>6.2204025678548366E-2</v>
      </c>
      <c r="T276" t="s">
        <v>423</v>
      </c>
      <c r="U276" s="1">
        <v>3034</v>
      </c>
      <c r="V276">
        <f t="shared" si="16"/>
        <v>0.38689061960563464</v>
      </c>
      <c r="W276" s="1">
        <f t="shared" si="17"/>
        <v>8.4000000000000057</v>
      </c>
      <c r="X276">
        <f t="shared" si="18"/>
        <v>9.092060600000007E-2</v>
      </c>
      <c r="Y276">
        <f t="shared" si="19"/>
        <v>30.099999999999994</v>
      </c>
      <c r="Z276" s="1">
        <v>13</v>
      </c>
      <c r="AA276">
        <v>87</v>
      </c>
      <c r="AB276">
        <v>0.14940000000000001</v>
      </c>
      <c r="AC276">
        <v>14</v>
      </c>
      <c r="AD276">
        <v>95</v>
      </c>
      <c r="AE276">
        <v>0.1474</v>
      </c>
      <c r="AF276" t="s">
        <v>2589</v>
      </c>
      <c r="AG276" t="s">
        <v>2593</v>
      </c>
    </row>
    <row r="277" spans="1:33">
      <c r="A277" s="2" t="s">
        <v>139</v>
      </c>
      <c r="B277" s="2" t="s">
        <v>21</v>
      </c>
      <c r="C277" s="1">
        <v>0.52583481399999998</v>
      </c>
      <c r="D277">
        <v>0.65097824800000004</v>
      </c>
      <c r="E277">
        <v>0.65942698399999999</v>
      </c>
      <c r="F277" s="1" t="s">
        <v>140</v>
      </c>
      <c r="G277" s="1">
        <v>1.123169681</v>
      </c>
      <c r="H277" s="1">
        <v>56.5</v>
      </c>
      <c r="I277" s="1">
        <v>116.1</v>
      </c>
      <c r="J277" s="1">
        <v>0.61208001533333334</v>
      </c>
      <c r="K277" s="1">
        <v>0.53276376800000003</v>
      </c>
      <c r="L277" s="1">
        <v>0.65428149899999999</v>
      </c>
      <c r="M277" s="3">
        <v>0.70160154799999996</v>
      </c>
      <c r="N277" s="1" t="s">
        <v>22</v>
      </c>
      <c r="O277" s="1">
        <v>1.2440604749999999</v>
      </c>
      <c r="P277" s="1">
        <v>24.6</v>
      </c>
      <c r="Q277" s="1">
        <v>46.3</v>
      </c>
      <c r="R277" s="1">
        <v>0.62954893833333336</v>
      </c>
      <c r="S277" s="1">
        <v>4.2867420254701714E-2</v>
      </c>
      <c r="T277" t="s">
        <v>424</v>
      </c>
      <c r="U277" s="1">
        <v>15497</v>
      </c>
      <c r="V277">
        <f t="shared" si="16"/>
        <v>0.4655830703375774</v>
      </c>
      <c r="W277" s="1">
        <f t="shared" si="17"/>
        <v>31.9</v>
      </c>
      <c r="X277">
        <f t="shared" si="18"/>
        <v>0.12089079399999991</v>
      </c>
      <c r="Y277">
        <f t="shared" si="19"/>
        <v>69.8</v>
      </c>
      <c r="Z277" s="1">
        <v>3</v>
      </c>
      <c r="AA277">
        <v>97</v>
      </c>
      <c r="AB277">
        <v>3.09E-2</v>
      </c>
      <c r="AC277">
        <v>3</v>
      </c>
      <c r="AD277">
        <v>112</v>
      </c>
      <c r="AE277">
        <v>2.6800000000000001E-2</v>
      </c>
      <c r="AF277" t="s">
        <v>2589</v>
      </c>
      <c r="AG277" t="s">
        <v>2589</v>
      </c>
    </row>
    <row r="278" spans="1:33">
      <c r="A278" s="2" t="s">
        <v>139</v>
      </c>
      <c r="B278" s="2" t="s">
        <v>23</v>
      </c>
      <c r="C278" s="1">
        <v>0.52583481399999998</v>
      </c>
      <c r="D278">
        <v>0.65097824800000004</v>
      </c>
      <c r="E278">
        <v>0.65942698399999999</v>
      </c>
      <c r="F278" s="1" t="s">
        <v>140</v>
      </c>
      <c r="G278" s="1">
        <v>1.123169681</v>
      </c>
      <c r="H278" s="1">
        <v>56.5</v>
      </c>
      <c r="I278" s="1">
        <v>116.1</v>
      </c>
      <c r="J278" s="1">
        <v>0.61208001533333334</v>
      </c>
      <c r="K278" s="1">
        <v>0.49415677200000002</v>
      </c>
      <c r="L278" s="1">
        <v>0.62090818999999997</v>
      </c>
      <c r="M278" s="3">
        <v>0.63381026900000004</v>
      </c>
      <c r="N278" s="1" t="s">
        <v>24</v>
      </c>
      <c r="O278" s="1">
        <v>1.141304348</v>
      </c>
      <c r="P278" s="1">
        <v>44.4</v>
      </c>
      <c r="Q278" s="1">
        <v>101.2</v>
      </c>
      <c r="R278" s="1">
        <v>0.58295841033333329</v>
      </c>
      <c r="S278" s="1">
        <v>5.0635193496898503E-2</v>
      </c>
      <c r="T278" t="s">
        <v>425</v>
      </c>
      <c r="U278" s="1">
        <v>1154</v>
      </c>
      <c r="V278">
        <f t="shared" si="16"/>
        <v>0.34024508986885693</v>
      </c>
      <c r="W278" s="1">
        <f t="shared" si="17"/>
        <v>12.100000000000001</v>
      </c>
      <c r="X278">
        <f t="shared" si="18"/>
        <v>1.8134666999999993E-2</v>
      </c>
      <c r="Y278">
        <f t="shared" si="19"/>
        <v>14.899999999999991</v>
      </c>
      <c r="Z278" s="1">
        <v>3</v>
      </c>
      <c r="AA278">
        <v>97</v>
      </c>
      <c r="AB278">
        <v>3.09E-2</v>
      </c>
      <c r="AC278">
        <v>5</v>
      </c>
      <c r="AD278">
        <v>106</v>
      </c>
      <c r="AE278">
        <v>4.7199999999999999E-2</v>
      </c>
      <c r="AF278" t="s">
        <v>2589</v>
      </c>
      <c r="AG278" t="s">
        <v>2590</v>
      </c>
    </row>
    <row r="279" spans="1:33">
      <c r="A279" s="2" t="s">
        <v>139</v>
      </c>
      <c r="B279" s="2" t="s">
        <v>25</v>
      </c>
      <c r="C279" s="1">
        <v>0.52583481399999998</v>
      </c>
      <c r="D279">
        <v>0.65097824800000004</v>
      </c>
      <c r="E279">
        <v>0.65942698399999999</v>
      </c>
      <c r="F279" s="1" t="s">
        <v>140</v>
      </c>
      <c r="G279" s="1">
        <v>1.123169681</v>
      </c>
      <c r="H279" s="1">
        <v>56.5</v>
      </c>
      <c r="I279" s="1">
        <v>116.1</v>
      </c>
      <c r="J279" s="1">
        <v>0.61208001533333334</v>
      </c>
      <c r="K279" s="1">
        <v>0.53959274199999996</v>
      </c>
      <c r="L279" s="1">
        <v>0.64971567399999997</v>
      </c>
      <c r="M279" s="3">
        <v>0.65028459999999999</v>
      </c>
      <c r="N279" s="1" t="s">
        <v>26</v>
      </c>
      <c r="O279" s="1">
        <v>1.623046875</v>
      </c>
      <c r="P279" s="1">
        <v>34.700000000000003</v>
      </c>
      <c r="Q279" s="1">
        <v>51.2</v>
      </c>
      <c r="R279" s="1">
        <v>0.61319767199999997</v>
      </c>
      <c r="S279" s="1">
        <v>1.6566769786597373E-2</v>
      </c>
      <c r="T279" t="s">
        <v>426</v>
      </c>
      <c r="U279" s="1">
        <v>10642</v>
      </c>
      <c r="V279">
        <f t="shared" si="16"/>
        <v>0.44744702828763372</v>
      </c>
      <c r="W279" s="1">
        <f t="shared" si="17"/>
        <v>21.799999999999997</v>
      </c>
      <c r="X279">
        <f t="shared" si="18"/>
        <v>0.49987719399999997</v>
      </c>
      <c r="Y279">
        <f t="shared" si="19"/>
        <v>64.899999999999991</v>
      </c>
      <c r="Z279" s="1">
        <v>0</v>
      </c>
      <c r="AA279">
        <v>100</v>
      </c>
      <c r="AB279">
        <v>0</v>
      </c>
      <c r="AC279">
        <v>0</v>
      </c>
      <c r="AD279">
        <v>113</v>
      </c>
      <c r="AE279">
        <v>0</v>
      </c>
      <c r="AF279" t="s">
        <v>2589</v>
      </c>
      <c r="AG279" t="s">
        <v>2594</v>
      </c>
    </row>
    <row r="280" spans="1:33">
      <c r="A280" s="2" t="s">
        <v>139</v>
      </c>
      <c r="B280" s="2" t="s">
        <v>27</v>
      </c>
      <c r="C280" s="1">
        <v>0.52583481399999998</v>
      </c>
      <c r="D280">
        <v>0.65097824800000004</v>
      </c>
      <c r="E280">
        <v>0.65942698399999999</v>
      </c>
      <c r="F280" s="1" t="s">
        <v>140</v>
      </c>
      <c r="G280" s="1">
        <v>1.123169681</v>
      </c>
      <c r="H280" s="1">
        <v>56.5</v>
      </c>
      <c r="I280" s="1">
        <v>116.1</v>
      </c>
      <c r="J280" s="1">
        <v>0.61208001533333334</v>
      </c>
      <c r="K280" s="1">
        <v>0.518608662</v>
      </c>
      <c r="L280" s="1">
        <v>0.64320369700000002</v>
      </c>
      <c r="M280" s="3">
        <v>0.62228994199999998</v>
      </c>
      <c r="N280" s="1" t="s">
        <v>28</v>
      </c>
      <c r="O280" s="1">
        <v>1.8717391299999999</v>
      </c>
      <c r="P280" s="1">
        <v>33.700000000000003</v>
      </c>
      <c r="Q280" s="1">
        <v>46</v>
      </c>
      <c r="R280" s="1">
        <v>0.59470076699999996</v>
      </c>
      <c r="S280" s="1">
        <v>3.8624096164033013E-2</v>
      </c>
      <c r="T280" t="s">
        <v>427</v>
      </c>
      <c r="U280" s="1">
        <v>1696</v>
      </c>
      <c r="V280">
        <f t="shared" si="16"/>
        <v>0.35882509421341058</v>
      </c>
      <c r="W280" s="1">
        <f t="shared" si="17"/>
        <v>22.799999999999997</v>
      </c>
      <c r="X280">
        <f t="shared" si="18"/>
        <v>0.74856944899999989</v>
      </c>
      <c r="Y280">
        <f t="shared" si="19"/>
        <v>70.099999999999994</v>
      </c>
      <c r="Z280" s="1">
        <v>2</v>
      </c>
      <c r="AA280">
        <v>98</v>
      </c>
      <c r="AB280">
        <v>2.0400000000000001E-2</v>
      </c>
      <c r="AC280">
        <v>3</v>
      </c>
      <c r="AD280">
        <v>117</v>
      </c>
      <c r="AE280">
        <v>2.5600000000000001E-2</v>
      </c>
      <c r="AF280" t="s">
        <v>2589</v>
      </c>
      <c r="AG280" t="s">
        <v>2590</v>
      </c>
    </row>
    <row r="281" spans="1:33">
      <c r="A281" s="2" t="s">
        <v>139</v>
      </c>
      <c r="B281" s="2" t="s">
        <v>29</v>
      </c>
      <c r="C281" s="1">
        <v>0.52583481399999998</v>
      </c>
      <c r="D281">
        <v>0.65097824800000004</v>
      </c>
      <c r="E281">
        <v>0.65942698399999999</v>
      </c>
      <c r="F281" s="1" t="s">
        <v>140</v>
      </c>
      <c r="G281" s="1">
        <v>1.123169681</v>
      </c>
      <c r="H281" s="1">
        <v>56.5</v>
      </c>
      <c r="I281" s="1">
        <v>116.1</v>
      </c>
      <c r="J281" s="1">
        <v>0.61208001533333334</v>
      </c>
      <c r="K281" s="1">
        <v>0.59351545100000003</v>
      </c>
      <c r="L281" s="1">
        <v>0.68136602400000001</v>
      </c>
      <c r="M281" s="3">
        <v>0.73518087600000004</v>
      </c>
      <c r="N281" s="1" t="s">
        <v>30</v>
      </c>
      <c r="O281" s="1">
        <v>2.849112426</v>
      </c>
      <c r="P281" s="1">
        <v>37.9</v>
      </c>
      <c r="Q281" s="1">
        <v>33.799999999999997</v>
      </c>
      <c r="R281" s="1">
        <v>0.67002078366666673</v>
      </c>
      <c r="S281" s="1">
        <v>0.10603177687891314</v>
      </c>
      <c r="T281" t="s">
        <v>428</v>
      </c>
      <c r="U281" s="1">
        <v>2573</v>
      </c>
      <c r="V281">
        <f t="shared" si="16"/>
        <v>0.37893775402337182</v>
      </c>
      <c r="W281" s="1">
        <f t="shared" si="17"/>
        <v>18.600000000000001</v>
      </c>
      <c r="X281">
        <f t="shared" si="18"/>
        <v>1.725942745</v>
      </c>
      <c r="Y281">
        <f t="shared" si="19"/>
        <v>82.3</v>
      </c>
      <c r="Z281" s="1">
        <v>2</v>
      </c>
      <c r="AA281">
        <v>98</v>
      </c>
      <c r="AB281">
        <v>2.0400000000000001E-2</v>
      </c>
      <c r="AC281">
        <v>2</v>
      </c>
      <c r="AD281">
        <v>107</v>
      </c>
      <c r="AE281">
        <v>1.8700000000000001E-2</v>
      </c>
      <c r="AF281" t="s">
        <v>2589</v>
      </c>
      <c r="AG281" t="s">
        <v>2593</v>
      </c>
    </row>
    <row r="282" spans="1:33">
      <c r="A282" s="2" t="s">
        <v>139</v>
      </c>
      <c r="B282" s="2" t="s">
        <v>31</v>
      </c>
      <c r="C282" s="1">
        <v>0.52583481399999998</v>
      </c>
      <c r="D282">
        <v>0.65097824800000004</v>
      </c>
      <c r="E282">
        <v>0.65942698399999999</v>
      </c>
      <c r="F282" s="1" t="s">
        <v>140</v>
      </c>
      <c r="G282" s="1">
        <v>1.123169681</v>
      </c>
      <c r="H282" s="1">
        <v>56.5</v>
      </c>
      <c r="I282" s="1">
        <v>116.1</v>
      </c>
      <c r="J282" s="1">
        <v>0.61208001533333334</v>
      </c>
      <c r="K282" s="1">
        <v>0.47727961800000002</v>
      </c>
      <c r="L282" s="1">
        <v>0.66941086400000005</v>
      </c>
      <c r="M282" s="3">
        <v>0.69294815300000001</v>
      </c>
      <c r="N282" s="1" t="s">
        <v>32</v>
      </c>
      <c r="O282" s="1">
        <v>1.341891892</v>
      </c>
      <c r="P282" s="1">
        <v>42.1</v>
      </c>
      <c r="Q282" s="1">
        <v>74</v>
      </c>
      <c r="R282" s="1">
        <v>0.61321287833333338</v>
      </c>
      <c r="S282" s="1">
        <v>6.181453843820587E-2</v>
      </c>
      <c r="T282" t="s">
        <v>429</v>
      </c>
      <c r="U282" s="1">
        <v>8320</v>
      </c>
      <c r="V282">
        <f t="shared" si="16"/>
        <v>0.4355692584767471</v>
      </c>
      <c r="W282" s="1">
        <f t="shared" si="17"/>
        <v>14.399999999999999</v>
      </c>
      <c r="X282">
        <f t="shared" si="18"/>
        <v>0.218722211</v>
      </c>
      <c r="Y282">
        <f t="shared" si="19"/>
        <v>42.099999999999994</v>
      </c>
      <c r="Z282" s="1">
        <v>11</v>
      </c>
      <c r="AA282">
        <v>89</v>
      </c>
      <c r="AB282">
        <v>0.1236</v>
      </c>
      <c r="AC282">
        <v>12</v>
      </c>
      <c r="AD282">
        <v>105</v>
      </c>
      <c r="AE282">
        <v>0.1143</v>
      </c>
      <c r="AF282" t="s">
        <v>2589</v>
      </c>
      <c r="AG282" t="s">
        <v>2589</v>
      </c>
    </row>
    <row r="283" spans="1:33">
      <c r="A283" s="2" t="s">
        <v>139</v>
      </c>
      <c r="B283" s="2" t="s">
        <v>33</v>
      </c>
      <c r="C283" s="1">
        <v>0.52583481399999998</v>
      </c>
      <c r="D283">
        <v>0.65097824800000004</v>
      </c>
      <c r="E283">
        <v>0.65942698399999999</v>
      </c>
      <c r="F283" s="1" t="s">
        <v>140</v>
      </c>
      <c r="G283" s="1">
        <v>1.123169681</v>
      </c>
      <c r="H283" s="1">
        <v>56.5</v>
      </c>
      <c r="I283" s="1">
        <v>116.1</v>
      </c>
      <c r="J283" s="1">
        <v>0.61208001533333334</v>
      </c>
      <c r="K283" s="1">
        <v>0.51347926600000005</v>
      </c>
      <c r="L283" s="1">
        <v>0.63144379399999995</v>
      </c>
      <c r="M283" s="3">
        <v>0.64189093500000005</v>
      </c>
      <c r="N283" s="1" t="s">
        <v>34</v>
      </c>
      <c r="O283" s="1">
        <v>2.3123667380000001</v>
      </c>
      <c r="P283" s="1">
        <v>79.099999999999994</v>
      </c>
      <c r="Q283" s="1">
        <v>93.8</v>
      </c>
      <c r="R283" s="1">
        <v>0.59560466500000009</v>
      </c>
      <c r="S283" s="1">
        <v>2.901322929266615E-2</v>
      </c>
      <c r="T283" t="s">
        <v>430</v>
      </c>
      <c r="U283" s="1">
        <v>3620</v>
      </c>
      <c r="V283">
        <f t="shared" si="16"/>
        <v>0.39541206339257395</v>
      </c>
      <c r="W283" s="1">
        <f t="shared" si="17"/>
        <v>22.599999999999994</v>
      </c>
      <c r="X283">
        <f t="shared" si="18"/>
        <v>1.1891970570000001</v>
      </c>
      <c r="Y283">
        <f t="shared" si="19"/>
        <v>22.299999999999997</v>
      </c>
      <c r="Z283" s="1">
        <v>9</v>
      </c>
      <c r="AA283">
        <v>91</v>
      </c>
      <c r="AB283">
        <v>9.8900000000000002E-2</v>
      </c>
      <c r="AC283">
        <v>10</v>
      </c>
      <c r="AD283">
        <v>101</v>
      </c>
      <c r="AE283">
        <v>9.9000000000000005E-2</v>
      </c>
      <c r="AF283" t="s">
        <v>2589</v>
      </c>
      <c r="AG283" t="s">
        <v>2590</v>
      </c>
    </row>
    <row r="284" spans="1:33">
      <c r="A284" s="2" t="s">
        <v>139</v>
      </c>
      <c r="B284" s="2" t="s">
        <v>35</v>
      </c>
      <c r="C284" s="1">
        <v>0.52583481399999998</v>
      </c>
      <c r="D284">
        <v>0.65097824800000004</v>
      </c>
      <c r="E284">
        <v>0.65942698399999999</v>
      </c>
      <c r="F284" s="1" t="s">
        <v>140</v>
      </c>
      <c r="G284" s="1">
        <v>1.123169681</v>
      </c>
      <c r="H284" s="1">
        <v>56.5</v>
      </c>
      <c r="I284" s="1">
        <v>116.1</v>
      </c>
      <c r="J284" s="1">
        <v>0.61208001533333334</v>
      </c>
      <c r="K284" s="1">
        <v>0.52542897600000005</v>
      </c>
      <c r="L284" s="1">
        <v>0.60774736299999998</v>
      </c>
      <c r="M284" s="3">
        <v>0.62585751700000003</v>
      </c>
      <c r="N284" s="1" t="s">
        <v>36</v>
      </c>
      <c r="O284" s="1">
        <v>0.98848810399999998</v>
      </c>
      <c r="P284" s="1">
        <v>54.2</v>
      </c>
      <c r="Q284" s="1">
        <v>130.30000000000001</v>
      </c>
      <c r="R284" s="1">
        <v>0.58634461866666665</v>
      </c>
      <c r="S284" s="1">
        <v>5.4735575606999508E-2</v>
      </c>
      <c r="T284" t="s">
        <v>431</v>
      </c>
      <c r="U284" s="1">
        <v>13891</v>
      </c>
      <c r="V284">
        <f t="shared" si="16"/>
        <v>0.46030372347927995</v>
      </c>
      <c r="W284" s="1">
        <f t="shared" si="17"/>
        <v>2.2999999999999972</v>
      </c>
      <c r="X284">
        <f t="shared" si="18"/>
        <v>0.13468157700000005</v>
      </c>
      <c r="Y284">
        <f t="shared" si="19"/>
        <v>14.200000000000017</v>
      </c>
      <c r="Z284" s="1">
        <v>12</v>
      </c>
      <c r="AA284">
        <v>88</v>
      </c>
      <c r="AB284">
        <v>0.13639999999999999</v>
      </c>
      <c r="AC284">
        <v>13</v>
      </c>
      <c r="AD284">
        <v>97</v>
      </c>
      <c r="AE284">
        <v>0.13400000000000001</v>
      </c>
      <c r="AF284" t="s">
        <v>2589</v>
      </c>
      <c r="AG284" t="s">
        <v>2589</v>
      </c>
    </row>
    <row r="285" spans="1:33">
      <c r="A285" s="2" t="s">
        <v>139</v>
      </c>
      <c r="B285" s="2" t="s">
        <v>37</v>
      </c>
      <c r="C285" s="1">
        <v>0.52583481399999998</v>
      </c>
      <c r="D285">
        <v>0.65097824800000004</v>
      </c>
      <c r="E285">
        <v>0.65942698399999999</v>
      </c>
      <c r="F285" s="1" t="s">
        <v>140</v>
      </c>
      <c r="G285" s="1">
        <v>1.123169681</v>
      </c>
      <c r="H285" s="1">
        <v>56.5</v>
      </c>
      <c r="I285" s="1">
        <v>116.1</v>
      </c>
      <c r="J285" s="1">
        <v>0.61208001533333334</v>
      </c>
      <c r="K285" s="1">
        <v>0.50856695500000004</v>
      </c>
      <c r="L285" s="1">
        <v>0.654733224</v>
      </c>
      <c r="M285" s="3">
        <v>0.61418267199999999</v>
      </c>
      <c r="N285" s="1" t="s">
        <v>38</v>
      </c>
      <c r="O285" s="1">
        <v>0.64065708399999999</v>
      </c>
      <c r="P285" s="1">
        <v>41.9</v>
      </c>
      <c r="Q285" s="1">
        <v>146.1</v>
      </c>
      <c r="R285" s="1">
        <v>0.59249428366666679</v>
      </c>
      <c r="S285" s="1">
        <v>4.8572899517712542E-2</v>
      </c>
      <c r="T285" t="s">
        <v>432</v>
      </c>
      <c r="U285" s="1">
        <v>2859</v>
      </c>
      <c r="V285">
        <f t="shared" si="16"/>
        <v>0.38402379503977652</v>
      </c>
      <c r="W285" s="1">
        <f t="shared" si="17"/>
        <v>14.600000000000001</v>
      </c>
      <c r="X285">
        <f t="shared" si="18"/>
        <v>0.48251259700000004</v>
      </c>
      <c r="Y285">
        <f t="shared" si="19"/>
        <v>30</v>
      </c>
      <c r="Z285" s="1">
        <v>6</v>
      </c>
      <c r="AA285">
        <v>94</v>
      </c>
      <c r="AB285">
        <v>6.3799999999999996E-2</v>
      </c>
      <c r="AC285">
        <v>7</v>
      </c>
      <c r="AD285">
        <v>102</v>
      </c>
      <c r="AE285">
        <v>6.8599999999999994E-2</v>
      </c>
      <c r="AF285" t="s">
        <v>2589</v>
      </c>
      <c r="AG285" t="s">
        <v>2590</v>
      </c>
    </row>
    <row r="286" spans="1:33">
      <c r="A286" s="2" t="s">
        <v>139</v>
      </c>
      <c r="B286" s="2" t="s">
        <v>39</v>
      </c>
      <c r="C286" s="1">
        <v>0.52583481399999998</v>
      </c>
      <c r="D286">
        <v>0.65097824800000004</v>
      </c>
      <c r="E286">
        <v>0.65942698399999999</v>
      </c>
      <c r="F286" s="1" t="s">
        <v>140</v>
      </c>
      <c r="G286" s="1">
        <v>1.123169681</v>
      </c>
      <c r="H286" s="1">
        <v>56.5</v>
      </c>
      <c r="I286" s="1">
        <v>116.1</v>
      </c>
      <c r="J286" s="1">
        <v>0.61208001533333334</v>
      </c>
      <c r="K286" s="1">
        <v>0.60811616199999996</v>
      </c>
      <c r="L286" s="1">
        <v>0.721105683</v>
      </c>
      <c r="M286" s="3">
        <v>0.741016169</v>
      </c>
      <c r="N286" s="1" t="s">
        <v>40</v>
      </c>
      <c r="O286" s="1">
        <v>1.0601915180000001</v>
      </c>
      <c r="P286" s="1">
        <v>34</v>
      </c>
      <c r="Q286" s="1">
        <v>73.099999999999994</v>
      </c>
      <c r="R286" s="1">
        <v>0.69007933799999999</v>
      </c>
      <c r="S286" s="1">
        <v>0.13544324448764711</v>
      </c>
      <c r="T286" t="s">
        <v>433</v>
      </c>
      <c r="U286" s="1">
        <v>59697</v>
      </c>
      <c r="V286">
        <f t="shared" si="16"/>
        <v>0.5306613896375223</v>
      </c>
      <c r="W286" s="1">
        <f t="shared" si="17"/>
        <v>22.5</v>
      </c>
      <c r="X286">
        <f t="shared" si="18"/>
        <v>6.297816299999992E-2</v>
      </c>
      <c r="Y286">
        <f t="shared" si="19"/>
        <v>43</v>
      </c>
      <c r="Z286" s="1">
        <v>3</v>
      </c>
      <c r="AA286">
        <v>97</v>
      </c>
      <c r="AB286">
        <v>3.09E-2</v>
      </c>
      <c r="AC286">
        <v>5</v>
      </c>
      <c r="AD286">
        <v>107</v>
      </c>
      <c r="AE286">
        <v>4.6699999999999998E-2</v>
      </c>
      <c r="AF286" t="s">
        <v>2589</v>
      </c>
      <c r="AG286" t="s">
        <v>2589</v>
      </c>
    </row>
    <row r="287" spans="1:33">
      <c r="A287" s="2" t="s">
        <v>139</v>
      </c>
      <c r="B287" s="2" t="s">
        <v>41</v>
      </c>
      <c r="C287" s="1">
        <v>0.52583481399999998</v>
      </c>
      <c r="D287">
        <v>0.65097824800000004</v>
      </c>
      <c r="E287">
        <v>0.65942698399999999</v>
      </c>
      <c r="F287" s="1" t="s">
        <v>140</v>
      </c>
      <c r="G287" s="1">
        <v>1.123169681</v>
      </c>
      <c r="H287" s="1">
        <v>56.5</v>
      </c>
      <c r="I287" s="1">
        <v>116.1</v>
      </c>
      <c r="J287" s="1">
        <v>0.61208001533333334</v>
      </c>
      <c r="K287" s="1">
        <v>0.60402244999999999</v>
      </c>
      <c r="L287" s="1">
        <v>0.669189213</v>
      </c>
      <c r="M287" s="3">
        <v>0.69821693799999995</v>
      </c>
      <c r="N287" s="1" t="s">
        <v>42</v>
      </c>
      <c r="O287" s="1">
        <v>1.3243902439999999</v>
      </c>
      <c r="P287" s="1">
        <v>23</v>
      </c>
      <c r="Q287" s="1">
        <v>41</v>
      </c>
      <c r="R287" s="1">
        <v>0.65714286700000002</v>
      </c>
      <c r="S287" s="1">
        <v>8.9160564157153205E-2</v>
      </c>
      <c r="T287" t="s">
        <v>434</v>
      </c>
      <c r="U287" s="1">
        <v>2435</v>
      </c>
      <c r="V287">
        <f t="shared" si="16"/>
        <v>0.37627766283896147</v>
      </c>
      <c r="W287" s="1">
        <f t="shared" si="17"/>
        <v>33.5</v>
      </c>
      <c r="X287">
        <f t="shared" si="18"/>
        <v>0.20122056299999991</v>
      </c>
      <c r="Y287">
        <f t="shared" si="19"/>
        <v>75.099999999999994</v>
      </c>
      <c r="Z287" s="1">
        <v>2</v>
      </c>
      <c r="AA287">
        <v>98</v>
      </c>
      <c r="AB287">
        <v>2.0400000000000001E-2</v>
      </c>
      <c r="AC287">
        <v>2</v>
      </c>
      <c r="AD287">
        <v>124</v>
      </c>
      <c r="AE287">
        <v>1.61E-2</v>
      </c>
      <c r="AF287" t="s">
        <v>2589</v>
      </c>
      <c r="AG287" t="s">
        <v>2591</v>
      </c>
    </row>
    <row r="288" spans="1:33">
      <c r="A288" s="2" t="s">
        <v>139</v>
      </c>
      <c r="B288" s="2" t="s">
        <v>43</v>
      </c>
      <c r="C288" s="1">
        <v>0.52583481399999998</v>
      </c>
      <c r="D288">
        <v>0.65097824800000004</v>
      </c>
      <c r="E288">
        <v>0.65942698399999999</v>
      </c>
      <c r="F288" s="1" t="s">
        <v>140</v>
      </c>
      <c r="G288" s="1">
        <v>1.123169681</v>
      </c>
      <c r="H288" s="1">
        <v>56.5</v>
      </c>
      <c r="I288" s="1">
        <v>116.1</v>
      </c>
      <c r="J288" s="1">
        <v>0.61208001533333334</v>
      </c>
      <c r="K288" s="1">
        <v>0.54180634699999997</v>
      </c>
      <c r="L288" s="1">
        <v>0.59470779900000004</v>
      </c>
      <c r="M288" s="3">
        <v>0.69518155599999998</v>
      </c>
      <c r="N288" s="1" t="s">
        <v>44</v>
      </c>
      <c r="O288" s="1">
        <v>1.7403685090000001</v>
      </c>
      <c r="P288" s="1">
        <v>41.2</v>
      </c>
      <c r="Q288" s="1">
        <v>59.7</v>
      </c>
      <c r="R288" s="1">
        <v>0.61056523400000007</v>
      </c>
      <c r="S288" s="1">
        <v>6.8555398882472224E-2</v>
      </c>
      <c r="T288" t="s">
        <v>435</v>
      </c>
      <c r="U288" s="1">
        <v>38970</v>
      </c>
      <c r="V288">
        <f t="shared" si="16"/>
        <v>0.51008115619918781</v>
      </c>
      <c r="W288" s="1">
        <f t="shared" si="17"/>
        <v>15.299999999999997</v>
      </c>
      <c r="X288">
        <f t="shared" si="18"/>
        <v>0.61719882800000003</v>
      </c>
      <c r="Y288">
        <f t="shared" si="19"/>
        <v>56.399999999999991</v>
      </c>
      <c r="Z288" s="1">
        <v>13</v>
      </c>
      <c r="AA288">
        <v>87</v>
      </c>
      <c r="AB288">
        <v>0.14940000000000001</v>
      </c>
      <c r="AC288">
        <v>18</v>
      </c>
      <c r="AD288">
        <v>130</v>
      </c>
      <c r="AE288">
        <v>0.13850000000000001</v>
      </c>
      <c r="AF288" t="s">
        <v>2589</v>
      </c>
      <c r="AG288" t="s">
        <v>2589</v>
      </c>
    </row>
    <row r="289" spans="1:33">
      <c r="A289" s="2" t="s">
        <v>139</v>
      </c>
      <c r="B289" s="2" t="s">
        <v>45</v>
      </c>
      <c r="C289" s="1">
        <v>0.52583481399999998</v>
      </c>
      <c r="D289">
        <v>0.65097824800000004</v>
      </c>
      <c r="E289">
        <v>0.65942698399999999</v>
      </c>
      <c r="F289" s="1" t="s">
        <v>140</v>
      </c>
      <c r="G289" s="1">
        <v>1.123169681</v>
      </c>
      <c r="H289" s="1">
        <v>56.5</v>
      </c>
      <c r="I289" s="1">
        <v>116.1</v>
      </c>
      <c r="J289" s="1">
        <v>0.61208001533333334</v>
      </c>
      <c r="K289" s="1">
        <v>0.50907007599999998</v>
      </c>
      <c r="L289" s="1">
        <v>0.68428041399999995</v>
      </c>
      <c r="M289" s="3">
        <v>0.67454742099999998</v>
      </c>
      <c r="N289" s="1" t="s">
        <v>46</v>
      </c>
      <c r="O289" s="1">
        <v>0.98140043799999999</v>
      </c>
      <c r="P289" s="1">
        <v>38.9</v>
      </c>
      <c r="Q289" s="1">
        <v>91.4</v>
      </c>
      <c r="R289" s="1">
        <v>0.62263263699999993</v>
      </c>
      <c r="S289" s="1">
        <v>4.0233298591728257E-2</v>
      </c>
      <c r="T289" t="s">
        <v>436</v>
      </c>
      <c r="U289" s="1">
        <v>15248</v>
      </c>
      <c r="V289">
        <f t="shared" si="16"/>
        <v>0.46480143147713904</v>
      </c>
      <c r="W289" s="1">
        <f t="shared" si="17"/>
        <v>17.600000000000001</v>
      </c>
      <c r="X289">
        <f t="shared" si="18"/>
        <v>0.14176924300000004</v>
      </c>
      <c r="Y289">
        <f t="shared" si="19"/>
        <v>24.699999999999989</v>
      </c>
      <c r="Z289" s="1">
        <v>12</v>
      </c>
      <c r="AA289">
        <v>88</v>
      </c>
      <c r="AB289">
        <v>0.13639999999999999</v>
      </c>
      <c r="AC289">
        <v>14</v>
      </c>
      <c r="AD289">
        <v>114</v>
      </c>
      <c r="AE289">
        <v>0.12280000000000001</v>
      </c>
      <c r="AF289" t="s">
        <v>2589</v>
      </c>
      <c r="AG289" t="s">
        <v>2589</v>
      </c>
    </row>
    <row r="290" spans="1:33">
      <c r="A290" s="2" t="s">
        <v>139</v>
      </c>
      <c r="B290" s="2" t="s">
        <v>47</v>
      </c>
      <c r="C290" s="1">
        <v>0.52583481399999998</v>
      </c>
      <c r="D290">
        <v>0.65097824800000004</v>
      </c>
      <c r="E290">
        <v>0.65942698399999999</v>
      </c>
      <c r="F290" s="1" t="s">
        <v>140</v>
      </c>
      <c r="G290" s="1">
        <v>1.123169681</v>
      </c>
      <c r="H290" s="1">
        <v>56.5</v>
      </c>
      <c r="I290" s="1">
        <v>116.1</v>
      </c>
      <c r="J290" s="1">
        <v>0.61208001533333334</v>
      </c>
      <c r="K290" s="1">
        <v>0.50612154099999995</v>
      </c>
      <c r="L290" s="1">
        <v>0.55940039100000005</v>
      </c>
      <c r="M290" s="3">
        <v>0.66789001699999995</v>
      </c>
      <c r="N290" s="1" t="s">
        <v>48</v>
      </c>
      <c r="O290" s="1">
        <v>1.242622951</v>
      </c>
      <c r="P290" s="1">
        <v>17.8</v>
      </c>
      <c r="Q290" s="1">
        <v>30.5</v>
      </c>
      <c r="R290" s="1">
        <v>0.57780398300000002</v>
      </c>
      <c r="S290" s="1">
        <v>9.4057110058963986E-2</v>
      </c>
      <c r="T290" t="s">
        <v>437</v>
      </c>
      <c r="U290" s="1">
        <v>1933</v>
      </c>
      <c r="V290">
        <f t="shared" si="16"/>
        <v>0.36513687266983924</v>
      </c>
      <c r="W290" s="1">
        <f t="shared" si="17"/>
        <v>38.700000000000003</v>
      </c>
      <c r="X290">
        <f t="shared" si="18"/>
        <v>0.11945326999999994</v>
      </c>
      <c r="Y290">
        <f t="shared" si="19"/>
        <v>85.6</v>
      </c>
      <c r="Z290" s="1">
        <v>1</v>
      </c>
      <c r="AA290">
        <v>99</v>
      </c>
      <c r="AB290">
        <v>1.01E-2</v>
      </c>
      <c r="AC290">
        <v>2</v>
      </c>
      <c r="AD290">
        <v>133</v>
      </c>
      <c r="AE290">
        <v>1.4999999999999999E-2</v>
      </c>
      <c r="AF290" t="s">
        <v>2589</v>
      </c>
      <c r="AG290" t="s">
        <v>2590</v>
      </c>
    </row>
    <row r="291" spans="1:33">
      <c r="A291" s="2" t="s">
        <v>139</v>
      </c>
      <c r="B291" s="2" t="s">
        <v>49</v>
      </c>
      <c r="C291" s="1">
        <v>0.52583481399999998</v>
      </c>
      <c r="D291">
        <v>0.65097824800000004</v>
      </c>
      <c r="E291">
        <v>0.65942698399999999</v>
      </c>
      <c r="F291" s="1" t="s">
        <v>140</v>
      </c>
      <c r="G291" s="1">
        <v>1.123169681</v>
      </c>
      <c r="H291" s="1">
        <v>56.5</v>
      </c>
      <c r="I291" s="1">
        <v>116.1</v>
      </c>
      <c r="J291" s="1">
        <v>0.61208001533333334</v>
      </c>
      <c r="K291" s="1">
        <v>0.50647110500000003</v>
      </c>
      <c r="L291" s="1">
        <v>0.55713136799999996</v>
      </c>
      <c r="M291" s="3">
        <v>0.63402682300000002</v>
      </c>
      <c r="N291" s="1" t="s">
        <v>50</v>
      </c>
      <c r="O291" s="1">
        <v>1.876675603</v>
      </c>
      <c r="P291" s="1">
        <v>28.8</v>
      </c>
      <c r="Q291" s="1">
        <v>37.299999999999997</v>
      </c>
      <c r="R291" s="1">
        <v>0.56587643200000004</v>
      </c>
      <c r="S291" s="1">
        <v>9.9133033297670328E-2</v>
      </c>
      <c r="T291" t="s">
        <v>438</v>
      </c>
      <c r="U291" s="1">
        <v>1339</v>
      </c>
      <c r="V291">
        <f t="shared" si="16"/>
        <v>0.34742006411244541</v>
      </c>
      <c r="W291" s="1">
        <f t="shared" si="17"/>
        <v>27.7</v>
      </c>
      <c r="X291">
        <f t="shared" si="18"/>
        <v>0.75350592199999999</v>
      </c>
      <c r="Y291">
        <f t="shared" si="19"/>
        <v>78.8</v>
      </c>
      <c r="Z291" s="1">
        <v>3</v>
      </c>
      <c r="AA291">
        <v>97</v>
      </c>
      <c r="AB291">
        <v>3.09E-2</v>
      </c>
      <c r="AC291">
        <v>4</v>
      </c>
      <c r="AD291">
        <v>105</v>
      </c>
      <c r="AE291">
        <v>3.8100000000000002E-2</v>
      </c>
      <c r="AF291" t="s">
        <v>2589</v>
      </c>
      <c r="AG291" t="s">
        <v>2590</v>
      </c>
    </row>
    <row r="292" spans="1:33">
      <c r="A292" s="2" t="s">
        <v>139</v>
      </c>
      <c r="B292" s="2" t="s">
        <v>51</v>
      </c>
      <c r="C292" s="1">
        <v>0.52583481399999998</v>
      </c>
      <c r="D292">
        <v>0.65097824800000004</v>
      </c>
      <c r="E292">
        <v>0.65942698399999999</v>
      </c>
      <c r="F292" s="1" t="s">
        <v>140</v>
      </c>
      <c r="G292" s="1">
        <v>1.123169681</v>
      </c>
      <c r="H292" s="1">
        <v>56.5</v>
      </c>
      <c r="I292" s="1">
        <v>116.1</v>
      </c>
      <c r="J292" s="1">
        <v>0.61208001533333334</v>
      </c>
      <c r="K292" s="1">
        <v>0.60067161999999996</v>
      </c>
      <c r="L292" s="1">
        <v>0.68094129999999997</v>
      </c>
      <c r="M292" s="3">
        <v>0.73595931299999995</v>
      </c>
      <c r="N292" s="1" t="s">
        <v>52</v>
      </c>
      <c r="O292" s="1">
        <v>1.858638743</v>
      </c>
      <c r="P292" s="1">
        <v>29.4</v>
      </c>
      <c r="Q292" s="1">
        <v>38.200000000000003</v>
      </c>
      <c r="R292" s="1">
        <v>0.67252407766666666</v>
      </c>
      <c r="S292" s="1">
        <v>0.11115542901541321</v>
      </c>
      <c r="T292" t="s">
        <v>439</v>
      </c>
      <c r="U292" s="1">
        <v>1500</v>
      </c>
      <c r="V292">
        <f t="shared" si="16"/>
        <v>0.35289902878396462</v>
      </c>
      <c r="W292" s="1">
        <f t="shared" si="17"/>
        <v>27.1</v>
      </c>
      <c r="X292">
        <f t="shared" si="18"/>
        <v>0.73546906199999995</v>
      </c>
      <c r="Y292">
        <f t="shared" si="19"/>
        <v>77.899999999999991</v>
      </c>
      <c r="Z292" s="1">
        <v>5</v>
      </c>
      <c r="AA292">
        <v>95</v>
      </c>
      <c r="AB292">
        <v>5.2600000000000001E-2</v>
      </c>
      <c r="AC292">
        <v>6</v>
      </c>
      <c r="AD292">
        <v>112</v>
      </c>
      <c r="AE292">
        <v>5.3600000000000002E-2</v>
      </c>
      <c r="AF292" t="s">
        <v>2589</v>
      </c>
      <c r="AG292" t="s">
        <v>2591</v>
      </c>
    </row>
    <row r="293" spans="1:33">
      <c r="A293" s="2" t="s">
        <v>139</v>
      </c>
      <c r="B293" s="2" t="s">
        <v>53</v>
      </c>
      <c r="C293" s="1">
        <v>0.52583481399999998</v>
      </c>
      <c r="D293">
        <v>0.65097824800000004</v>
      </c>
      <c r="E293">
        <v>0.65942698399999999</v>
      </c>
      <c r="F293" s="1" t="s">
        <v>140</v>
      </c>
      <c r="G293" s="1">
        <v>1.123169681</v>
      </c>
      <c r="H293" s="1">
        <v>56.5</v>
      </c>
      <c r="I293" s="1">
        <v>116.1</v>
      </c>
      <c r="J293" s="1">
        <v>0.61208001533333334</v>
      </c>
      <c r="K293" s="1">
        <v>0.54695832700000002</v>
      </c>
      <c r="L293" s="1">
        <v>0.659790137</v>
      </c>
      <c r="M293" s="3">
        <v>0.70662085500000005</v>
      </c>
      <c r="N293" s="1" t="s">
        <v>54</v>
      </c>
      <c r="O293" s="1">
        <v>2.5053995680000001</v>
      </c>
      <c r="P293" s="1">
        <v>43.9</v>
      </c>
      <c r="Q293" s="1">
        <v>46.3</v>
      </c>
      <c r="R293" s="1">
        <v>0.63778977300000006</v>
      </c>
      <c r="S293" s="1">
        <v>5.2451059561977743E-2</v>
      </c>
      <c r="T293" t="s">
        <v>440</v>
      </c>
      <c r="U293" s="1">
        <v>2219</v>
      </c>
      <c r="V293">
        <f t="shared" si="16"/>
        <v>0.37179525580355643</v>
      </c>
      <c r="W293" s="1">
        <f t="shared" si="17"/>
        <v>12.600000000000001</v>
      </c>
      <c r="X293">
        <f t="shared" si="18"/>
        <v>1.382229887</v>
      </c>
      <c r="Y293">
        <f t="shared" si="19"/>
        <v>69.8</v>
      </c>
      <c r="Z293" s="1">
        <v>3</v>
      </c>
      <c r="AA293">
        <v>97</v>
      </c>
      <c r="AB293">
        <v>3.09E-2</v>
      </c>
      <c r="AC293">
        <v>4</v>
      </c>
      <c r="AD293">
        <v>114</v>
      </c>
      <c r="AE293">
        <v>3.5099999999999999E-2</v>
      </c>
      <c r="AF293" t="s">
        <v>2589</v>
      </c>
      <c r="AG293" t="s">
        <v>2593</v>
      </c>
    </row>
    <row r="294" spans="1:33">
      <c r="A294" s="2" t="s">
        <v>139</v>
      </c>
      <c r="B294" s="2" t="s">
        <v>55</v>
      </c>
      <c r="C294" s="1">
        <v>0.52583481399999998</v>
      </c>
      <c r="D294">
        <v>0.65097824800000004</v>
      </c>
      <c r="E294">
        <v>0.65942698399999999</v>
      </c>
      <c r="F294" s="1" t="s">
        <v>140</v>
      </c>
      <c r="G294" s="1">
        <v>1.123169681</v>
      </c>
      <c r="H294" s="1">
        <v>56.5</v>
      </c>
      <c r="I294" s="1">
        <v>116.1</v>
      </c>
      <c r="J294" s="1">
        <v>0.61208001533333334</v>
      </c>
      <c r="K294" s="1">
        <v>0.52971861799999997</v>
      </c>
      <c r="L294" s="1">
        <v>0.62258244500000004</v>
      </c>
      <c r="M294" s="3">
        <v>0.63939760400000001</v>
      </c>
      <c r="N294" s="1" t="s">
        <v>56</v>
      </c>
      <c r="O294" s="1">
        <v>1.0796934869999999</v>
      </c>
      <c r="P294" s="1">
        <v>55.3</v>
      </c>
      <c r="Q294" s="1">
        <v>130.5</v>
      </c>
      <c r="R294" s="1">
        <v>0.59723288899999993</v>
      </c>
      <c r="S294" s="1">
        <v>3.4965434713579983E-2</v>
      </c>
      <c r="T294" t="s">
        <v>441</v>
      </c>
      <c r="U294" s="1">
        <v>5817</v>
      </c>
      <c r="V294">
        <f t="shared" si="16"/>
        <v>0.41829989597759643</v>
      </c>
      <c r="W294" s="1">
        <f t="shared" si="17"/>
        <v>1.2000000000000028</v>
      </c>
      <c r="X294">
        <f t="shared" si="18"/>
        <v>4.3476194000000135E-2</v>
      </c>
      <c r="Y294">
        <f t="shared" si="19"/>
        <v>14.400000000000006</v>
      </c>
      <c r="Z294" s="1">
        <v>16</v>
      </c>
      <c r="AA294">
        <v>84</v>
      </c>
      <c r="AB294">
        <v>0.1905</v>
      </c>
      <c r="AC294">
        <v>16</v>
      </c>
      <c r="AD294">
        <v>94</v>
      </c>
      <c r="AE294">
        <v>0.17019999999999999</v>
      </c>
      <c r="AF294" t="s">
        <v>2589</v>
      </c>
      <c r="AG294" t="s">
        <v>2592</v>
      </c>
    </row>
    <row r="295" spans="1:33">
      <c r="A295" s="2" t="s">
        <v>139</v>
      </c>
      <c r="B295" s="2" t="s">
        <v>57</v>
      </c>
      <c r="C295" s="1">
        <v>0.52583481399999998</v>
      </c>
      <c r="D295">
        <v>0.65097824800000004</v>
      </c>
      <c r="E295">
        <v>0.65942698399999999</v>
      </c>
      <c r="F295" s="1" t="s">
        <v>140</v>
      </c>
      <c r="G295" s="1">
        <v>1.123169681</v>
      </c>
      <c r="H295" s="1">
        <v>56.5</v>
      </c>
      <c r="I295" s="1">
        <v>116.1</v>
      </c>
      <c r="J295" s="1">
        <v>0.61208001533333334</v>
      </c>
      <c r="K295" s="1">
        <v>0.528732855</v>
      </c>
      <c r="L295" s="1">
        <v>0.63387497599999998</v>
      </c>
      <c r="M295" s="3">
        <v>0.63337360200000004</v>
      </c>
      <c r="N295" s="1" t="s">
        <v>58</v>
      </c>
      <c r="O295" s="1">
        <v>1.386610879</v>
      </c>
      <c r="P295" s="1">
        <v>69</v>
      </c>
      <c r="Q295" s="1">
        <v>119.5</v>
      </c>
      <c r="R295" s="1">
        <v>0.59866047766666663</v>
      </c>
      <c r="S295" s="1">
        <v>3.1300148056863708E-2</v>
      </c>
      <c r="T295" t="s">
        <v>442</v>
      </c>
      <c r="U295" s="1">
        <v>11800</v>
      </c>
      <c r="V295">
        <f t="shared" si="16"/>
        <v>0.45243133414512499</v>
      </c>
      <c r="W295" s="1">
        <f t="shared" si="17"/>
        <v>12.5</v>
      </c>
      <c r="X295">
        <f t="shared" si="18"/>
        <v>0.26344119799999999</v>
      </c>
      <c r="Y295">
        <f t="shared" si="19"/>
        <v>3.4000000000000057</v>
      </c>
      <c r="Z295" s="1">
        <v>17</v>
      </c>
      <c r="AA295">
        <v>83</v>
      </c>
      <c r="AB295">
        <v>0.20480000000000001</v>
      </c>
      <c r="AC295">
        <v>17</v>
      </c>
      <c r="AD295">
        <v>99</v>
      </c>
      <c r="AE295">
        <v>0.17169999999999999</v>
      </c>
      <c r="AF295" t="s">
        <v>2589</v>
      </c>
      <c r="AG295" t="s">
        <v>2589</v>
      </c>
    </row>
    <row r="296" spans="1:33">
      <c r="A296" s="2" t="s">
        <v>139</v>
      </c>
      <c r="B296" s="2" t="s">
        <v>59</v>
      </c>
      <c r="C296" s="1">
        <v>0.52583481399999998</v>
      </c>
      <c r="D296">
        <v>0.65097824800000004</v>
      </c>
      <c r="E296">
        <v>0.65942698399999999</v>
      </c>
      <c r="F296" s="1" t="s">
        <v>140</v>
      </c>
      <c r="G296" s="1">
        <v>1.123169681</v>
      </c>
      <c r="H296" s="1">
        <v>56.5</v>
      </c>
      <c r="I296" s="1">
        <v>116.1</v>
      </c>
      <c r="J296" s="1">
        <v>0.61208001533333334</v>
      </c>
      <c r="K296" s="1">
        <v>0.56225432799999997</v>
      </c>
      <c r="L296" s="1">
        <v>0.68100706499999997</v>
      </c>
      <c r="M296" s="3">
        <v>0.67505263699999996</v>
      </c>
      <c r="N296" s="1" t="s">
        <v>60</v>
      </c>
      <c r="O296" s="1">
        <v>1.1501154730000001</v>
      </c>
      <c r="P296" s="1">
        <v>60.5</v>
      </c>
      <c r="Q296" s="1">
        <v>129.9</v>
      </c>
      <c r="R296" s="1">
        <v>0.63943801</v>
      </c>
      <c r="S296" s="1">
        <v>4.9721945678865863E-2</v>
      </c>
      <c r="T296" t="s">
        <v>443</v>
      </c>
      <c r="U296" s="1">
        <v>122905</v>
      </c>
      <c r="V296">
        <f t="shared" si="16"/>
        <v>0.56550772790433457</v>
      </c>
      <c r="W296" s="1">
        <f t="shared" si="17"/>
        <v>4</v>
      </c>
      <c r="X296">
        <f t="shared" si="18"/>
        <v>2.6945792000000024E-2</v>
      </c>
      <c r="Y296">
        <f t="shared" si="19"/>
        <v>13.800000000000011</v>
      </c>
      <c r="Z296" s="1">
        <v>22</v>
      </c>
      <c r="AA296">
        <v>78</v>
      </c>
      <c r="AB296">
        <v>0.28210000000000002</v>
      </c>
      <c r="AC296">
        <v>33</v>
      </c>
      <c r="AD296">
        <v>102</v>
      </c>
      <c r="AE296">
        <v>0.32350000000000001</v>
      </c>
      <c r="AF296" t="s">
        <v>2589</v>
      </c>
      <c r="AG296" t="s">
        <v>2589</v>
      </c>
    </row>
    <row r="297" spans="1:33">
      <c r="A297" s="2" t="s">
        <v>139</v>
      </c>
      <c r="B297" s="2" t="s">
        <v>61</v>
      </c>
      <c r="C297" s="1">
        <v>0.52583481399999998</v>
      </c>
      <c r="D297">
        <v>0.65097824800000004</v>
      </c>
      <c r="E297">
        <v>0.65942698399999999</v>
      </c>
      <c r="F297" s="1" t="s">
        <v>140</v>
      </c>
      <c r="G297" s="1">
        <v>1.123169681</v>
      </c>
      <c r="H297" s="1">
        <v>56.5</v>
      </c>
      <c r="I297" s="1">
        <v>116.1</v>
      </c>
      <c r="J297" s="1">
        <v>0.61208001533333334</v>
      </c>
      <c r="K297" s="1">
        <v>0.62063455999999995</v>
      </c>
      <c r="L297" s="1">
        <v>0.67798104299999995</v>
      </c>
      <c r="M297" s="3">
        <v>0.72175371600000005</v>
      </c>
      <c r="N297" s="1" t="s">
        <v>62</v>
      </c>
      <c r="O297" s="1">
        <v>7.5471698109999998</v>
      </c>
      <c r="P297" s="1">
        <v>26.4</v>
      </c>
      <c r="Q297" s="1">
        <v>10.6</v>
      </c>
      <c r="R297" s="1">
        <v>0.6734564396666668</v>
      </c>
      <c r="S297" s="1">
        <v>0.11662231476555573</v>
      </c>
      <c r="T297" t="s">
        <v>444</v>
      </c>
      <c r="U297" s="1">
        <v>1562</v>
      </c>
      <c r="V297">
        <f t="shared" si="16"/>
        <v>0.35485344772680905</v>
      </c>
      <c r="W297" s="1">
        <f t="shared" si="17"/>
        <v>30.1</v>
      </c>
      <c r="X297">
        <f t="shared" si="18"/>
        <v>6.4240001299999996</v>
      </c>
      <c r="Y297">
        <f t="shared" si="19"/>
        <v>105.5</v>
      </c>
      <c r="Z297" s="1">
        <v>0</v>
      </c>
      <c r="AA297">
        <v>100</v>
      </c>
      <c r="AB297">
        <v>0</v>
      </c>
      <c r="AC297">
        <v>0</v>
      </c>
      <c r="AD297">
        <v>110</v>
      </c>
      <c r="AE297">
        <v>0</v>
      </c>
      <c r="AF297" t="s">
        <v>2589</v>
      </c>
      <c r="AG297" t="s">
        <v>2588</v>
      </c>
    </row>
    <row r="298" spans="1:33">
      <c r="A298" s="2" t="s">
        <v>139</v>
      </c>
      <c r="B298" s="2" t="s">
        <v>63</v>
      </c>
      <c r="C298" s="1">
        <v>0.52583481399999998</v>
      </c>
      <c r="D298">
        <v>0.65097824800000004</v>
      </c>
      <c r="E298">
        <v>0.65942698399999999</v>
      </c>
      <c r="F298" s="1" t="s">
        <v>140</v>
      </c>
      <c r="G298" s="1">
        <v>1.123169681</v>
      </c>
      <c r="H298" s="1">
        <v>56.5</v>
      </c>
      <c r="I298" s="1">
        <v>116.1</v>
      </c>
      <c r="J298" s="1">
        <v>0.61208001533333334</v>
      </c>
      <c r="K298" s="1">
        <v>0.44311141399999998</v>
      </c>
      <c r="L298" s="1">
        <v>0.57053969199999999</v>
      </c>
      <c r="M298" s="3">
        <v>0.59266330599999995</v>
      </c>
      <c r="N298" s="1" t="s">
        <v>64</v>
      </c>
      <c r="O298" s="1">
        <v>0.89618138400000003</v>
      </c>
      <c r="P298" s="1">
        <v>29.7</v>
      </c>
      <c r="Q298" s="1">
        <v>83.8</v>
      </c>
      <c r="R298" s="1">
        <v>0.53543813733333334</v>
      </c>
      <c r="S298" s="1">
        <v>0.13330758005084645</v>
      </c>
      <c r="T298" t="s">
        <v>445</v>
      </c>
      <c r="U298" s="1">
        <v>706</v>
      </c>
      <c r="V298">
        <f t="shared" si="16"/>
        <v>0.31653385567242265</v>
      </c>
      <c r="W298" s="1">
        <f t="shared" si="17"/>
        <v>26.8</v>
      </c>
      <c r="X298">
        <f t="shared" si="18"/>
        <v>0.22698829700000001</v>
      </c>
      <c r="Y298">
        <f t="shared" si="19"/>
        <v>32.299999999999997</v>
      </c>
      <c r="Z298" s="1">
        <v>5</v>
      </c>
      <c r="AA298">
        <v>95</v>
      </c>
      <c r="AB298">
        <v>5.2600000000000001E-2</v>
      </c>
      <c r="AC298">
        <v>7</v>
      </c>
      <c r="AD298">
        <v>110</v>
      </c>
      <c r="AE298">
        <v>6.3600000000000004E-2</v>
      </c>
      <c r="AF298" t="s">
        <v>2589</v>
      </c>
      <c r="AG298" t="s">
        <v>2590</v>
      </c>
    </row>
    <row r="299" spans="1:33">
      <c r="A299" s="2" t="s">
        <v>139</v>
      </c>
      <c r="B299" s="2" t="s">
        <v>65</v>
      </c>
      <c r="C299" s="1">
        <v>0.52583481399999998</v>
      </c>
      <c r="D299">
        <v>0.65097824800000004</v>
      </c>
      <c r="E299">
        <v>0.65942698399999999</v>
      </c>
      <c r="F299" s="1" t="s">
        <v>140</v>
      </c>
      <c r="G299" s="1">
        <v>1.123169681</v>
      </c>
      <c r="H299" s="1">
        <v>56.5</v>
      </c>
      <c r="I299" s="1">
        <v>116.1</v>
      </c>
      <c r="J299" s="1">
        <v>0.61208001533333334</v>
      </c>
      <c r="K299" s="1">
        <v>0.67377447499999998</v>
      </c>
      <c r="L299" s="1">
        <v>0.69144672900000004</v>
      </c>
      <c r="M299" s="3">
        <v>0.73046409700000003</v>
      </c>
      <c r="N299" s="1" t="s">
        <v>66</v>
      </c>
      <c r="O299" s="1">
        <v>1.8507462690000001</v>
      </c>
      <c r="P299" s="1">
        <v>34.5</v>
      </c>
      <c r="Q299" s="1">
        <v>46.9</v>
      </c>
      <c r="R299" s="1">
        <v>0.69856176700000006</v>
      </c>
      <c r="S299" s="1">
        <v>0.16902695842562232</v>
      </c>
      <c r="T299" t="s">
        <v>446</v>
      </c>
      <c r="U299" s="1">
        <v>749</v>
      </c>
      <c r="V299">
        <f t="shared" si="16"/>
        <v>0.31938686863327409</v>
      </c>
      <c r="W299" s="1">
        <f t="shared" si="17"/>
        <v>22</v>
      </c>
      <c r="X299">
        <f t="shared" si="18"/>
        <v>0.72757658800000002</v>
      </c>
      <c r="Y299">
        <f t="shared" si="19"/>
        <v>69.199999999999989</v>
      </c>
      <c r="Z299" s="1">
        <v>2</v>
      </c>
      <c r="AA299">
        <v>98</v>
      </c>
      <c r="AB299">
        <v>2.0400000000000001E-2</v>
      </c>
      <c r="AC299">
        <v>2</v>
      </c>
      <c r="AD299">
        <v>97</v>
      </c>
      <c r="AE299">
        <v>2.06E-2</v>
      </c>
      <c r="AF299" t="s">
        <v>2589</v>
      </c>
      <c r="AG299" t="s">
        <v>2593</v>
      </c>
    </row>
    <row r="300" spans="1:33">
      <c r="A300" s="2" t="s">
        <v>139</v>
      </c>
      <c r="B300" s="2" t="s">
        <v>67</v>
      </c>
      <c r="C300" s="1">
        <v>0.52583481399999998</v>
      </c>
      <c r="D300">
        <v>0.65097824800000004</v>
      </c>
      <c r="E300">
        <v>0.65942698399999999</v>
      </c>
      <c r="F300" s="1" t="s">
        <v>140</v>
      </c>
      <c r="G300" s="1">
        <v>1.123169681</v>
      </c>
      <c r="H300" s="1">
        <v>56.5</v>
      </c>
      <c r="I300" s="1">
        <v>116.1</v>
      </c>
      <c r="J300" s="1">
        <v>0.61208001533333334</v>
      </c>
      <c r="K300" s="1">
        <v>0.53971122199999999</v>
      </c>
      <c r="L300" s="1">
        <v>0.621203065</v>
      </c>
      <c r="M300" s="3">
        <v>0.67806811499999997</v>
      </c>
      <c r="N300" s="1" t="s">
        <v>68</v>
      </c>
      <c r="O300" s="1">
        <v>1.5131894480000001</v>
      </c>
      <c r="P300" s="1">
        <v>27.2</v>
      </c>
      <c r="Q300" s="1">
        <v>41.7</v>
      </c>
      <c r="R300" s="1">
        <v>0.61299413400000002</v>
      </c>
      <c r="S300" s="1">
        <v>3.7770464474574779E-2</v>
      </c>
      <c r="T300" t="s">
        <v>447</v>
      </c>
      <c r="U300" s="1">
        <v>21522</v>
      </c>
      <c r="V300">
        <f t="shared" si="16"/>
        <v>0.48143140300662335</v>
      </c>
      <c r="W300" s="1">
        <f t="shared" si="17"/>
        <v>29.3</v>
      </c>
      <c r="X300">
        <f t="shared" si="18"/>
        <v>0.39001976700000007</v>
      </c>
      <c r="Y300">
        <f t="shared" si="19"/>
        <v>74.399999999999991</v>
      </c>
      <c r="Z300" s="1">
        <v>3</v>
      </c>
      <c r="AA300">
        <v>97</v>
      </c>
      <c r="AB300">
        <v>3.09E-2</v>
      </c>
      <c r="AC300">
        <v>7</v>
      </c>
      <c r="AD300">
        <v>103</v>
      </c>
      <c r="AE300">
        <v>6.8000000000000005E-2</v>
      </c>
      <c r="AF300" t="s">
        <v>2589</v>
      </c>
      <c r="AG300" t="s">
        <v>2588</v>
      </c>
    </row>
    <row r="301" spans="1:33">
      <c r="A301" s="2" t="s">
        <v>139</v>
      </c>
      <c r="B301" s="2" t="s">
        <v>69</v>
      </c>
      <c r="C301" s="1">
        <v>0.52583481399999998</v>
      </c>
      <c r="D301">
        <v>0.65097824800000004</v>
      </c>
      <c r="E301">
        <v>0.65942698399999999</v>
      </c>
      <c r="F301" s="1" t="s">
        <v>140</v>
      </c>
      <c r="G301" s="1">
        <v>1.123169681</v>
      </c>
      <c r="H301" s="1">
        <v>56.5</v>
      </c>
      <c r="I301" s="1">
        <v>116.1</v>
      </c>
      <c r="J301" s="1">
        <v>0.61208001533333334</v>
      </c>
      <c r="K301" s="1">
        <v>0.50188385300000005</v>
      </c>
      <c r="L301" s="1">
        <v>0.64580031500000001</v>
      </c>
      <c r="M301" s="3">
        <v>0.66006355800000005</v>
      </c>
      <c r="N301" s="1" t="s">
        <v>70</v>
      </c>
      <c r="O301" s="1">
        <v>1.2401055409999999</v>
      </c>
      <c r="P301" s="1">
        <v>43.4</v>
      </c>
      <c r="Q301" s="1">
        <v>75.8</v>
      </c>
      <c r="R301" s="1">
        <v>0.60258257533333337</v>
      </c>
      <c r="S301" s="1">
        <v>2.451254269620929E-2</v>
      </c>
      <c r="T301" t="s">
        <v>448</v>
      </c>
      <c r="U301" s="1">
        <v>12645</v>
      </c>
      <c r="V301">
        <f t="shared" si="16"/>
        <v>0.45576875929782484</v>
      </c>
      <c r="W301" s="1">
        <f t="shared" si="17"/>
        <v>13.100000000000001</v>
      </c>
      <c r="X301">
        <f t="shared" si="18"/>
        <v>0.11693585999999989</v>
      </c>
      <c r="Y301">
        <f t="shared" si="19"/>
        <v>40.299999999999997</v>
      </c>
      <c r="Z301" s="1">
        <v>15</v>
      </c>
      <c r="AA301">
        <v>85</v>
      </c>
      <c r="AB301">
        <v>0.17649999999999999</v>
      </c>
      <c r="AC301">
        <v>17</v>
      </c>
      <c r="AD301">
        <v>100</v>
      </c>
      <c r="AE301">
        <v>0.17</v>
      </c>
      <c r="AF301" t="s">
        <v>2589</v>
      </c>
      <c r="AG301" t="s">
        <v>2589</v>
      </c>
    </row>
    <row r="302" spans="1:33">
      <c r="A302" s="2" t="s">
        <v>139</v>
      </c>
      <c r="B302" s="2" t="s">
        <v>71</v>
      </c>
      <c r="C302" s="1">
        <v>0.52583481399999998</v>
      </c>
      <c r="D302">
        <v>0.65097824800000004</v>
      </c>
      <c r="E302">
        <v>0.65942698399999999</v>
      </c>
      <c r="F302" s="1" t="s">
        <v>140</v>
      </c>
      <c r="G302" s="1">
        <v>1.123169681</v>
      </c>
      <c r="H302" s="1">
        <v>56.5</v>
      </c>
      <c r="I302" s="1">
        <v>116.1</v>
      </c>
      <c r="J302" s="1">
        <v>0.61208001533333334</v>
      </c>
      <c r="K302" s="1">
        <v>0.53267569100000001</v>
      </c>
      <c r="L302" s="1">
        <v>0.64507433599999997</v>
      </c>
      <c r="M302" s="3">
        <v>0.66598465100000004</v>
      </c>
      <c r="N302" s="1" t="s">
        <v>72</v>
      </c>
      <c r="O302" s="1">
        <v>0.97289666900000005</v>
      </c>
      <c r="P302" s="1">
        <v>64.8</v>
      </c>
      <c r="Q302" s="1">
        <v>177.1</v>
      </c>
      <c r="R302" s="1">
        <v>0.61457822600000001</v>
      </c>
      <c r="S302" s="1">
        <v>1.1164979691686129E-2</v>
      </c>
      <c r="T302" t="s">
        <v>449</v>
      </c>
      <c r="U302" s="1">
        <v>351112</v>
      </c>
      <c r="V302">
        <f t="shared" si="16"/>
        <v>0.61616063029526535</v>
      </c>
      <c r="W302" s="1">
        <f t="shared" si="17"/>
        <v>8.2999999999999972</v>
      </c>
      <c r="X302">
        <f t="shared" si="18"/>
        <v>0.15027301199999998</v>
      </c>
      <c r="Y302">
        <f t="shared" si="19"/>
        <v>61</v>
      </c>
      <c r="Z302" s="1">
        <v>28</v>
      </c>
      <c r="AA302">
        <v>72</v>
      </c>
      <c r="AB302">
        <v>0.38890000000000002</v>
      </c>
      <c r="AC302">
        <v>34</v>
      </c>
      <c r="AD302">
        <v>94</v>
      </c>
      <c r="AE302">
        <v>0.36170000000000002</v>
      </c>
      <c r="AF302" t="s">
        <v>2589</v>
      </c>
      <c r="AG302" t="s">
        <v>2589</v>
      </c>
    </row>
    <row r="303" spans="1:33">
      <c r="A303" s="2" t="s">
        <v>139</v>
      </c>
      <c r="B303" s="2" t="s">
        <v>73</v>
      </c>
      <c r="C303" s="1">
        <v>0.52583481399999998</v>
      </c>
      <c r="D303">
        <v>0.65097824800000004</v>
      </c>
      <c r="E303">
        <v>0.65942698399999999</v>
      </c>
      <c r="F303" s="1" t="s">
        <v>140</v>
      </c>
      <c r="G303" s="1">
        <v>1.123169681</v>
      </c>
      <c r="H303" s="1">
        <v>56.5</v>
      </c>
      <c r="I303" s="1">
        <v>116.1</v>
      </c>
      <c r="J303" s="1">
        <v>0.61208001533333334</v>
      </c>
      <c r="K303" s="1">
        <v>0.55697925299999995</v>
      </c>
      <c r="L303" s="1">
        <v>0.64461978399999997</v>
      </c>
      <c r="M303" s="3">
        <v>0.69570690000000002</v>
      </c>
      <c r="N303" s="1" t="s">
        <v>74</v>
      </c>
      <c r="O303" s="1">
        <v>1.23433584</v>
      </c>
      <c r="P303" s="1">
        <v>44</v>
      </c>
      <c r="Q303" s="1">
        <v>79.8</v>
      </c>
      <c r="R303" s="1">
        <v>0.63243531233333328</v>
      </c>
      <c r="S303" s="1">
        <v>4.82352407481405E-2</v>
      </c>
      <c r="T303" t="s">
        <v>450</v>
      </c>
      <c r="U303" s="1">
        <v>9608</v>
      </c>
      <c r="V303">
        <f t="shared" si="16"/>
        <v>0.44251477715498333</v>
      </c>
      <c r="W303" s="1">
        <f t="shared" si="17"/>
        <v>12.5</v>
      </c>
      <c r="X303">
        <f t="shared" si="18"/>
        <v>0.11116615899999993</v>
      </c>
      <c r="Y303">
        <f t="shared" si="19"/>
        <v>36.299999999999997</v>
      </c>
      <c r="Z303" s="1">
        <v>13</v>
      </c>
      <c r="AA303">
        <v>87</v>
      </c>
      <c r="AB303">
        <v>0.14940000000000001</v>
      </c>
      <c r="AC303">
        <v>15</v>
      </c>
      <c r="AD303">
        <v>98</v>
      </c>
      <c r="AE303">
        <v>0.15310000000000001</v>
      </c>
      <c r="AF303" t="s">
        <v>2589</v>
      </c>
      <c r="AG303" t="s">
        <v>2589</v>
      </c>
    </row>
    <row r="304" spans="1:33">
      <c r="A304" s="2" t="s">
        <v>139</v>
      </c>
      <c r="B304" s="2" t="s">
        <v>75</v>
      </c>
      <c r="C304" s="1">
        <v>0.52583481399999998</v>
      </c>
      <c r="D304">
        <v>0.65097824800000004</v>
      </c>
      <c r="E304">
        <v>0.65942698399999999</v>
      </c>
      <c r="F304" s="1" t="s">
        <v>140</v>
      </c>
      <c r="G304" s="1">
        <v>1.123169681</v>
      </c>
      <c r="H304" s="1">
        <v>56.5</v>
      </c>
      <c r="I304" s="1">
        <v>116.1</v>
      </c>
      <c r="J304" s="1">
        <v>0.61208001533333334</v>
      </c>
      <c r="K304" s="1">
        <v>0.50354843500000002</v>
      </c>
      <c r="L304" s="1">
        <v>0.59724402499999996</v>
      </c>
      <c r="M304" s="3">
        <v>0.70308254199999998</v>
      </c>
      <c r="N304" s="1" t="s">
        <v>76</v>
      </c>
      <c r="O304" s="1">
        <v>1.2696850390000001</v>
      </c>
      <c r="P304" s="1">
        <v>26.6</v>
      </c>
      <c r="Q304" s="1">
        <v>50.8</v>
      </c>
      <c r="R304" s="1">
        <v>0.60129166733333339</v>
      </c>
      <c r="S304" s="1">
        <v>7.2731404184414997E-2</v>
      </c>
      <c r="T304" t="s">
        <v>451</v>
      </c>
      <c r="U304" s="1">
        <v>2405</v>
      </c>
      <c r="V304">
        <f t="shared" si="16"/>
        <v>0.37567945341220566</v>
      </c>
      <c r="W304" s="1">
        <f t="shared" si="17"/>
        <v>29.9</v>
      </c>
      <c r="X304">
        <f t="shared" si="18"/>
        <v>0.14651535800000004</v>
      </c>
      <c r="Y304">
        <f t="shared" si="19"/>
        <v>65.3</v>
      </c>
      <c r="Z304" s="1">
        <v>2</v>
      </c>
      <c r="AA304">
        <v>98</v>
      </c>
      <c r="AB304">
        <v>2.0400000000000001E-2</v>
      </c>
      <c r="AC304">
        <v>3</v>
      </c>
      <c r="AD304">
        <v>110</v>
      </c>
      <c r="AE304">
        <v>2.7300000000000001E-2</v>
      </c>
      <c r="AF304" t="s">
        <v>2589</v>
      </c>
      <c r="AG304" t="s">
        <v>2594</v>
      </c>
    </row>
    <row r="305" spans="1:33">
      <c r="A305" s="2" t="s">
        <v>139</v>
      </c>
      <c r="B305" s="2" t="s">
        <v>77</v>
      </c>
      <c r="C305" s="1">
        <v>0.52583481399999998</v>
      </c>
      <c r="D305">
        <v>0.65097824800000004</v>
      </c>
      <c r="E305">
        <v>0.65942698399999999</v>
      </c>
      <c r="F305" s="1" t="s">
        <v>140</v>
      </c>
      <c r="G305" s="1">
        <v>1.123169681</v>
      </c>
      <c r="H305" s="1">
        <v>56.5</v>
      </c>
      <c r="I305" s="1">
        <v>116.1</v>
      </c>
      <c r="J305" s="1">
        <v>0.61208001533333334</v>
      </c>
      <c r="K305" s="1">
        <v>0.54630843299999998</v>
      </c>
      <c r="L305" s="1">
        <v>0.68935555900000001</v>
      </c>
      <c r="M305" s="3">
        <v>0.65478744899999997</v>
      </c>
      <c r="N305" s="1" t="s">
        <v>78</v>
      </c>
      <c r="O305" s="1">
        <v>1.3914285710000001</v>
      </c>
      <c r="P305" s="1">
        <v>56.5</v>
      </c>
      <c r="Q305" s="1">
        <v>105</v>
      </c>
      <c r="R305" s="1">
        <v>0.63015048033333343</v>
      </c>
      <c r="S305" s="1">
        <v>4.3743712228891882E-2</v>
      </c>
      <c r="T305" t="s">
        <v>452</v>
      </c>
      <c r="U305" s="1">
        <v>1785</v>
      </c>
      <c r="V305">
        <f t="shared" si="16"/>
        <v>0.36129313560535686</v>
      </c>
      <c r="W305" s="1">
        <f t="shared" si="17"/>
        <v>0</v>
      </c>
      <c r="X305">
        <f t="shared" si="18"/>
        <v>0.26825889000000003</v>
      </c>
      <c r="Y305">
        <f t="shared" si="19"/>
        <v>11.099999999999994</v>
      </c>
      <c r="Z305" s="1">
        <v>2</v>
      </c>
      <c r="AA305">
        <v>98</v>
      </c>
      <c r="AB305">
        <v>2.0400000000000001E-2</v>
      </c>
      <c r="AC305">
        <v>3</v>
      </c>
      <c r="AD305">
        <v>99</v>
      </c>
      <c r="AE305">
        <v>3.0300000000000001E-2</v>
      </c>
      <c r="AF305" t="s">
        <v>2589</v>
      </c>
      <c r="AG305" t="s">
        <v>2590</v>
      </c>
    </row>
    <row r="306" spans="1:33">
      <c r="A306" s="2" t="s">
        <v>139</v>
      </c>
      <c r="B306" s="2" t="s">
        <v>79</v>
      </c>
      <c r="C306" s="1">
        <v>0.52583481399999998</v>
      </c>
      <c r="D306">
        <v>0.65097824800000004</v>
      </c>
      <c r="E306">
        <v>0.65942698399999999</v>
      </c>
      <c r="F306" s="1" t="s">
        <v>140</v>
      </c>
      <c r="G306" s="1">
        <v>1.123169681</v>
      </c>
      <c r="H306" s="1">
        <v>56.5</v>
      </c>
      <c r="I306" s="1">
        <v>116.1</v>
      </c>
      <c r="J306" s="1">
        <v>0.61208001533333334</v>
      </c>
      <c r="K306" s="1">
        <v>0.63652882899999996</v>
      </c>
      <c r="L306" s="1">
        <v>0.77536518600000004</v>
      </c>
      <c r="M306" s="3">
        <v>0.610415606</v>
      </c>
      <c r="N306" s="1" t="s">
        <v>80</v>
      </c>
      <c r="O306" s="1">
        <v>0.95325542600000002</v>
      </c>
      <c r="P306" s="1">
        <v>45.6</v>
      </c>
      <c r="Q306" s="1">
        <v>119.8</v>
      </c>
      <c r="R306" s="1">
        <v>0.67410320700000004</v>
      </c>
      <c r="S306" s="1">
        <v>0.17357243581656318</v>
      </c>
      <c r="T306" t="s">
        <v>453</v>
      </c>
      <c r="U306" s="1">
        <v>2614</v>
      </c>
      <c r="V306">
        <f t="shared" si="16"/>
        <v>0.37970062036050284</v>
      </c>
      <c r="W306" s="1">
        <f t="shared" si="17"/>
        <v>10.899999999999999</v>
      </c>
      <c r="X306">
        <f t="shared" si="18"/>
        <v>0.16991425500000001</v>
      </c>
      <c r="Y306">
        <f t="shared" si="19"/>
        <v>3.7000000000000028</v>
      </c>
      <c r="Z306" s="1">
        <v>1</v>
      </c>
      <c r="AA306">
        <v>99</v>
      </c>
      <c r="AB306">
        <v>1.01E-2</v>
      </c>
      <c r="AC306">
        <v>2</v>
      </c>
      <c r="AD306">
        <v>91</v>
      </c>
      <c r="AE306">
        <v>2.1999999999999999E-2</v>
      </c>
      <c r="AF306" t="s">
        <v>2589</v>
      </c>
      <c r="AG306" t="s">
        <v>2590</v>
      </c>
    </row>
    <row r="307" spans="1:33">
      <c r="A307" s="2" t="s">
        <v>139</v>
      </c>
      <c r="B307" s="2" t="s">
        <v>81</v>
      </c>
      <c r="C307" s="1">
        <v>0.52583481399999998</v>
      </c>
      <c r="D307">
        <v>0.65097824800000004</v>
      </c>
      <c r="E307">
        <v>0.65942698399999999</v>
      </c>
      <c r="F307" s="1" t="s">
        <v>140</v>
      </c>
      <c r="G307" s="1">
        <v>1.123169681</v>
      </c>
      <c r="H307" s="1">
        <v>56.5</v>
      </c>
      <c r="I307" s="1">
        <v>116.1</v>
      </c>
      <c r="J307" s="1">
        <v>0.61208001533333334</v>
      </c>
      <c r="K307" s="1">
        <v>0.50183280699999999</v>
      </c>
      <c r="L307" s="1">
        <v>0.68550824600000004</v>
      </c>
      <c r="M307" s="3">
        <v>0.66941488999999998</v>
      </c>
      <c r="N307" s="1" t="s">
        <v>82</v>
      </c>
      <c r="O307" s="1">
        <v>1.4359576970000001</v>
      </c>
      <c r="P307" s="1">
        <v>51</v>
      </c>
      <c r="Q307" s="1">
        <v>85.1</v>
      </c>
      <c r="R307" s="1">
        <v>0.61891864766666671</v>
      </c>
      <c r="S307" s="1">
        <v>4.3222394290146501E-2</v>
      </c>
      <c r="T307" t="s">
        <v>454</v>
      </c>
      <c r="U307" s="1">
        <v>19601</v>
      </c>
      <c r="V307">
        <f t="shared" si="16"/>
        <v>0.47691980318588584</v>
      </c>
      <c r="W307" s="1">
        <f t="shared" si="17"/>
        <v>5.5</v>
      </c>
      <c r="X307">
        <f t="shared" si="18"/>
        <v>0.31278801600000006</v>
      </c>
      <c r="Y307">
        <f t="shared" si="19"/>
        <v>31</v>
      </c>
      <c r="Z307" s="1">
        <v>1</v>
      </c>
      <c r="AA307">
        <v>99</v>
      </c>
      <c r="AB307">
        <v>1.01E-2</v>
      </c>
      <c r="AC307">
        <v>1</v>
      </c>
      <c r="AD307">
        <v>103</v>
      </c>
      <c r="AE307">
        <v>9.7000000000000003E-3</v>
      </c>
      <c r="AF307" t="s">
        <v>2589</v>
      </c>
      <c r="AG307" t="s">
        <v>2589</v>
      </c>
    </row>
    <row r="308" spans="1:33">
      <c r="A308" s="2" t="s">
        <v>139</v>
      </c>
      <c r="B308" s="2" t="s">
        <v>83</v>
      </c>
      <c r="C308" s="1">
        <v>0.52583481399999998</v>
      </c>
      <c r="D308">
        <v>0.65097824800000004</v>
      </c>
      <c r="E308">
        <v>0.65942698399999999</v>
      </c>
      <c r="F308" s="1" t="s">
        <v>140</v>
      </c>
      <c r="G308" s="1">
        <v>1.123169681</v>
      </c>
      <c r="H308" s="1">
        <v>56.5</v>
      </c>
      <c r="I308" s="1">
        <v>116.1</v>
      </c>
      <c r="J308" s="1">
        <v>0.61208001533333334</v>
      </c>
      <c r="K308" s="1">
        <v>0.51815179099999997</v>
      </c>
      <c r="L308" s="1">
        <v>0.50115949400000004</v>
      </c>
      <c r="M308" s="3">
        <v>0.68053170600000001</v>
      </c>
      <c r="N308" s="1" t="s">
        <v>84</v>
      </c>
      <c r="O308" s="1">
        <v>1.760323887</v>
      </c>
      <c r="P308" s="1">
        <v>83.4</v>
      </c>
      <c r="Q308" s="1">
        <v>123.5</v>
      </c>
      <c r="R308" s="1">
        <v>0.56661433033333342</v>
      </c>
      <c r="S308" s="1">
        <v>0.15149289482754077</v>
      </c>
      <c r="T308" t="s">
        <v>455</v>
      </c>
      <c r="U308" s="1">
        <v>22035</v>
      </c>
      <c r="V308">
        <f t="shared" si="16"/>
        <v>0.48256811720510417</v>
      </c>
      <c r="W308" s="1">
        <f t="shared" si="17"/>
        <v>26.900000000000006</v>
      </c>
      <c r="X308">
        <f t="shared" si="18"/>
        <v>0.63715420599999995</v>
      </c>
      <c r="Y308">
        <f t="shared" si="19"/>
        <v>7.4000000000000057</v>
      </c>
      <c r="Z308" s="1">
        <v>5</v>
      </c>
      <c r="AA308">
        <v>95</v>
      </c>
      <c r="AB308">
        <v>5.2600000000000001E-2</v>
      </c>
      <c r="AC308">
        <v>6</v>
      </c>
      <c r="AD308">
        <v>93</v>
      </c>
      <c r="AE308">
        <v>6.4500000000000002E-2</v>
      </c>
      <c r="AF308" t="s">
        <v>2589</v>
      </c>
      <c r="AG308" t="s">
        <v>2589</v>
      </c>
    </row>
    <row r="309" spans="1:33">
      <c r="A309" s="2" t="s">
        <v>139</v>
      </c>
      <c r="B309" s="2" t="s">
        <v>85</v>
      </c>
      <c r="C309" s="1">
        <v>0.52583481399999998</v>
      </c>
      <c r="D309">
        <v>0.65097824800000004</v>
      </c>
      <c r="E309">
        <v>0.65942698399999999</v>
      </c>
      <c r="F309" s="1" t="s">
        <v>140</v>
      </c>
      <c r="G309" s="1">
        <v>1.123169681</v>
      </c>
      <c r="H309" s="1">
        <v>56.5</v>
      </c>
      <c r="I309" s="1">
        <v>116.1</v>
      </c>
      <c r="J309" s="1">
        <v>0.61208001533333334</v>
      </c>
      <c r="K309" s="1">
        <v>0.522280945</v>
      </c>
      <c r="L309" s="1">
        <v>0.58016629799999997</v>
      </c>
      <c r="M309" s="3">
        <v>0.62446713499999995</v>
      </c>
      <c r="N309" s="1" t="s">
        <v>86</v>
      </c>
      <c r="O309" s="1">
        <v>0.57177615599999998</v>
      </c>
      <c r="P309" s="1">
        <v>19.5</v>
      </c>
      <c r="Q309" s="1">
        <v>82.2</v>
      </c>
      <c r="R309" s="1">
        <v>0.57563812599999997</v>
      </c>
      <c r="S309" s="1">
        <v>7.9051586257168016E-2</v>
      </c>
      <c r="T309" t="s">
        <v>456</v>
      </c>
      <c r="U309" s="1">
        <v>374</v>
      </c>
      <c r="V309">
        <f t="shared" si="16"/>
        <v>0.28587462246672002</v>
      </c>
      <c r="W309" s="1">
        <f t="shared" si="17"/>
        <v>37</v>
      </c>
      <c r="X309">
        <f t="shared" si="18"/>
        <v>0.55139352500000005</v>
      </c>
      <c r="Y309">
        <f t="shared" si="19"/>
        <v>33.899999999999991</v>
      </c>
      <c r="Z309" s="1">
        <v>1</v>
      </c>
      <c r="AA309">
        <v>99</v>
      </c>
      <c r="AB309">
        <v>1.01E-2</v>
      </c>
      <c r="AC309">
        <v>2</v>
      </c>
      <c r="AD309">
        <v>162</v>
      </c>
      <c r="AE309">
        <v>1.23E-2</v>
      </c>
      <c r="AF309" t="s">
        <v>2589</v>
      </c>
      <c r="AG309" t="s">
        <v>2590</v>
      </c>
    </row>
    <row r="310" spans="1:33">
      <c r="A310" s="2" t="s">
        <v>139</v>
      </c>
      <c r="B310" s="2" t="s">
        <v>87</v>
      </c>
      <c r="C310" s="1">
        <v>0.52583481399999998</v>
      </c>
      <c r="D310">
        <v>0.65097824800000004</v>
      </c>
      <c r="E310">
        <v>0.65942698399999999</v>
      </c>
      <c r="F310" s="1" t="s">
        <v>140</v>
      </c>
      <c r="G310" s="1">
        <v>1.123169681</v>
      </c>
      <c r="H310" s="1">
        <v>56.5</v>
      </c>
      <c r="I310" s="1">
        <v>116.1</v>
      </c>
      <c r="J310" s="1">
        <v>0.61208001533333334</v>
      </c>
      <c r="K310" s="1">
        <v>0.46780425199999998</v>
      </c>
      <c r="L310" s="1">
        <v>0.54149707400000002</v>
      </c>
      <c r="M310" s="3">
        <v>0.61626236400000001</v>
      </c>
      <c r="N310" s="1" t="s">
        <v>88</v>
      </c>
      <c r="O310" s="1">
        <v>1.395454545</v>
      </c>
      <c r="P310" s="1">
        <v>65.2</v>
      </c>
      <c r="Q310" s="1">
        <v>110</v>
      </c>
      <c r="R310" s="1">
        <v>0.54185456333333337</v>
      </c>
      <c r="S310" s="1">
        <v>0.13121302529169321</v>
      </c>
      <c r="T310" t="s">
        <v>457</v>
      </c>
      <c r="U310" s="1">
        <v>9430</v>
      </c>
      <c r="V310">
        <f t="shared" si="16"/>
        <v>0.44161241030414761</v>
      </c>
      <c r="W310" s="1">
        <f t="shared" si="17"/>
        <v>8.7000000000000028</v>
      </c>
      <c r="X310">
        <f t="shared" si="18"/>
        <v>0.27228486399999996</v>
      </c>
      <c r="Y310">
        <f t="shared" si="19"/>
        <v>6.0999999999999943</v>
      </c>
      <c r="Z310" s="1">
        <v>8</v>
      </c>
      <c r="AA310">
        <v>92</v>
      </c>
      <c r="AB310">
        <v>8.6999999999999994E-2</v>
      </c>
      <c r="AC310">
        <v>10</v>
      </c>
      <c r="AD310">
        <v>87</v>
      </c>
      <c r="AE310">
        <v>0.1149</v>
      </c>
      <c r="AF310" t="s">
        <v>2589</v>
      </c>
      <c r="AG310" t="s">
        <v>2590</v>
      </c>
    </row>
    <row r="311" spans="1:33">
      <c r="A311" s="2" t="s">
        <v>139</v>
      </c>
      <c r="B311" s="2" t="s">
        <v>89</v>
      </c>
      <c r="C311" s="1">
        <v>0.52583481399999998</v>
      </c>
      <c r="D311">
        <v>0.65097824800000004</v>
      </c>
      <c r="E311">
        <v>0.65942698399999999</v>
      </c>
      <c r="F311" s="1" t="s">
        <v>140</v>
      </c>
      <c r="G311" s="1">
        <v>1.123169681</v>
      </c>
      <c r="H311" s="1">
        <v>56.5</v>
      </c>
      <c r="I311" s="1">
        <v>116.1</v>
      </c>
      <c r="J311" s="1">
        <v>0.61208001533333334</v>
      </c>
      <c r="K311" s="1">
        <v>0.51097051500000001</v>
      </c>
      <c r="L311" s="1">
        <v>0.61917891400000002</v>
      </c>
      <c r="M311" s="3">
        <v>0.60984479800000002</v>
      </c>
      <c r="N311" s="1" t="s">
        <v>90</v>
      </c>
      <c r="O311" s="1">
        <v>1.429752066</v>
      </c>
      <c r="P311" s="1">
        <v>59.8</v>
      </c>
      <c r="Q311" s="1">
        <v>108.9</v>
      </c>
      <c r="R311" s="1">
        <v>0.57999807566666661</v>
      </c>
      <c r="S311" s="1">
        <v>6.0749799967930347E-2</v>
      </c>
      <c r="T311" t="s">
        <v>458</v>
      </c>
      <c r="U311" s="1">
        <v>15455</v>
      </c>
      <c r="V311">
        <f t="shared" si="16"/>
        <v>0.46545211215548044</v>
      </c>
      <c r="W311" s="1">
        <f t="shared" si="17"/>
        <v>3.2999999999999972</v>
      </c>
      <c r="X311">
        <f t="shared" si="18"/>
        <v>0.30658238500000001</v>
      </c>
      <c r="Y311">
        <f t="shared" si="19"/>
        <v>7.1999999999999886</v>
      </c>
      <c r="Z311" s="1">
        <v>17</v>
      </c>
      <c r="AA311">
        <v>83</v>
      </c>
      <c r="AB311">
        <v>0.20480000000000001</v>
      </c>
      <c r="AC311">
        <v>18</v>
      </c>
      <c r="AD311">
        <v>88</v>
      </c>
      <c r="AE311">
        <v>0.20449999999999999</v>
      </c>
      <c r="AF311" t="s">
        <v>2589</v>
      </c>
      <c r="AG311" t="s">
        <v>2589</v>
      </c>
    </row>
    <row r="312" spans="1:33">
      <c r="A312" s="2" t="s">
        <v>139</v>
      </c>
      <c r="B312" s="2" t="s">
        <v>91</v>
      </c>
      <c r="C312" s="1">
        <v>0.52583481399999998</v>
      </c>
      <c r="D312">
        <v>0.65097824800000004</v>
      </c>
      <c r="E312">
        <v>0.65942698399999999</v>
      </c>
      <c r="F312" s="1" t="s">
        <v>140</v>
      </c>
      <c r="G312" s="1">
        <v>1.123169681</v>
      </c>
      <c r="H312" s="1">
        <v>56.5</v>
      </c>
      <c r="I312" s="1">
        <v>116.1</v>
      </c>
      <c r="J312" s="1">
        <v>0.61208001533333334</v>
      </c>
      <c r="K312" s="1">
        <v>0.37439919700000002</v>
      </c>
      <c r="L312" s="1">
        <v>0.508839347</v>
      </c>
      <c r="M312" s="3">
        <v>0.52701193599999996</v>
      </c>
      <c r="N312" s="1" t="s">
        <v>92</v>
      </c>
      <c r="O312" s="1">
        <v>1.911504425</v>
      </c>
      <c r="P312" s="1">
        <v>24.6</v>
      </c>
      <c r="Q312" s="1">
        <v>33.9</v>
      </c>
      <c r="R312" s="1">
        <v>0.47008349333333332</v>
      </c>
      <c r="S312" s="1">
        <v>0.24631272441857488</v>
      </c>
      <c r="T312" t="s">
        <v>459</v>
      </c>
      <c r="U312" s="1">
        <v>423</v>
      </c>
      <c r="V312">
        <f t="shared" si="16"/>
        <v>0.2918155963750047</v>
      </c>
      <c r="W312" s="1">
        <f t="shared" si="17"/>
        <v>31.9</v>
      </c>
      <c r="X312">
        <f t="shared" si="18"/>
        <v>0.78833474399999992</v>
      </c>
      <c r="Y312">
        <f t="shared" si="19"/>
        <v>82.199999999999989</v>
      </c>
      <c r="Z312" s="1">
        <v>4</v>
      </c>
      <c r="AA312">
        <v>96</v>
      </c>
      <c r="AB312">
        <v>4.1700000000000001E-2</v>
      </c>
      <c r="AC312">
        <v>5</v>
      </c>
      <c r="AD312">
        <v>108</v>
      </c>
      <c r="AE312">
        <v>4.6300000000000001E-2</v>
      </c>
      <c r="AF312" t="s">
        <v>2589</v>
      </c>
      <c r="AG312" t="s">
        <v>2590</v>
      </c>
    </row>
    <row r="313" spans="1:33">
      <c r="A313" s="2" t="s">
        <v>139</v>
      </c>
      <c r="B313" s="2" t="s">
        <v>93</v>
      </c>
      <c r="C313" s="1">
        <v>0.52583481399999998</v>
      </c>
      <c r="D313">
        <v>0.65097824800000004</v>
      </c>
      <c r="E313">
        <v>0.65942698399999999</v>
      </c>
      <c r="F313" s="1" t="s">
        <v>140</v>
      </c>
      <c r="G313" s="1">
        <v>1.123169681</v>
      </c>
      <c r="H313" s="1">
        <v>56.5</v>
      </c>
      <c r="I313" s="1">
        <v>116.1</v>
      </c>
      <c r="J313" s="1">
        <v>0.61208001533333334</v>
      </c>
      <c r="K313" s="1">
        <v>0.54134617200000001</v>
      </c>
      <c r="L313" s="1">
        <v>0.674899633</v>
      </c>
      <c r="M313" s="3">
        <v>0.719840174</v>
      </c>
      <c r="N313" s="1" t="s">
        <v>94</v>
      </c>
      <c r="O313" s="1">
        <v>1.175388967</v>
      </c>
      <c r="P313" s="1">
        <v>36.6</v>
      </c>
      <c r="Q313" s="1">
        <v>70.7</v>
      </c>
      <c r="R313" s="1">
        <v>0.64536199299999997</v>
      </c>
      <c r="S313" s="1">
        <v>6.6802607833066588E-2</v>
      </c>
      <c r="T313" t="s">
        <v>460</v>
      </c>
      <c r="U313" s="1">
        <v>10087</v>
      </c>
      <c r="V313">
        <f t="shared" si="16"/>
        <v>0.44486244675869396</v>
      </c>
      <c r="W313" s="1">
        <f t="shared" si="17"/>
        <v>19.899999999999999</v>
      </c>
      <c r="X313">
        <f t="shared" si="18"/>
        <v>5.221928599999992E-2</v>
      </c>
      <c r="Y313">
        <f t="shared" si="19"/>
        <v>45.399999999999991</v>
      </c>
      <c r="Z313" s="1">
        <v>13</v>
      </c>
      <c r="AA313">
        <v>87</v>
      </c>
      <c r="AB313">
        <v>0.14940000000000001</v>
      </c>
      <c r="AC313">
        <v>14</v>
      </c>
      <c r="AD313">
        <v>90</v>
      </c>
      <c r="AE313">
        <v>0.15559999999999999</v>
      </c>
      <c r="AF313" t="s">
        <v>2589</v>
      </c>
      <c r="AG313" t="s">
        <v>2589</v>
      </c>
    </row>
    <row r="314" spans="1:33">
      <c r="A314" s="2" t="s">
        <v>139</v>
      </c>
      <c r="B314" s="2" t="s">
        <v>95</v>
      </c>
      <c r="C314" s="1">
        <v>0.52583481399999998</v>
      </c>
      <c r="D314">
        <v>0.65097824800000004</v>
      </c>
      <c r="E314">
        <v>0.65942698399999999</v>
      </c>
      <c r="F314" s="1" t="s">
        <v>140</v>
      </c>
      <c r="G314" s="1">
        <v>1.123169681</v>
      </c>
      <c r="H314" s="1">
        <v>56.5</v>
      </c>
      <c r="I314" s="1">
        <v>116.1</v>
      </c>
      <c r="J314" s="1">
        <v>0.61208001533333334</v>
      </c>
      <c r="K314" s="1">
        <v>0.59462093100000002</v>
      </c>
      <c r="L314" s="1">
        <v>0.68038960500000001</v>
      </c>
      <c r="M314" s="3">
        <v>0.72533004899999998</v>
      </c>
      <c r="N314" s="1" t="s">
        <v>96</v>
      </c>
      <c r="O314" s="1">
        <v>1.9717647060000001</v>
      </c>
      <c r="P314" s="1">
        <v>34.6</v>
      </c>
      <c r="Q314" s="1">
        <v>42.5</v>
      </c>
      <c r="R314" s="1">
        <v>0.66678019499999996</v>
      </c>
      <c r="S314" s="1">
        <v>9.969840414426584E-2</v>
      </c>
      <c r="T314" t="s">
        <v>461</v>
      </c>
      <c r="U314" s="1">
        <v>647</v>
      </c>
      <c r="V314">
        <f t="shared" si="16"/>
        <v>0.31232269785207784</v>
      </c>
      <c r="W314" s="1">
        <f t="shared" si="17"/>
        <v>21.9</v>
      </c>
      <c r="X314">
        <f t="shared" si="18"/>
        <v>0.84859502500000006</v>
      </c>
      <c r="Y314">
        <f t="shared" si="19"/>
        <v>73.599999999999994</v>
      </c>
      <c r="Z314" s="1">
        <v>2</v>
      </c>
      <c r="AA314">
        <v>98</v>
      </c>
      <c r="AB314">
        <v>2.0400000000000001E-2</v>
      </c>
      <c r="AC314">
        <v>2</v>
      </c>
      <c r="AD314">
        <v>108</v>
      </c>
      <c r="AE314">
        <v>1.8499999999999999E-2</v>
      </c>
      <c r="AF314" t="s">
        <v>2589</v>
      </c>
      <c r="AG314" t="s">
        <v>2593</v>
      </c>
    </row>
    <row r="315" spans="1:33">
      <c r="A315" s="2" t="s">
        <v>139</v>
      </c>
      <c r="B315" s="2" t="s">
        <v>97</v>
      </c>
      <c r="C315" s="1">
        <v>0.52583481399999998</v>
      </c>
      <c r="D315">
        <v>0.65097824800000004</v>
      </c>
      <c r="E315">
        <v>0.65942698399999999</v>
      </c>
      <c r="F315" s="1" t="s">
        <v>140</v>
      </c>
      <c r="G315" s="1">
        <v>1.123169681</v>
      </c>
      <c r="H315" s="1">
        <v>56.5</v>
      </c>
      <c r="I315" s="1">
        <v>116.1</v>
      </c>
      <c r="J315" s="1">
        <v>0.61208001533333334</v>
      </c>
      <c r="K315" s="1">
        <v>0.63674842300000001</v>
      </c>
      <c r="L315" s="1">
        <v>0.68532635500000005</v>
      </c>
      <c r="M315" s="3">
        <v>0.727031494</v>
      </c>
      <c r="N315" s="1" t="s">
        <v>98</v>
      </c>
      <c r="O315" s="1">
        <v>2.360103627</v>
      </c>
      <c r="P315" s="1">
        <v>36.799999999999997</v>
      </c>
      <c r="Q315" s="1">
        <v>38.6</v>
      </c>
      <c r="R315" s="1">
        <v>0.68303542400000017</v>
      </c>
      <c r="S315" s="1">
        <v>0.1343576975399193</v>
      </c>
      <c r="T315" t="s">
        <v>462</v>
      </c>
      <c r="U315" s="1">
        <v>610</v>
      </c>
      <c r="V315">
        <f t="shared" si="16"/>
        <v>0.30948109277897412</v>
      </c>
      <c r="W315" s="1">
        <f t="shared" si="17"/>
        <v>19.700000000000003</v>
      </c>
      <c r="X315">
        <f t="shared" si="18"/>
        <v>1.236933946</v>
      </c>
      <c r="Y315">
        <f t="shared" si="19"/>
        <v>77.5</v>
      </c>
      <c r="Z315" s="1">
        <v>2</v>
      </c>
      <c r="AA315">
        <v>98</v>
      </c>
      <c r="AB315">
        <v>2.0400000000000001E-2</v>
      </c>
      <c r="AC315">
        <v>2</v>
      </c>
      <c r="AD315">
        <v>108</v>
      </c>
      <c r="AE315">
        <v>1.8499999999999999E-2</v>
      </c>
      <c r="AF315" t="s">
        <v>2589</v>
      </c>
      <c r="AG315" t="s">
        <v>2593</v>
      </c>
    </row>
    <row r="316" spans="1:33">
      <c r="A316" s="2" t="s">
        <v>139</v>
      </c>
      <c r="B316" s="2" t="s">
        <v>99</v>
      </c>
      <c r="C316" s="1">
        <v>0.52583481399999998</v>
      </c>
      <c r="D316">
        <v>0.65097824800000004</v>
      </c>
      <c r="E316">
        <v>0.65942698399999999</v>
      </c>
      <c r="F316" s="1" t="s">
        <v>140</v>
      </c>
      <c r="G316" s="1">
        <v>1.123169681</v>
      </c>
      <c r="H316" s="1">
        <v>56.5</v>
      </c>
      <c r="I316" s="1">
        <v>116.1</v>
      </c>
      <c r="J316" s="1">
        <v>0.61208001533333334</v>
      </c>
      <c r="K316" s="1">
        <v>0.52525630099999998</v>
      </c>
      <c r="L316" s="1">
        <v>0.68706170200000005</v>
      </c>
      <c r="M316" s="3">
        <v>0.71473597300000002</v>
      </c>
      <c r="N316" s="1" t="s">
        <v>100</v>
      </c>
      <c r="O316" s="1">
        <v>1.72605042</v>
      </c>
      <c r="P316" s="1">
        <v>46.5</v>
      </c>
      <c r="Q316" s="1">
        <v>59.5</v>
      </c>
      <c r="R316" s="1">
        <v>0.64235132533333339</v>
      </c>
      <c r="S316" s="1">
        <v>6.6041158333749794E-2</v>
      </c>
      <c r="T316" t="s">
        <v>463</v>
      </c>
      <c r="U316" s="1">
        <v>23962</v>
      </c>
      <c r="V316">
        <f t="shared" si="16"/>
        <v>0.48661367375895043</v>
      </c>
      <c r="W316" s="1">
        <f t="shared" si="17"/>
        <v>10</v>
      </c>
      <c r="X316">
        <f t="shared" si="18"/>
        <v>0.60288073899999994</v>
      </c>
      <c r="Y316">
        <f t="shared" si="19"/>
        <v>56.599999999999994</v>
      </c>
      <c r="Z316" s="1">
        <v>0</v>
      </c>
      <c r="AA316">
        <v>100</v>
      </c>
      <c r="AB316">
        <v>0</v>
      </c>
      <c r="AC316">
        <v>0</v>
      </c>
      <c r="AD316">
        <v>112</v>
      </c>
      <c r="AE316">
        <v>0</v>
      </c>
      <c r="AF316" t="s">
        <v>2589</v>
      </c>
      <c r="AG316" t="s">
        <v>2589</v>
      </c>
    </row>
    <row r="317" spans="1:33">
      <c r="A317" s="2" t="s">
        <v>139</v>
      </c>
      <c r="B317" s="2" t="s">
        <v>148</v>
      </c>
      <c r="C317" s="1">
        <v>0.52583481399999998</v>
      </c>
      <c r="D317">
        <v>0.65097824800000004</v>
      </c>
      <c r="E317">
        <v>0.65942698399999999</v>
      </c>
      <c r="F317" s="1" t="s">
        <v>140</v>
      </c>
      <c r="G317" s="1">
        <v>1.123169681</v>
      </c>
      <c r="H317" s="1">
        <v>56.5</v>
      </c>
      <c r="I317" s="1">
        <v>116.1</v>
      </c>
      <c r="J317" s="1">
        <v>0.61208001533333334</v>
      </c>
      <c r="K317" s="1">
        <v>0.52246277500000005</v>
      </c>
      <c r="L317" s="1">
        <v>0.64036274199999998</v>
      </c>
      <c r="M317" s="3">
        <v>0.62317592099999997</v>
      </c>
      <c r="N317" s="1" t="s">
        <v>149</v>
      </c>
      <c r="O317" s="1">
        <v>1.201000834</v>
      </c>
      <c r="P317" s="1">
        <v>59.2</v>
      </c>
      <c r="Q317" s="1">
        <v>119.9</v>
      </c>
      <c r="R317" s="1">
        <v>0.59533381266666663</v>
      </c>
      <c r="S317" s="1">
        <v>3.7923596655427196E-2</v>
      </c>
      <c r="T317" t="s">
        <v>483</v>
      </c>
      <c r="U317" s="1">
        <v>11505</v>
      </c>
      <c r="V317">
        <f t="shared" si="16"/>
        <v>0.45120962477829579</v>
      </c>
      <c r="W317" s="1">
        <f t="shared" si="17"/>
        <v>2.7000000000000028</v>
      </c>
      <c r="X317">
        <f t="shared" si="18"/>
        <v>7.7831152999999986E-2</v>
      </c>
      <c r="Y317">
        <f t="shared" si="19"/>
        <v>3.8000000000000114</v>
      </c>
      <c r="Z317" s="1">
        <v>18</v>
      </c>
      <c r="AA317">
        <v>82</v>
      </c>
      <c r="AB317">
        <v>0.2195</v>
      </c>
      <c r="AC317">
        <v>19</v>
      </c>
      <c r="AD317">
        <v>88</v>
      </c>
      <c r="AE317">
        <v>0.21590000000000001</v>
      </c>
      <c r="AF317" t="s">
        <v>2589</v>
      </c>
      <c r="AG317" t="s">
        <v>2589</v>
      </c>
    </row>
    <row r="318" spans="1:33">
      <c r="A318" s="2" t="s">
        <v>139</v>
      </c>
      <c r="B318" s="2" t="s">
        <v>101</v>
      </c>
      <c r="C318" s="1">
        <v>0.52583481399999998</v>
      </c>
      <c r="D318">
        <v>0.65097824800000004</v>
      </c>
      <c r="E318">
        <v>0.65942698399999999</v>
      </c>
      <c r="F318" s="1" t="s">
        <v>140</v>
      </c>
      <c r="G318" s="1">
        <v>1.123169681</v>
      </c>
      <c r="H318" s="1">
        <v>56.5</v>
      </c>
      <c r="I318" s="1">
        <v>116.1</v>
      </c>
      <c r="J318" s="1">
        <v>0.61208001533333334</v>
      </c>
      <c r="K318" s="1">
        <v>0.57277697599999999</v>
      </c>
      <c r="L318" s="1">
        <v>0.64568820599999999</v>
      </c>
      <c r="M318" s="3">
        <v>0.70909993500000001</v>
      </c>
      <c r="N318" s="1" t="s">
        <v>102</v>
      </c>
      <c r="O318" s="1">
        <v>1.2818181820000001</v>
      </c>
      <c r="P318" s="1">
        <v>58</v>
      </c>
      <c r="Q318" s="1">
        <v>110</v>
      </c>
      <c r="R318" s="1">
        <v>0.64252170566666666</v>
      </c>
      <c r="S318" s="1">
        <v>6.8548910849439551E-2</v>
      </c>
      <c r="T318" t="s">
        <v>464</v>
      </c>
      <c r="U318" s="1">
        <v>56272</v>
      </c>
      <c r="V318">
        <f t="shared" si="16"/>
        <v>0.52781026121920749</v>
      </c>
      <c r="W318" s="1">
        <f t="shared" si="17"/>
        <v>1.5</v>
      </c>
      <c r="X318">
        <f t="shared" si="18"/>
        <v>0.15864850100000005</v>
      </c>
      <c r="Y318">
        <f t="shared" si="19"/>
        <v>6.0999999999999943</v>
      </c>
      <c r="Z318" s="1">
        <v>22</v>
      </c>
      <c r="AA318">
        <v>78</v>
      </c>
      <c r="AB318">
        <v>0.28210000000000002</v>
      </c>
      <c r="AC318">
        <v>23</v>
      </c>
      <c r="AD318">
        <v>82</v>
      </c>
      <c r="AE318">
        <v>0.28050000000000003</v>
      </c>
      <c r="AF318" t="s">
        <v>2589</v>
      </c>
      <c r="AG318" t="s">
        <v>2589</v>
      </c>
    </row>
    <row r="319" spans="1:33">
      <c r="A319" s="2" t="s">
        <v>139</v>
      </c>
      <c r="B319" s="2" t="s">
        <v>103</v>
      </c>
      <c r="C319" s="1">
        <v>0.52583481399999998</v>
      </c>
      <c r="D319">
        <v>0.65097824800000004</v>
      </c>
      <c r="E319">
        <v>0.65942698399999999</v>
      </c>
      <c r="F319" s="1" t="s">
        <v>140</v>
      </c>
      <c r="G319" s="1">
        <v>1.123169681</v>
      </c>
      <c r="H319" s="1">
        <v>56.5</v>
      </c>
      <c r="I319" s="1">
        <v>116.1</v>
      </c>
      <c r="J319" s="1">
        <v>0.61208001533333334</v>
      </c>
      <c r="K319" s="1">
        <v>0.58538445800000005</v>
      </c>
      <c r="L319" s="1">
        <v>0.70461059999999998</v>
      </c>
      <c r="M319" s="3">
        <v>0.67846608399999997</v>
      </c>
      <c r="N319" s="1" t="s">
        <v>104</v>
      </c>
      <c r="O319" s="1">
        <v>1.1020080320000001</v>
      </c>
      <c r="P319" s="1">
        <v>58.7</v>
      </c>
      <c r="Q319" s="1">
        <v>124.5</v>
      </c>
      <c r="R319" s="1">
        <v>0.65615371400000011</v>
      </c>
      <c r="S319" s="1">
        <v>8.2371576471430008E-2</v>
      </c>
      <c r="T319" t="s">
        <v>465</v>
      </c>
      <c r="U319" s="1">
        <v>10405</v>
      </c>
      <c r="V319">
        <f t="shared" si="16"/>
        <v>0.44636023161640509</v>
      </c>
      <c r="W319" s="1">
        <f t="shared" si="17"/>
        <v>2.2000000000000028</v>
      </c>
      <c r="X319">
        <f t="shared" si="18"/>
        <v>2.1161648999999949E-2</v>
      </c>
      <c r="Y319">
        <f t="shared" si="19"/>
        <v>8.4000000000000057</v>
      </c>
      <c r="Z319" s="1">
        <v>2</v>
      </c>
      <c r="AA319">
        <v>98</v>
      </c>
      <c r="AB319">
        <v>2.0400000000000001E-2</v>
      </c>
      <c r="AC319">
        <v>2</v>
      </c>
      <c r="AD319">
        <v>104</v>
      </c>
      <c r="AE319">
        <v>1.9199999999999998E-2</v>
      </c>
      <c r="AF319" t="s">
        <v>2589</v>
      </c>
      <c r="AG319" t="s">
        <v>2589</v>
      </c>
    </row>
    <row r="320" spans="1:33">
      <c r="A320" s="2" t="s">
        <v>139</v>
      </c>
      <c r="B320" s="2" t="s">
        <v>105</v>
      </c>
      <c r="C320" s="1">
        <v>0.52583481399999998</v>
      </c>
      <c r="D320">
        <v>0.65097824800000004</v>
      </c>
      <c r="E320">
        <v>0.65942698399999999</v>
      </c>
      <c r="F320" s="1" t="s">
        <v>140</v>
      </c>
      <c r="G320" s="1">
        <v>1.123169681</v>
      </c>
      <c r="H320" s="1">
        <v>56.5</v>
      </c>
      <c r="I320" s="1">
        <v>116.1</v>
      </c>
      <c r="J320" s="1">
        <v>0.61208001533333334</v>
      </c>
      <c r="K320" s="1">
        <v>0.56210716000000005</v>
      </c>
      <c r="L320" s="1">
        <v>0.68032504299999996</v>
      </c>
      <c r="M320" s="3">
        <v>0.71115907899999997</v>
      </c>
      <c r="N320" s="1" t="s">
        <v>106</v>
      </c>
      <c r="O320" s="1">
        <v>1.0978593270000001</v>
      </c>
      <c r="P320" s="1">
        <v>43.5</v>
      </c>
      <c r="Q320" s="1">
        <v>98.1</v>
      </c>
      <c r="R320" s="1">
        <v>0.65119709399999992</v>
      </c>
      <c r="S320" s="1">
        <v>6.9664389139679997E-2</v>
      </c>
      <c r="T320" t="s">
        <v>466</v>
      </c>
      <c r="U320" s="1">
        <v>20886</v>
      </c>
      <c r="V320">
        <f t="shared" si="16"/>
        <v>0.47998391929643691</v>
      </c>
      <c r="W320" s="1">
        <f t="shared" si="17"/>
        <v>13</v>
      </c>
      <c r="X320">
        <f t="shared" si="18"/>
        <v>2.5310353999999924E-2</v>
      </c>
      <c r="Y320">
        <f t="shared" si="19"/>
        <v>18</v>
      </c>
      <c r="Z320" s="1">
        <v>2</v>
      </c>
      <c r="AA320">
        <v>98</v>
      </c>
      <c r="AB320">
        <v>2.0400000000000001E-2</v>
      </c>
      <c r="AC320">
        <v>2</v>
      </c>
      <c r="AD320">
        <v>122</v>
      </c>
      <c r="AE320">
        <v>1.6400000000000001E-2</v>
      </c>
      <c r="AF320" t="s">
        <v>2589</v>
      </c>
      <c r="AG320" t="s">
        <v>2589</v>
      </c>
    </row>
    <row r="321" spans="1:33">
      <c r="A321" s="2" t="s">
        <v>139</v>
      </c>
      <c r="B321" s="2" t="s">
        <v>107</v>
      </c>
      <c r="C321" s="1">
        <v>0.52583481399999998</v>
      </c>
      <c r="D321">
        <v>0.65097824800000004</v>
      </c>
      <c r="E321">
        <v>0.65942698399999999</v>
      </c>
      <c r="F321" s="1" t="s">
        <v>140</v>
      </c>
      <c r="G321" s="1">
        <v>1.123169681</v>
      </c>
      <c r="H321" s="1">
        <v>56.5</v>
      </c>
      <c r="I321" s="1">
        <v>116.1</v>
      </c>
      <c r="J321" s="1">
        <v>0.61208001533333334</v>
      </c>
      <c r="K321" s="1">
        <v>0.61734740899999996</v>
      </c>
      <c r="L321" s="1">
        <v>0.68293216999999995</v>
      </c>
      <c r="M321" s="3">
        <v>0.69981194099999999</v>
      </c>
      <c r="N321" s="1" t="s">
        <v>108</v>
      </c>
      <c r="O321" s="1">
        <v>2</v>
      </c>
      <c r="P321" s="1">
        <v>19</v>
      </c>
      <c r="Q321" s="1">
        <v>21.1</v>
      </c>
      <c r="R321" s="1">
        <v>0.66669717333333323</v>
      </c>
      <c r="S321" s="1">
        <v>0.10500739462870197</v>
      </c>
      <c r="T321" t="s">
        <v>467</v>
      </c>
      <c r="U321" s="1">
        <v>1666</v>
      </c>
      <c r="V321">
        <f t="shared" si="16"/>
        <v>0.35796388856341876</v>
      </c>
      <c r="W321" s="1">
        <f t="shared" si="17"/>
        <v>37.5</v>
      </c>
      <c r="X321">
        <f t="shared" si="18"/>
        <v>0.87683031899999997</v>
      </c>
      <c r="Y321">
        <f t="shared" si="19"/>
        <v>95</v>
      </c>
      <c r="Z321" s="1">
        <v>0</v>
      </c>
      <c r="AA321">
        <v>100</v>
      </c>
      <c r="AB321">
        <v>0</v>
      </c>
      <c r="AC321">
        <v>1</v>
      </c>
      <c r="AD321">
        <v>99</v>
      </c>
      <c r="AE321">
        <v>1.01E-2</v>
      </c>
      <c r="AF321" t="s">
        <v>2589</v>
      </c>
      <c r="AG321" t="s">
        <v>2588</v>
      </c>
    </row>
    <row r="322" spans="1:33">
      <c r="A322" s="2" t="s">
        <v>139</v>
      </c>
      <c r="B322" s="2" t="s">
        <v>109</v>
      </c>
      <c r="C322" s="1">
        <v>0.52583481399999998</v>
      </c>
      <c r="D322">
        <v>0.65097824800000004</v>
      </c>
      <c r="E322">
        <v>0.65942698399999999</v>
      </c>
      <c r="F322" s="1" t="s">
        <v>140</v>
      </c>
      <c r="G322" s="1">
        <v>1.123169681</v>
      </c>
      <c r="H322" s="1">
        <v>56.5</v>
      </c>
      <c r="I322" s="1">
        <v>116.1</v>
      </c>
      <c r="J322" s="1">
        <v>0.61208001533333334</v>
      </c>
      <c r="K322" s="1">
        <v>0.51638908800000005</v>
      </c>
      <c r="L322" s="1">
        <v>0.68684605300000001</v>
      </c>
      <c r="M322" s="3">
        <v>0.66065444600000001</v>
      </c>
      <c r="N322" s="1" t="s">
        <v>110</v>
      </c>
      <c r="O322" s="1">
        <v>1.2897862229999999</v>
      </c>
      <c r="P322" s="1">
        <v>49.4</v>
      </c>
      <c r="Q322" s="1">
        <v>84.2</v>
      </c>
      <c r="R322" s="1">
        <v>0.62129652899999999</v>
      </c>
      <c r="S322" s="1">
        <v>3.7111020440652689E-2</v>
      </c>
      <c r="T322" t="s">
        <v>468</v>
      </c>
      <c r="U322" s="1">
        <v>12581</v>
      </c>
      <c r="V322">
        <f t="shared" ref="V322:V385" si="20">LOG10(U322) / 9</f>
        <v>0.45552390692789158</v>
      </c>
      <c r="W322" s="1">
        <f t="shared" ref="W322:W385" si="21">ABS(H322-P322)</f>
        <v>7.1000000000000014</v>
      </c>
      <c r="X322">
        <f t="shared" ref="X322:X385" si="22">ABS(G322-O322)</f>
        <v>0.16661654199999987</v>
      </c>
      <c r="Y322">
        <f t="shared" ref="Y322:Y385" si="23">ABS(I322-Q322)</f>
        <v>31.899999999999991</v>
      </c>
      <c r="Z322" s="1">
        <v>17</v>
      </c>
      <c r="AA322">
        <v>83</v>
      </c>
      <c r="AB322">
        <v>0.20480000000000001</v>
      </c>
      <c r="AC322">
        <v>24</v>
      </c>
      <c r="AD322">
        <v>97</v>
      </c>
      <c r="AE322">
        <v>0.24740000000000001</v>
      </c>
      <c r="AF322" t="s">
        <v>2589</v>
      </c>
      <c r="AG322" t="s">
        <v>2589</v>
      </c>
    </row>
    <row r="323" spans="1:33">
      <c r="A323" s="2" t="s">
        <v>139</v>
      </c>
      <c r="B323" s="2" t="s">
        <v>111</v>
      </c>
      <c r="C323" s="1">
        <v>0.52583481399999998</v>
      </c>
      <c r="D323">
        <v>0.65097824800000004</v>
      </c>
      <c r="E323">
        <v>0.65942698399999999</v>
      </c>
      <c r="F323" s="1" t="s">
        <v>140</v>
      </c>
      <c r="G323" s="1">
        <v>1.123169681</v>
      </c>
      <c r="H323" s="1">
        <v>56.5</v>
      </c>
      <c r="I323" s="1">
        <v>116.1</v>
      </c>
      <c r="J323" s="1">
        <v>0.61208001533333334</v>
      </c>
      <c r="K323" s="1">
        <v>0.60132418300000001</v>
      </c>
      <c r="L323" s="1">
        <v>0.67605095299999995</v>
      </c>
      <c r="M323" s="3">
        <v>0.74222981799999999</v>
      </c>
      <c r="N323" s="1" t="s">
        <v>112</v>
      </c>
      <c r="O323" s="1">
        <v>1.561403509</v>
      </c>
      <c r="P323" s="1">
        <v>30</v>
      </c>
      <c r="Q323" s="1">
        <v>45.6</v>
      </c>
      <c r="R323" s="1">
        <v>0.67320165133333332</v>
      </c>
      <c r="S323" s="1">
        <v>0.11481983577094483</v>
      </c>
      <c r="T323" t="s">
        <v>469</v>
      </c>
      <c r="U323" s="1">
        <v>2420</v>
      </c>
      <c r="V323">
        <f t="shared" si="20"/>
        <v>0.37597948510893681</v>
      </c>
      <c r="W323" s="1">
        <f t="shared" si="21"/>
        <v>26.5</v>
      </c>
      <c r="X323">
        <f t="shared" si="22"/>
        <v>0.43823382799999999</v>
      </c>
      <c r="Y323">
        <f t="shared" si="23"/>
        <v>70.5</v>
      </c>
      <c r="Z323" s="1">
        <v>3</v>
      </c>
      <c r="AA323">
        <v>97</v>
      </c>
      <c r="AB323">
        <v>3.09E-2</v>
      </c>
      <c r="AC323">
        <v>4</v>
      </c>
      <c r="AD323">
        <v>112</v>
      </c>
      <c r="AE323">
        <v>3.5700000000000003E-2</v>
      </c>
      <c r="AF323" t="s">
        <v>2589</v>
      </c>
      <c r="AG323" t="s">
        <v>2591</v>
      </c>
    </row>
    <row r="324" spans="1:33">
      <c r="A324" s="2" t="s">
        <v>139</v>
      </c>
      <c r="B324" s="2" t="s">
        <v>113</v>
      </c>
      <c r="C324" s="1">
        <v>0.52583481399999998</v>
      </c>
      <c r="D324">
        <v>0.65097824800000004</v>
      </c>
      <c r="E324">
        <v>0.65942698399999999</v>
      </c>
      <c r="F324" s="1" t="s">
        <v>140</v>
      </c>
      <c r="G324" s="1">
        <v>1.123169681</v>
      </c>
      <c r="H324" s="1">
        <v>56.5</v>
      </c>
      <c r="I324" s="1">
        <v>116.1</v>
      </c>
      <c r="J324" s="1">
        <v>0.61208001533333334</v>
      </c>
      <c r="K324" s="1">
        <v>0.57440698499999998</v>
      </c>
      <c r="L324" s="1">
        <v>0.66920790399999996</v>
      </c>
      <c r="M324" s="3">
        <v>0.71602402300000001</v>
      </c>
      <c r="N324" s="1" t="s">
        <v>114</v>
      </c>
      <c r="O324" s="1">
        <v>2.5573248409999998</v>
      </c>
      <c r="P324" s="1">
        <v>34.299999999999997</v>
      </c>
      <c r="Q324" s="1">
        <v>31.4</v>
      </c>
      <c r="R324" s="1">
        <v>0.65321297066666661</v>
      </c>
      <c r="S324" s="1">
        <v>7.6777607263440406E-2</v>
      </c>
      <c r="T324" t="s">
        <v>470</v>
      </c>
      <c r="U324" s="1">
        <v>3706</v>
      </c>
      <c r="V324">
        <f t="shared" si="20"/>
        <v>0.39654504610920877</v>
      </c>
      <c r="W324" s="1">
        <f t="shared" si="21"/>
        <v>22.200000000000003</v>
      </c>
      <c r="X324">
        <f t="shared" si="22"/>
        <v>1.4341551599999998</v>
      </c>
      <c r="Y324">
        <f t="shared" si="23"/>
        <v>84.699999999999989</v>
      </c>
      <c r="Z324" s="1">
        <v>1</v>
      </c>
      <c r="AA324">
        <v>99</v>
      </c>
      <c r="AB324">
        <v>1.01E-2</v>
      </c>
      <c r="AC324">
        <v>1</v>
      </c>
      <c r="AD324">
        <v>109</v>
      </c>
      <c r="AE324">
        <v>9.1999999999999998E-3</v>
      </c>
      <c r="AF324" t="s">
        <v>2589</v>
      </c>
      <c r="AG324" t="s">
        <v>2593</v>
      </c>
    </row>
    <row r="325" spans="1:33">
      <c r="A325" s="2" t="s">
        <v>139</v>
      </c>
      <c r="B325" s="2" t="s">
        <v>115</v>
      </c>
      <c r="C325" s="1">
        <v>0.52583481399999998</v>
      </c>
      <c r="D325">
        <v>0.65097824800000004</v>
      </c>
      <c r="E325">
        <v>0.65942698399999999</v>
      </c>
      <c r="F325" s="1" t="s">
        <v>140</v>
      </c>
      <c r="G325" s="1">
        <v>1.123169681</v>
      </c>
      <c r="H325" s="1">
        <v>56.5</v>
      </c>
      <c r="I325" s="1">
        <v>116.1</v>
      </c>
      <c r="J325" s="1">
        <v>0.61208001533333334</v>
      </c>
      <c r="K325" s="1">
        <v>0.55237211100000005</v>
      </c>
      <c r="L325" s="1">
        <v>0.65961031000000003</v>
      </c>
      <c r="M325" s="3">
        <v>0.69215541599999997</v>
      </c>
      <c r="N325" s="1" t="s">
        <v>116</v>
      </c>
      <c r="O325" s="1">
        <v>1.149700599</v>
      </c>
      <c r="P325" s="1">
        <v>66.900000000000006</v>
      </c>
      <c r="Q325" s="1">
        <v>133.6</v>
      </c>
      <c r="R325" s="1">
        <v>0.63471261233333331</v>
      </c>
      <c r="S325" s="1">
        <v>4.3010357910818163E-2</v>
      </c>
      <c r="T325" t="s">
        <v>471</v>
      </c>
      <c r="U325" s="1">
        <v>12880</v>
      </c>
      <c r="V325">
        <f t="shared" si="20"/>
        <v>0.45665731811375476</v>
      </c>
      <c r="W325" s="1">
        <f t="shared" si="21"/>
        <v>10.400000000000006</v>
      </c>
      <c r="X325">
        <f t="shared" si="22"/>
        <v>2.6530917999999959E-2</v>
      </c>
      <c r="Y325">
        <f t="shared" si="23"/>
        <v>17.5</v>
      </c>
      <c r="Z325" s="1">
        <v>10</v>
      </c>
      <c r="AA325">
        <v>90</v>
      </c>
      <c r="AB325">
        <v>0.1111</v>
      </c>
      <c r="AC325">
        <v>12</v>
      </c>
      <c r="AD325">
        <v>103</v>
      </c>
      <c r="AE325">
        <v>0.11650000000000001</v>
      </c>
      <c r="AF325" t="s">
        <v>2589</v>
      </c>
      <c r="AG325" t="s">
        <v>2589</v>
      </c>
    </row>
    <row r="326" spans="1:33">
      <c r="A326" s="2" t="s">
        <v>139</v>
      </c>
      <c r="B326" s="2" t="s">
        <v>117</v>
      </c>
      <c r="C326" s="1">
        <v>0.52583481399999998</v>
      </c>
      <c r="D326">
        <v>0.65097824800000004</v>
      </c>
      <c r="E326">
        <v>0.65942698399999999</v>
      </c>
      <c r="F326" s="1" t="s">
        <v>140</v>
      </c>
      <c r="G326" s="1">
        <v>1.123169681</v>
      </c>
      <c r="H326" s="1">
        <v>56.5</v>
      </c>
      <c r="I326" s="1">
        <v>116.1</v>
      </c>
      <c r="J326" s="1">
        <v>0.61208001533333334</v>
      </c>
      <c r="K326" s="1">
        <v>0.52788907299999999</v>
      </c>
      <c r="L326" s="1">
        <v>0.665074418</v>
      </c>
      <c r="M326" s="3">
        <v>0.69056128699999997</v>
      </c>
      <c r="N326" s="1" t="s">
        <v>118</v>
      </c>
      <c r="O326" s="1">
        <v>1.0818253339999999</v>
      </c>
      <c r="P326" s="1">
        <v>58.4</v>
      </c>
      <c r="Q326" s="1">
        <v>127.1</v>
      </c>
      <c r="R326" s="1">
        <v>0.62784159266666661</v>
      </c>
      <c r="S326" s="1">
        <v>3.4238382146412637E-2</v>
      </c>
      <c r="T326" t="s">
        <v>472</v>
      </c>
      <c r="U326" s="1">
        <v>21111</v>
      </c>
      <c r="V326">
        <f t="shared" si="20"/>
        <v>0.48050097841633982</v>
      </c>
      <c r="W326" s="1">
        <f t="shared" si="21"/>
        <v>1.8999999999999986</v>
      </c>
      <c r="X326">
        <f t="shared" si="22"/>
        <v>4.1344347000000115E-2</v>
      </c>
      <c r="Y326">
        <f t="shared" si="23"/>
        <v>11</v>
      </c>
      <c r="Z326" s="1">
        <v>12</v>
      </c>
      <c r="AA326">
        <v>88</v>
      </c>
      <c r="AB326">
        <v>0.13639999999999999</v>
      </c>
      <c r="AC326">
        <v>17</v>
      </c>
      <c r="AD326">
        <v>110</v>
      </c>
      <c r="AE326">
        <v>0.1545</v>
      </c>
      <c r="AF326" t="s">
        <v>2589</v>
      </c>
      <c r="AG326" t="s">
        <v>2589</v>
      </c>
    </row>
    <row r="327" spans="1:33">
      <c r="A327" s="2" t="s">
        <v>139</v>
      </c>
      <c r="B327" s="2" t="s">
        <v>119</v>
      </c>
      <c r="C327" s="1">
        <v>0.52583481399999998</v>
      </c>
      <c r="D327">
        <v>0.65097824800000004</v>
      </c>
      <c r="E327">
        <v>0.65942698399999999</v>
      </c>
      <c r="F327" s="1" t="s">
        <v>140</v>
      </c>
      <c r="G327" s="1">
        <v>1.123169681</v>
      </c>
      <c r="H327" s="1">
        <v>56.5</v>
      </c>
      <c r="I327" s="1">
        <v>116.1</v>
      </c>
      <c r="J327" s="1">
        <v>0.61208001533333334</v>
      </c>
      <c r="K327" s="1">
        <v>0.48582609999999998</v>
      </c>
      <c r="L327" s="1">
        <v>0.67226483999999997</v>
      </c>
      <c r="M327" s="3">
        <v>0.68571362400000002</v>
      </c>
      <c r="N327" s="1" t="s">
        <v>120</v>
      </c>
      <c r="O327" s="1">
        <v>1.1435028249999999</v>
      </c>
      <c r="P327" s="1">
        <v>42.6</v>
      </c>
      <c r="Q327" s="1">
        <v>88.5</v>
      </c>
      <c r="R327" s="1">
        <v>0.61460152133333334</v>
      </c>
      <c r="S327" s="1">
        <v>5.2390873607889563E-2</v>
      </c>
      <c r="T327" t="s">
        <v>473</v>
      </c>
      <c r="U327" s="1">
        <v>7681</v>
      </c>
      <c r="V327">
        <f t="shared" si="20"/>
        <v>0.43171308501232625</v>
      </c>
      <c r="W327" s="1">
        <f t="shared" si="21"/>
        <v>13.899999999999999</v>
      </c>
      <c r="X327">
        <f t="shared" si="22"/>
        <v>2.0333143999999859E-2</v>
      </c>
      <c r="Y327">
        <f t="shared" si="23"/>
        <v>27.599999999999994</v>
      </c>
      <c r="Z327" s="1">
        <v>11</v>
      </c>
      <c r="AA327">
        <v>89</v>
      </c>
      <c r="AB327">
        <v>0.1236</v>
      </c>
      <c r="AC327">
        <v>15</v>
      </c>
      <c r="AD327">
        <v>100</v>
      </c>
      <c r="AE327">
        <v>0.15</v>
      </c>
      <c r="AF327" t="s">
        <v>2589</v>
      </c>
      <c r="AG327" t="s">
        <v>2589</v>
      </c>
    </row>
    <row r="328" spans="1:33">
      <c r="A328" s="2" t="s">
        <v>139</v>
      </c>
      <c r="B328" s="2" t="s">
        <v>121</v>
      </c>
      <c r="C328" s="1">
        <v>0.52583481399999998</v>
      </c>
      <c r="D328">
        <v>0.65097824800000004</v>
      </c>
      <c r="E328">
        <v>0.65942698399999999</v>
      </c>
      <c r="F328" s="1" t="s">
        <v>140</v>
      </c>
      <c r="G328" s="1">
        <v>1.123169681</v>
      </c>
      <c r="H328" s="1">
        <v>56.5</v>
      </c>
      <c r="I328" s="1">
        <v>116.1</v>
      </c>
      <c r="J328" s="1">
        <v>0.61208001533333334</v>
      </c>
      <c r="K328" s="1">
        <v>0.57363214500000004</v>
      </c>
      <c r="L328" s="1">
        <v>0.65876685800000001</v>
      </c>
      <c r="M328" s="3">
        <v>0.71110834000000001</v>
      </c>
      <c r="N328" s="1" t="s">
        <v>122</v>
      </c>
      <c r="O328" s="1">
        <v>2.4518664050000001</v>
      </c>
      <c r="P328" s="1">
        <v>50.1</v>
      </c>
      <c r="Q328" s="1">
        <v>50.9</v>
      </c>
      <c r="R328" s="1">
        <v>0.64783578100000005</v>
      </c>
      <c r="S328" s="1">
        <v>7.0825206349536346E-2</v>
      </c>
      <c r="T328" t="s">
        <v>474</v>
      </c>
      <c r="U328" s="1">
        <v>2491</v>
      </c>
      <c r="V328">
        <f t="shared" si="20"/>
        <v>0.3773748586151674</v>
      </c>
      <c r="W328" s="1">
        <f t="shared" si="21"/>
        <v>6.3999999999999986</v>
      </c>
      <c r="X328">
        <f t="shared" si="22"/>
        <v>1.3286967240000001</v>
      </c>
      <c r="Y328">
        <f t="shared" si="23"/>
        <v>65.199999999999989</v>
      </c>
      <c r="Z328" s="1">
        <v>3</v>
      </c>
      <c r="AA328">
        <v>97</v>
      </c>
      <c r="AB328">
        <v>3.09E-2</v>
      </c>
      <c r="AC328">
        <v>4</v>
      </c>
      <c r="AD328">
        <v>118</v>
      </c>
      <c r="AE328">
        <v>3.39E-2</v>
      </c>
      <c r="AF328" t="s">
        <v>2589</v>
      </c>
      <c r="AG328" t="s">
        <v>2593</v>
      </c>
    </row>
    <row r="329" spans="1:33">
      <c r="A329" s="2" t="s">
        <v>139</v>
      </c>
      <c r="B329" s="2" t="s">
        <v>123</v>
      </c>
      <c r="C329" s="1">
        <v>0.52583481399999998</v>
      </c>
      <c r="D329">
        <v>0.65097824800000004</v>
      </c>
      <c r="E329">
        <v>0.65942698399999999</v>
      </c>
      <c r="F329" s="1" t="s">
        <v>140</v>
      </c>
      <c r="G329" s="1">
        <v>1.123169681</v>
      </c>
      <c r="H329" s="1">
        <v>56.5</v>
      </c>
      <c r="I329" s="1">
        <v>116.1</v>
      </c>
      <c r="J329" s="1">
        <v>0.61208001533333334</v>
      </c>
      <c r="K329" s="1">
        <v>0.59184352799999995</v>
      </c>
      <c r="L329" s="1">
        <v>0.67011857600000002</v>
      </c>
      <c r="M329" s="3">
        <v>0.74025419199999998</v>
      </c>
      <c r="N329" s="1" t="s">
        <v>124</v>
      </c>
      <c r="O329" s="1">
        <v>1.7166666669999999</v>
      </c>
      <c r="P329" s="1">
        <v>26</v>
      </c>
      <c r="Q329" s="1">
        <v>36</v>
      </c>
      <c r="R329" s="1">
        <v>0.66740543199999991</v>
      </c>
      <c r="S329" s="1">
        <v>0.106096842709652</v>
      </c>
      <c r="T329" t="s">
        <v>475</v>
      </c>
      <c r="U329" s="1">
        <v>1989</v>
      </c>
      <c r="V329">
        <f t="shared" si="20"/>
        <v>0.36651497590271503</v>
      </c>
      <c r="W329" s="1">
        <f t="shared" si="21"/>
        <v>30.5</v>
      </c>
      <c r="X329">
        <f t="shared" si="22"/>
        <v>0.59349698599999989</v>
      </c>
      <c r="Y329">
        <f t="shared" si="23"/>
        <v>80.099999999999994</v>
      </c>
      <c r="Z329" s="1">
        <v>2</v>
      </c>
      <c r="AA329">
        <v>98</v>
      </c>
      <c r="AB329">
        <v>2.0400000000000001E-2</v>
      </c>
      <c r="AC329">
        <v>2</v>
      </c>
      <c r="AD329">
        <v>115</v>
      </c>
      <c r="AE329">
        <v>1.7399999999999999E-2</v>
      </c>
      <c r="AF329" t="s">
        <v>2589</v>
      </c>
      <c r="AG329" t="s">
        <v>2591</v>
      </c>
    </row>
    <row r="330" spans="1:33">
      <c r="A330" s="2" t="s">
        <v>139</v>
      </c>
      <c r="B330" s="2" t="s">
        <v>125</v>
      </c>
      <c r="C330" s="1">
        <v>0.52583481399999998</v>
      </c>
      <c r="D330">
        <v>0.65097824800000004</v>
      </c>
      <c r="E330">
        <v>0.65942698399999999</v>
      </c>
      <c r="F330" s="1" t="s">
        <v>140</v>
      </c>
      <c r="G330" s="1">
        <v>1.123169681</v>
      </c>
      <c r="H330" s="1">
        <v>56.5</v>
      </c>
      <c r="I330" s="1">
        <v>116.1</v>
      </c>
      <c r="J330" s="1">
        <v>0.61208001533333334</v>
      </c>
      <c r="K330" s="1">
        <v>0.611478776</v>
      </c>
      <c r="L330" s="1">
        <v>0.67681801600000002</v>
      </c>
      <c r="M330" s="3">
        <v>0.73326355300000001</v>
      </c>
      <c r="N330" s="1" t="s">
        <v>126</v>
      </c>
      <c r="O330" s="1">
        <v>1.6431372550000001</v>
      </c>
      <c r="P330" s="1">
        <v>35.1</v>
      </c>
      <c r="Q330" s="1">
        <v>51</v>
      </c>
      <c r="R330" s="1">
        <v>0.67385344833333338</v>
      </c>
      <c r="S330" s="1">
        <v>0.11599319272717272</v>
      </c>
      <c r="T330" t="s">
        <v>476</v>
      </c>
      <c r="U330" s="1">
        <v>2069</v>
      </c>
      <c r="V330">
        <f t="shared" si="20"/>
        <v>0.36841783229619274</v>
      </c>
      <c r="W330" s="1">
        <f t="shared" si="21"/>
        <v>21.4</v>
      </c>
      <c r="X330">
        <f t="shared" si="22"/>
        <v>0.51996757400000004</v>
      </c>
      <c r="Y330">
        <f t="shared" si="23"/>
        <v>65.099999999999994</v>
      </c>
      <c r="Z330" s="1">
        <v>3</v>
      </c>
      <c r="AA330">
        <v>97</v>
      </c>
      <c r="AB330">
        <v>3.09E-2</v>
      </c>
      <c r="AC330">
        <v>4</v>
      </c>
      <c r="AD330">
        <v>123</v>
      </c>
      <c r="AE330">
        <v>3.2500000000000001E-2</v>
      </c>
      <c r="AF330" t="s">
        <v>2589</v>
      </c>
      <c r="AG330" t="s">
        <v>2591</v>
      </c>
    </row>
    <row r="331" spans="1:33">
      <c r="A331" s="2" t="s">
        <v>139</v>
      </c>
      <c r="B331" s="2" t="s">
        <v>127</v>
      </c>
      <c r="C331" s="1">
        <v>0.52583481399999998</v>
      </c>
      <c r="D331">
        <v>0.65097824800000004</v>
      </c>
      <c r="E331">
        <v>0.65942698399999999</v>
      </c>
      <c r="F331" s="1" t="s">
        <v>140</v>
      </c>
      <c r="G331" s="1">
        <v>1.123169681</v>
      </c>
      <c r="H331" s="1">
        <v>56.5</v>
      </c>
      <c r="I331" s="1">
        <v>116.1</v>
      </c>
      <c r="J331" s="1">
        <v>0.61208001533333334</v>
      </c>
      <c r="K331" s="1">
        <v>0.50688118500000001</v>
      </c>
      <c r="L331" s="1">
        <v>0.64616698699999997</v>
      </c>
      <c r="M331" s="3">
        <v>0.65580376299999998</v>
      </c>
      <c r="N331" s="1" t="s">
        <v>128</v>
      </c>
      <c r="O331" s="1">
        <v>1.5447714459999999</v>
      </c>
      <c r="P331" s="1">
        <v>98.4</v>
      </c>
      <c r="Q331" s="1">
        <v>159.69999999999999</v>
      </c>
      <c r="R331" s="1">
        <v>0.60295064500000006</v>
      </c>
      <c r="S331" s="1">
        <v>1.9887584445945232E-2</v>
      </c>
      <c r="T331" t="s">
        <v>477</v>
      </c>
      <c r="U331" s="1">
        <v>47226</v>
      </c>
      <c r="V331">
        <f t="shared" si="20"/>
        <v>0.51935346253109671</v>
      </c>
      <c r="W331" s="1">
        <f t="shared" si="21"/>
        <v>41.900000000000006</v>
      </c>
      <c r="X331">
        <f t="shared" si="22"/>
        <v>0.42160176499999991</v>
      </c>
      <c r="Y331">
        <f t="shared" si="23"/>
        <v>43.599999999999994</v>
      </c>
      <c r="Z331" s="1">
        <v>27</v>
      </c>
      <c r="AA331">
        <v>73</v>
      </c>
      <c r="AB331">
        <v>0.36990000000000001</v>
      </c>
      <c r="AC331">
        <v>39</v>
      </c>
      <c r="AD331">
        <v>88</v>
      </c>
      <c r="AE331">
        <v>0.44319999999999998</v>
      </c>
      <c r="AF331" t="s">
        <v>2589</v>
      </c>
      <c r="AG331" t="s">
        <v>2589</v>
      </c>
    </row>
    <row r="332" spans="1:33">
      <c r="A332" s="2" t="s">
        <v>139</v>
      </c>
      <c r="B332" s="2" t="s">
        <v>129</v>
      </c>
      <c r="C332" s="1">
        <v>0.52583481399999998</v>
      </c>
      <c r="D332">
        <v>0.65097824800000004</v>
      </c>
      <c r="E332">
        <v>0.65942698399999999</v>
      </c>
      <c r="F332" s="1" t="s">
        <v>140</v>
      </c>
      <c r="G332" s="1">
        <v>1.123169681</v>
      </c>
      <c r="H332" s="1">
        <v>56.5</v>
      </c>
      <c r="I332" s="1">
        <v>116.1</v>
      </c>
      <c r="J332" s="1">
        <v>0.61208001533333334</v>
      </c>
      <c r="K332" s="1">
        <v>0.50422724299999999</v>
      </c>
      <c r="L332" s="1">
        <v>0.61050655300000001</v>
      </c>
      <c r="M332" s="3">
        <v>0.63007085299999999</v>
      </c>
      <c r="N332" s="1" t="s">
        <v>130</v>
      </c>
      <c r="O332" s="1">
        <v>1.4142988080000001</v>
      </c>
      <c r="P332" s="1">
        <v>58.7</v>
      </c>
      <c r="Q332" s="1">
        <v>109.1</v>
      </c>
      <c r="R332" s="1">
        <v>0.58160154966666655</v>
      </c>
      <c r="S332" s="1">
        <v>5.446675727434331E-2</v>
      </c>
      <c r="T332" t="s">
        <v>478</v>
      </c>
      <c r="U332" s="1">
        <v>9519</v>
      </c>
      <c r="V332">
        <f t="shared" si="20"/>
        <v>0.4420657029800083</v>
      </c>
      <c r="W332" s="1">
        <f t="shared" si="21"/>
        <v>2.2000000000000028</v>
      </c>
      <c r="X332">
        <f t="shared" si="22"/>
        <v>0.29112912700000004</v>
      </c>
      <c r="Y332">
        <f t="shared" si="23"/>
        <v>7</v>
      </c>
      <c r="Z332" s="1">
        <v>15</v>
      </c>
      <c r="AA332">
        <v>85</v>
      </c>
      <c r="AB332">
        <v>0.17649999999999999</v>
      </c>
      <c r="AC332">
        <v>16</v>
      </c>
      <c r="AD332">
        <v>94</v>
      </c>
      <c r="AE332">
        <v>0.17019999999999999</v>
      </c>
      <c r="AF332" t="s">
        <v>2589</v>
      </c>
      <c r="AG332" t="s">
        <v>2593</v>
      </c>
    </row>
    <row r="333" spans="1:33">
      <c r="A333" s="2" t="s">
        <v>139</v>
      </c>
      <c r="B333" s="2" t="s">
        <v>131</v>
      </c>
      <c r="C333" s="1">
        <v>0.52583481399999998</v>
      </c>
      <c r="D333">
        <v>0.65097824800000004</v>
      </c>
      <c r="E333">
        <v>0.65942698399999999</v>
      </c>
      <c r="F333" s="1" t="s">
        <v>140</v>
      </c>
      <c r="G333" s="1">
        <v>1.123169681</v>
      </c>
      <c r="H333" s="1">
        <v>56.5</v>
      </c>
      <c r="I333" s="1">
        <v>116.1</v>
      </c>
      <c r="J333" s="1">
        <v>0.61208001533333334</v>
      </c>
      <c r="K333" s="1">
        <v>0.53830564800000003</v>
      </c>
      <c r="L333" s="1">
        <v>0.65609959100000004</v>
      </c>
      <c r="M333" s="3">
        <v>0.68896664299999999</v>
      </c>
      <c r="N333" s="1" t="s">
        <v>132</v>
      </c>
      <c r="O333" s="1">
        <v>1.0676416820000001</v>
      </c>
      <c r="P333" s="1">
        <v>25</v>
      </c>
      <c r="Q333" s="1">
        <v>54.7</v>
      </c>
      <c r="R333" s="1">
        <v>0.62779062733333335</v>
      </c>
      <c r="S333" s="1">
        <v>3.2470622239425699E-2</v>
      </c>
      <c r="T333" t="s">
        <v>479</v>
      </c>
      <c r="U333" s="1">
        <v>9027</v>
      </c>
      <c r="V333">
        <f t="shared" si="20"/>
        <v>0.43950482693997145</v>
      </c>
      <c r="W333" s="1">
        <f t="shared" si="21"/>
        <v>31.5</v>
      </c>
      <c r="X333">
        <f t="shared" si="22"/>
        <v>5.5527998999999939E-2</v>
      </c>
      <c r="Y333">
        <f t="shared" si="23"/>
        <v>61.399999999999991</v>
      </c>
      <c r="Z333" s="1">
        <v>0</v>
      </c>
      <c r="AA333">
        <v>100</v>
      </c>
      <c r="AB333">
        <v>0</v>
      </c>
      <c r="AC333">
        <v>0</v>
      </c>
      <c r="AD333">
        <v>106</v>
      </c>
      <c r="AE333">
        <v>0</v>
      </c>
      <c r="AF333" t="s">
        <v>2589</v>
      </c>
      <c r="AG333" t="s">
        <v>2589</v>
      </c>
    </row>
    <row r="334" spans="1:33">
      <c r="A334" s="2" t="s">
        <v>139</v>
      </c>
      <c r="B334" s="2" t="s">
        <v>133</v>
      </c>
      <c r="C334" s="1">
        <v>0.52583481399999998</v>
      </c>
      <c r="D334">
        <v>0.65097824800000004</v>
      </c>
      <c r="E334">
        <v>0.65942698399999999</v>
      </c>
      <c r="F334" s="1" t="s">
        <v>140</v>
      </c>
      <c r="G334" s="1">
        <v>1.123169681</v>
      </c>
      <c r="H334" s="1">
        <v>56.5</v>
      </c>
      <c r="I334" s="1">
        <v>116.1</v>
      </c>
      <c r="J334" s="1">
        <v>0.61208001533333334</v>
      </c>
      <c r="K334" s="1">
        <v>0.65296959200000004</v>
      </c>
      <c r="L334" s="1">
        <v>0.71047257900000005</v>
      </c>
      <c r="M334" s="3">
        <v>0.679994718</v>
      </c>
      <c r="N334" s="1" t="s">
        <v>134</v>
      </c>
      <c r="O334" s="1">
        <v>1.3877068560000001</v>
      </c>
      <c r="P334" s="1">
        <v>25.6</v>
      </c>
      <c r="Q334" s="1">
        <v>42.3</v>
      </c>
      <c r="R334" s="1">
        <v>0.6811456296666667</v>
      </c>
      <c r="S334" s="1">
        <v>0.14186563671355237</v>
      </c>
      <c r="T334" t="s">
        <v>480</v>
      </c>
      <c r="U334" s="1">
        <v>3053</v>
      </c>
      <c r="V334">
        <f t="shared" si="20"/>
        <v>0.38719186714429576</v>
      </c>
      <c r="W334" s="1">
        <f t="shared" si="21"/>
        <v>30.9</v>
      </c>
      <c r="X334">
        <f t="shared" si="22"/>
        <v>0.26453717500000007</v>
      </c>
      <c r="Y334">
        <f t="shared" si="23"/>
        <v>73.8</v>
      </c>
      <c r="Z334" s="1">
        <v>1</v>
      </c>
      <c r="AA334">
        <v>99</v>
      </c>
      <c r="AB334">
        <v>1.01E-2</v>
      </c>
      <c r="AC334">
        <v>2</v>
      </c>
      <c r="AD334">
        <v>156</v>
      </c>
      <c r="AE334">
        <v>1.2800000000000001E-2</v>
      </c>
      <c r="AF334" t="s">
        <v>2589</v>
      </c>
      <c r="AG334" t="s">
        <v>2591</v>
      </c>
    </row>
    <row r="335" spans="1:33">
      <c r="A335" s="2" t="s">
        <v>139</v>
      </c>
      <c r="B335" s="2" t="s">
        <v>135</v>
      </c>
      <c r="C335" s="1">
        <v>0.52583481399999998</v>
      </c>
      <c r="D335">
        <v>0.65097824800000004</v>
      </c>
      <c r="E335">
        <v>0.65942698399999999</v>
      </c>
      <c r="F335" s="1" t="s">
        <v>140</v>
      </c>
      <c r="G335" s="1">
        <v>1.123169681</v>
      </c>
      <c r="H335" s="1">
        <v>56.5</v>
      </c>
      <c r="I335" s="1">
        <v>116.1</v>
      </c>
      <c r="J335" s="1">
        <v>0.61208001533333334</v>
      </c>
      <c r="K335" s="1">
        <v>0.62083905900000003</v>
      </c>
      <c r="L335" s="1">
        <v>0.69185057000000005</v>
      </c>
      <c r="M335" s="3">
        <v>0.70435387900000002</v>
      </c>
      <c r="N335" s="1" t="s">
        <v>136</v>
      </c>
      <c r="O335" s="1">
        <v>1.353075171</v>
      </c>
      <c r="P335" s="1">
        <v>25.2</v>
      </c>
      <c r="Q335" s="1">
        <v>43.9</v>
      </c>
      <c r="R335" s="1">
        <v>0.67234783600000003</v>
      </c>
      <c r="S335" s="1">
        <v>0.11275982958497563</v>
      </c>
      <c r="T335" t="s">
        <v>481</v>
      </c>
      <c r="U335" s="1">
        <v>1233</v>
      </c>
      <c r="V335">
        <f t="shared" si="20"/>
        <v>0.34344034184397015</v>
      </c>
      <c r="W335" s="1">
        <f t="shared" si="21"/>
        <v>31.3</v>
      </c>
      <c r="X335">
        <f t="shared" si="22"/>
        <v>0.22990548999999993</v>
      </c>
      <c r="Y335">
        <f t="shared" si="23"/>
        <v>72.199999999999989</v>
      </c>
      <c r="Z335" s="1">
        <v>3</v>
      </c>
      <c r="AA335">
        <v>97</v>
      </c>
      <c r="AB335">
        <v>3.09E-2</v>
      </c>
      <c r="AC335">
        <v>4</v>
      </c>
      <c r="AD335">
        <v>124</v>
      </c>
      <c r="AE335">
        <v>3.2300000000000002E-2</v>
      </c>
      <c r="AF335" t="s">
        <v>2589</v>
      </c>
      <c r="AG335" t="s">
        <v>2591</v>
      </c>
    </row>
    <row r="336" spans="1:33">
      <c r="A336" s="2" t="s">
        <v>139</v>
      </c>
      <c r="B336" s="2" t="s">
        <v>137</v>
      </c>
      <c r="C336" s="1">
        <v>0.52583481399999998</v>
      </c>
      <c r="D336">
        <v>0.65097824800000004</v>
      </c>
      <c r="E336">
        <v>0.65942698399999999</v>
      </c>
      <c r="F336" s="1" t="s">
        <v>140</v>
      </c>
      <c r="G336" s="1">
        <v>1.123169681</v>
      </c>
      <c r="H336" s="1">
        <v>56.5</v>
      </c>
      <c r="I336" s="1">
        <v>116.1</v>
      </c>
      <c r="J336" s="1">
        <v>0.61208001533333334</v>
      </c>
      <c r="K336" s="1">
        <v>0.63291540800000001</v>
      </c>
      <c r="L336" s="1">
        <v>0.77430151800000002</v>
      </c>
      <c r="M336" s="3">
        <v>0.70057116200000003</v>
      </c>
      <c r="N336" s="1" t="s">
        <v>138</v>
      </c>
      <c r="O336" s="1">
        <v>1.1048387099999999</v>
      </c>
      <c r="P336" s="1">
        <v>35.4</v>
      </c>
      <c r="Q336" s="1">
        <v>74.400000000000006</v>
      </c>
      <c r="R336" s="1">
        <v>0.70259602933333332</v>
      </c>
      <c r="S336" s="1">
        <v>0.16842721252274356</v>
      </c>
      <c r="T336" t="s">
        <v>482</v>
      </c>
      <c r="U336" s="1">
        <v>39429</v>
      </c>
      <c r="V336">
        <f t="shared" si="20"/>
        <v>0.51064619584638893</v>
      </c>
      <c r="W336" s="1">
        <f t="shared" si="21"/>
        <v>21.1</v>
      </c>
      <c r="X336">
        <f t="shared" si="22"/>
        <v>1.833097100000014E-2</v>
      </c>
      <c r="Y336">
        <f t="shared" si="23"/>
        <v>41.699999999999989</v>
      </c>
      <c r="Z336" s="1">
        <v>6</v>
      </c>
      <c r="AA336">
        <v>94</v>
      </c>
      <c r="AB336">
        <v>6.3799999999999996E-2</v>
      </c>
      <c r="AC336">
        <v>11</v>
      </c>
      <c r="AD336">
        <v>108</v>
      </c>
      <c r="AE336">
        <v>0.1019</v>
      </c>
      <c r="AF336" t="s">
        <v>2589</v>
      </c>
      <c r="AG336" t="s">
        <v>2589</v>
      </c>
    </row>
    <row r="337" spans="1:33">
      <c r="A337" s="2" t="s">
        <v>137</v>
      </c>
      <c r="B337" s="2" t="s">
        <v>10</v>
      </c>
      <c r="C337" s="1">
        <v>0.63291540800000001</v>
      </c>
      <c r="D337">
        <v>0.77430151800000002</v>
      </c>
      <c r="E337">
        <v>0.70057116200000003</v>
      </c>
      <c r="F337" s="1" t="s">
        <v>138</v>
      </c>
      <c r="G337" s="1">
        <v>1.1048387099999999</v>
      </c>
      <c r="H337" s="1">
        <v>35.4</v>
      </c>
      <c r="I337" s="1">
        <v>74.400000000000006</v>
      </c>
      <c r="J337" s="1">
        <v>0.70259602933333332</v>
      </c>
      <c r="K337" s="1">
        <v>0.52456325500000001</v>
      </c>
      <c r="L337" s="1">
        <v>0.61925627999999999</v>
      </c>
      <c r="M337" s="3">
        <v>0.72111139899999999</v>
      </c>
      <c r="N337" s="1" t="s">
        <v>12</v>
      </c>
      <c r="O337" s="1">
        <v>0.61690647499999995</v>
      </c>
      <c r="P337" s="1">
        <v>30</v>
      </c>
      <c r="Q337" s="1">
        <v>111.2</v>
      </c>
      <c r="R337" s="1">
        <v>0.62164364466666666</v>
      </c>
      <c r="S337" s="1">
        <v>0.19026590924868342</v>
      </c>
      <c r="T337" t="s">
        <v>484</v>
      </c>
      <c r="U337" s="1">
        <v>432</v>
      </c>
      <c r="V337">
        <f t="shared" si="20"/>
        <v>0.29283152742387908</v>
      </c>
      <c r="W337" s="1">
        <f t="shared" si="21"/>
        <v>5.3999999999999986</v>
      </c>
      <c r="X337">
        <f t="shared" si="22"/>
        <v>0.48793223499999994</v>
      </c>
      <c r="Y337">
        <f t="shared" si="23"/>
        <v>36.799999999999997</v>
      </c>
      <c r="Z337" s="1">
        <v>2</v>
      </c>
      <c r="AA337">
        <v>98</v>
      </c>
      <c r="AB337">
        <v>2.0400000000000001E-2</v>
      </c>
      <c r="AC337">
        <v>3</v>
      </c>
      <c r="AD337">
        <v>158</v>
      </c>
      <c r="AE337">
        <v>1.9E-2</v>
      </c>
      <c r="AF337" t="s">
        <v>2589</v>
      </c>
      <c r="AG337" t="s">
        <v>2588</v>
      </c>
    </row>
    <row r="338" spans="1:33">
      <c r="A338" s="2" t="s">
        <v>137</v>
      </c>
      <c r="B338" s="2" t="s">
        <v>13</v>
      </c>
      <c r="C338" s="1">
        <v>0.63291540800000001</v>
      </c>
      <c r="D338">
        <v>0.77430151800000002</v>
      </c>
      <c r="E338">
        <v>0.70057116200000003</v>
      </c>
      <c r="F338" s="1" t="s">
        <v>138</v>
      </c>
      <c r="G338" s="1">
        <v>1.1048387099999999</v>
      </c>
      <c r="H338" s="1">
        <v>35.4</v>
      </c>
      <c r="I338" s="1">
        <v>74.400000000000006</v>
      </c>
      <c r="J338" s="1">
        <v>0.70259602933333332</v>
      </c>
      <c r="K338" s="1">
        <v>0.48695497399999998</v>
      </c>
      <c r="L338" s="1">
        <v>0.54991327199999995</v>
      </c>
      <c r="M338" s="3">
        <v>0.67282609299999996</v>
      </c>
      <c r="N338" s="1" t="s">
        <v>14</v>
      </c>
      <c r="O338" s="1">
        <v>1.6052009460000001</v>
      </c>
      <c r="P338" s="1">
        <v>26.6</v>
      </c>
      <c r="Q338" s="1">
        <v>42.3</v>
      </c>
      <c r="R338" s="1">
        <v>0.56989811299999993</v>
      </c>
      <c r="S338" s="1">
        <v>0.26911767331455522</v>
      </c>
      <c r="T338" t="s">
        <v>485</v>
      </c>
      <c r="U338" s="1">
        <v>389</v>
      </c>
      <c r="V338">
        <f t="shared" si="20"/>
        <v>0.28777217792507864</v>
      </c>
      <c r="W338" s="1">
        <f t="shared" si="21"/>
        <v>8.7999999999999972</v>
      </c>
      <c r="X338">
        <f t="shared" si="22"/>
        <v>0.50036223600000018</v>
      </c>
      <c r="Y338">
        <f t="shared" si="23"/>
        <v>32.100000000000009</v>
      </c>
      <c r="Z338" s="1">
        <v>3</v>
      </c>
      <c r="AA338">
        <v>97</v>
      </c>
      <c r="AB338">
        <v>3.09E-2</v>
      </c>
      <c r="AC338">
        <v>5</v>
      </c>
      <c r="AD338">
        <v>103</v>
      </c>
      <c r="AE338">
        <v>4.8500000000000001E-2</v>
      </c>
      <c r="AF338" t="s">
        <v>2589</v>
      </c>
      <c r="AG338" t="s">
        <v>2590</v>
      </c>
    </row>
    <row r="339" spans="1:33">
      <c r="A339" s="2" t="s">
        <v>137</v>
      </c>
      <c r="B339" s="2" t="s">
        <v>15</v>
      </c>
      <c r="C339" s="1">
        <v>0.63291540800000001</v>
      </c>
      <c r="D339">
        <v>0.77430151800000002</v>
      </c>
      <c r="E339">
        <v>0.70057116200000003</v>
      </c>
      <c r="F339" s="1" t="s">
        <v>138</v>
      </c>
      <c r="G339" s="1">
        <v>1.1048387099999999</v>
      </c>
      <c r="H339" s="1">
        <v>35.4</v>
      </c>
      <c r="I339" s="1">
        <v>74.400000000000006</v>
      </c>
      <c r="J339" s="1">
        <v>0.70259602933333332</v>
      </c>
      <c r="K339" s="1">
        <v>0.54560998800000005</v>
      </c>
      <c r="L339" s="1">
        <v>0.66721428400000005</v>
      </c>
      <c r="M339" s="3">
        <v>0.72650398400000005</v>
      </c>
      <c r="N339" s="1" t="s">
        <v>16</v>
      </c>
      <c r="O339" s="1">
        <v>5.1392405060000002</v>
      </c>
      <c r="P339" s="1">
        <v>35.9</v>
      </c>
      <c r="Q339" s="1">
        <v>15.8</v>
      </c>
      <c r="R339" s="1">
        <v>0.64644275200000012</v>
      </c>
      <c r="S339" s="1">
        <v>0.14057888640912913</v>
      </c>
      <c r="T339" t="s">
        <v>486</v>
      </c>
      <c r="U339" s="1">
        <v>334</v>
      </c>
      <c r="V339">
        <f t="shared" si="20"/>
        <v>0.28041627409017383</v>
      </c>
      <c r="W339" s="1">
        <f t="shared" si="21"/>
        <v>0.5</v>
      </c>
      <c r="X339">
        <f t="shared" si="22"/>
        <v>4.034401796</v>
      </c>
      <c r="Y339">
        <f t="shared" si="23"/>
        <v>58.600000000000009</v>
      </c>
      <c r="Z339" s="1">
        <v>1</v>
      </c>
      <c r="AA339">
        <v>99</v>
      </c>
      <c r="AB339">
        <v>1.01E-2</v>
      </c>
      <c r="AC339">
        <v>1</v>
      </c>
      <c r="AD339">
        <v>103</v>
      </c>
      <c r="AE339">
        <v>9.7000000000000003E-3</v>
      </c>
      <c r="AF339" t="s">
        <v>2589</v>
      </c>
      <c r="AG339" t="s">
        <v>2591</v>
      </c>
    </row>
    <row r="340" spans="1:33">
      <c r="A340" s="2" t="s">
        <v>137</v>
      </c>
      <c r="B340" s="2" t="s">
        <v>17</v>
      </c>
      <c r="C340" s="1">
        <v>0.63291540800000001</v>
      </c>
      <c r="D340">
        <v>0.77430151800000002</v>
      </c>
      <c r="E340">
        <v>0.70057116200000003</v>
      </c>
      <c r="F340" s="1" t="s">
        <v>138</v>
      </c>
      <c r="G340" s="1">
        <v>1.1048387099999999</v>
      </c>
      <c r="H340" s="1">
        <v>35.4</v>
      </c>
      <c r="I340" s="1">
        <v>74.400000000000006</v>
      </c>
      <c r="J340" s="1">
        <v>0.70259602933333332</v>
      </c>
      <c r="K340" s="1">
        <v>0.659112378</v>
      </c>
      <c r="L340" s="1">
        <v>0.68333493499999998</v>
      </c>
      <c r="M340" s="3">
        <v>0.70345495199999997</v>
      </c>
      <c r="N340" s="1" t="s">
        <v>18</v>
      </c>
      <c r="O340" s="1">
        <v>1.9463955639999999</v>
      </c>
      <c r="P340" s="1">
        <v>46.3</v>
      </c>
      <c r="Q340" s="1">
        <v>54.1</v>
      </c>
      <c r="R340" s="1">
        <v>0.68196742166666668</v>
      </c>
      <c r="S340" s="1">
        <v>9.4707532459888819E-2</v>
      </c>
      <c r="T340" t="s">
        <v>487</v>
      </c>
      <c r="U340" s="1">
        <v>787</v>
      </c>
      <c r="V340">
        <f t="shared" si="20"/>
        <v>0.32177497026211832</v>
      </c>
      <c r="W340" s="1">
        <f t="shared" si="21"/>
        <v>10.899999999999999</v>
      </c>
      <c r="X340">
        <f t="shared" si="22"/>
        <v>0.84155685400000002</v>
      </c>
      <c r="Y340">
        <f t="shared" si="23"/>
        <v>20.300000000000004</v>
      </c>
      <c r="Z340" s="1">
        <v>1</v>
      </c>
      <c r="AA340">
        <v>99</v>
      </c>
      <c r="AB340">
        <v>1.01E-2</v>
      </c>
      <c r="AC340">
        <v>3</v>
      </c>
      <c r="AD340">
        <v>115</v>
      </c>
      <c r="AE340">
        <v>2.6100000000000002E-2</v>
      </c>
      <c r="AF340" t="s">
        <v>2589</v>
      </c>
      <c r="AG340" t="s">
        <v>2591</v>
      </c>
    </row>
    <row r="341" spans="1:33">
      <c r="A341" s="2" t="s">
        <v>137</v>
      </c>
      <c r="B341" s="2" t="s">
        <v>19</v>
      </c>
      <c r="C341" s="1">
        <v>0.63291540800000001</v>
      </c>
      <c r="D341">
        <v>0.77430151800000002</v>
      </c>
      <c r="E341">
        <v>0.70057116200000003</v>
      </c>
      <c r="F341" s="1" t="s">
        <v>138</v>
      </c>
      <c r="G341" s="1">
        <v>1.1048387099999999</v>
      </c>
      <c r="H341" s="1">
        <v>35.4</v>
      </c>
      <c r="I341" s="1">
        <v>74.400000000000006</v>
      </c>
      <c r="J341" s="1">
        <v>0.70259602933333332</v>
      </c>
      <c r="K341" s="1">
        <v>0.49391595300000002</v>
      </c>
      <c r="L341" s="1">
        <v>0.603599314</v>
      </c>
      <c r="M341" s="3">
        <v>0.63481471599999995</v>
      </c>
      <c r="N341" s="1" t="s">
        <v>20</v>
      </c>
      <c r="O341" s="1">
        <v>1.2140902870000001</v>
      </c>
      <c r="P341" s="1">
        <v>64.900000000000006</v>
      </c>
      <c r="Q341" s="1">
        <v>146.19999999999999</v>
      </c>
      <c r="R341" s="1">
        <v>0.57744332766666662</v>
      </c>
      <c r="S341" s="1">
        <v>0.2297476901544509</v>
      </c>
      <c r="T341" t="s">
        <v>488</v>
      </c>
      <c r="U341" s="1">
        <v>2589</v>
      </c>
      <c r="V341">
        <f t="shared" si="20"/>
        <v>0.37923689449276354</v>
      </c>
      <c r="W341" s="1">
        <f t="shared" si="21"/>
        <v>29.500000000000007</v>
      </c>
      <c r="X341">
        <f t="shared" si="22"/>
        <v>0.10925157700000021</v>
      </c>
      <c r="Y341">
        <f t="shared" si="23"/>
        <v>71.799999999999983</v>
      </c>
      <c r="Z341" s="1">
        <v>6</v>
      </c>
      <c r="AA341">
        <v>94</v>
      </c>
      <c r="AB341">
        <v>6.3799999999999996E-2</v>
      </c>
      <c r="AC341">
        <v>8</v>
      </c>
      <c r="AD341">
        <v>90</v>
      </c>
      <c r="AE341">
        <v>8.8900000000000007E-2</v>
      </c>
      <c r="AF341" t="s">
        <v>2589</v>
      </c>
      <c r="AG341" t="s">
        <v>2593</v>
      </c>
    </row>
    <row r="342" spans="1:33">
      <c r="A342" s="2" t="s">
        <v>137</v>
      </c>
      <c r="B342" s="2" t="s">
        <v>21</v>
      </c>
      <c r="C342" s="1">
        <v>0.63291540800000001</v>
      </c>
      <c r="D342">
        <v>0.77430151800000002</v>
      </c>
      <c r="E342">
        <v>0.70057116200000003</v>
      </c>
      <c r="F342" s="1" t="s">
        <v>138</v>
      </c>
      <c r="G342" s="1">
        <v>1.1048387099999999</v>
      </c>
      <c r="H342" s="1">
        <v>35.4</v>
      </c>
      <c r="I342" s="1">
        <v>74.400000000000006</v>
      </c>
      <c r="J342" s="1">
        <v>0.70259602933333332</v>
      </c>
      <c r="K342" s="1">
        <v>0.53276376800000003</v>
      </c>
      <c r="L342" s="1">
        <v>0.65428149899999999</v>
      </c>
      <c r="M342" s="3">
        <v>0.70160154799999996</v>
      </c>
      <c r="N342" s="1" t="s">
        <v>22</v>
      </c>
      <c r="O342" s="1">
        <v>1.2440604749999999</v>
      </c>
      <c r="P342" s="1">
        <v>24.6</v>
      </c>
      <c r="Q342" s="1">
        <v>46.3</v>
      </c>
      <c r="R342" s="1">
        <v>0.62954893833333336</v>
      </c>
      <c r="S342" s="1">
        <v>0.15632088040552664</v>
      </c>
      <c r="T342" t="s">
        <v>489</v>
      </c>
      <c r="U342" s="1">
        <v>21693</v>
      </c>
      <c r="V342">
        <f t="shared" si="20"/>
        <v>0.4818132906948378</v>
      </c>
      <c r="W342" s="1">
        <f t="shared" si="21"/>
        <v>10.799999999999997</v>
      </c>
      <c r="X342">
        <f t="shared" si="22"/>
        <v>0.13922176500000005</v>
      </c>
      <c r="Y342">
        <f t="shared" si="23"/>
        <v>28.100000000000009</v>
      </c>
      <c r="Z342" s="1">
        <v>2</v>
      </c>
      <c r="AA342">
        <v>98</v>
      </c>
      <c r="AB342">
        <v>2.0400000000000001E-2</v>
      </c>
      <c r="AC342">
        <v>5</v>
      </c>
      <c r="AD342">
        <v>99</v>
      </c>
      <c r="AE342">
        <v>5.0500000000000003E-2</v>
      </c>
      <c r="AF342" t="s">
        <v>2589</v>
      </c>
      <c r="AG342" t="s">
        <v>2589</v>
      </c>
    </row>
    <row r="343" spans="1:33">
      <c r="A343" s="2" t="s">
        <v>137</v>
      </c>
      <c r="B343" s="2" t="s">
        <v>23</v>
      </c>
      <c r="C343" s="1">
        <v>0.63291540800000001</v>
      </c>
      <c r="D343">
        <v>0.77430151800000002</v>
      </c>
      <c r="E343">
        <v>0.70057116200000003</v>
      </c>
      <c r="F343" s="1" t="s">
        <v>138</v>
      </c>
      <c r="G343" s="1">
        <v>1.1048387099999999</v>
      </c>
      <c r="H343" s="1">
        <v>35.4</v>
      </c>
      <c r="I343" s="1">
        <v>74.400000000000006</v>
      </c>
      <c r="J343" s="1">
        <v>0.70259602933333332</v>
      </c>
      <c r="K343" s="1">
        <v>0.49415677200000002</v>
      </c>
      <c r="L343" s="1">
        <v>0.62090818999999997</v>
      </c>
      <c r="M343" s="3">
        <v>0.63381026900000004</v>
      </c>
      <c r="N343" s="1" t="s">
        <v>24</v>
      </c>
      <c r="O343" s="1">
        <v>1.141304348</v>
      </c>
      <c r="P343" s="1">
        <v>44.4</v>
      </c>
      <c r="Q343" s="1">
        <v>101.2</v>
      </c>
      <c r="R343" s="1">
        <v>0.58295841033333329</v>
      </c>
      <c r="S343" s="1">
        <v>0.21734877265274249</v>
      </c>
      <c r="T343" t="s">
        <v>490</v>
      </c>
      <c r="U343" s="1">
        <v>342</v>
      </c>
      <c r="V343">
        <f t="shared" si="20"/>
        <v>0.28155845622845943</v>
      </c>
      <c r="W343" s="1">
        <f t="shared" si="21"/>
        <v>9</v>
      </c>
      <c r="X343">
        <f t="shared" si="22"/>
        <v>3.6465638000000133E-2</v>
      </c>
      <c r="Y343">
        <f t="shared" si="23"/>
        <v>26.799999999999997</v>
      </c>
      <c r="Z343" s="1">
        <v>3</v>
      </c>
      <c r="AA343">
        <v>97</v>
      </c>
      <c r="AB343">
        <v>3.09E-2</v>
      </c>
      <c r="AC343">
        <v>5</v>
      </c>
      <c r="AD343">
        <v>95</v>
      </c>
      <c r="AE343">
        <v>5.2600000000000001E-2</v>
      </c>
      <c r="AF343" t="s">
        <v>2589</v>
      </c>
      <c r="AG343" t="s">
        <v>2590</v>
      </c>
    </row>
    <row r="344" spans="1:33">
      <c r="A344" s="2" t="s">
        <v>137</v>
      </c>
      <c r="B344" s="2" t="s">
        <v>25</v>
      </c>
      <c r="C344" s="1">
        <v>0.63291540800000001</v>
      </c>
      <c r="D344">
        <v>0.77430151800000002</v>
      </c>
      <c r="E344">
        <v>0.70057116200000003</v>
      </c>
      <c r="F344" s="1" t="s">
        <v>138</v>
      </c>
      <c r="G344" s="1">
        <v>1.1048387099999999</v>
      </c>
      <c r="H344" s="1">
        <v>35.4</v>
      </c>
      <c r="I344" s="1">
        <v>74.400000000000006</v>
      </c>
      <c r="J344" s="1">
        <v>0.70259602933333332</v>
      </c>
      <c r="K344" s="1">
        <v>0.53959274199999996</v>
      </c>
      <c r="L344" s="1">
        <v>0.64971567399999997</v>
      </c>
      <c r="M344" s="3">
        <v>0.65028459999999999</v>
      </c>
      <c r="N344" s="1" t="s">
        <v>26</v>
      </c>
      <c r="O344" s="1">
        <v>1.623046875</v>
      </c>
      <c r="P344" s="1">
        <v>34.700000000000003</v>
      </c>
      <c r="Q344" s="1">
        <v>51.2</v>
      </c>
      <c r="R344" s="1">
        <v>0.61319767199999997</v>
      </c>
      <c r="S344" s="1">
        <v>0.16358328408587403</v>
      </c>
      <c r="T344" t="s">
        <v>491</v>
      </c>
      <c r="U344" s="1">
        <v>18376</v>
      </c>
      <c r="V344">
        <f t="shared" si="20"/>
        <v>0.47380566468744106</v>
      </c>
      <c r="W344" s="1">
        <f t="shared" si="21"/>
        <v>0.69999999999999574</v>
      </c>
      <c r="X344">
        <f t="shared" si="22"/>
        <v>0.51820816500000011</v>
      </c>
      <c r="Y344">
        <f t="shared" si="23"/>
        <v>23.200000000000003</v>
      </c>
      <c r="Z344" s="1">
        <v>0</v>
      </c>
      <c r="AA344">
        <v>100</v>
      </c>
      <c r="AB344">
        <v>0</v>
      </c>
      <c r="AC344">
        <v>0</v>
      </c>
      <c r="AD344">
        <v>102</v>
      </c>
      <c r="AE344">
        <v>0</v>
      </c>
      <c r="AF344" t="s">
        <v>2589</v>
      </c>
      <c r="AG344" t="s">
        <v>2594</v>
      </c>
    </row>
    <row r="345" spans="1:33">
      <c r="A345" s="2" t="s">
        <v>137</v>
      </c>
      <c r="B345" s="2" t="s">
        <v>27</v>
      </c>
      <c r="C345" s="1">
        <v>0.63291540800000001</v>
      </c>
      <c r="D345">
        <v>0.77430151800000002</v>
      </c>
      <c r="E345">
        <v>0.70057116200000003</v>
      </c>
      <c r="F345" s="1" t="s">
        <v>138</v>
      </c>
      <c r="G345" s="1">
        <v>1.1048387099999999</v>
      </c>
      <c r="H345" s="1">
        <v>35.4</v>
      </c>
      <c r="I345" s="1">
        <v>74.400000000000006</v>
      </c>
      <c r="J345" s="1">
        <v>0.70259602933333332</v>
      </c>
      <c r="K345" s="1">
        <v>0.518608662</v>
      </c>
      <c r="L345" s="1">
        <v>0.64320369700000002</v>
      </c>
      <c r="M345" s="3">
        <v>0.62228994199999998</v>
      </c>
      <c r="N345" s="1" t="s">
        <v>28</v>
      </c>
      <c r="O345" s="1">
        <v>1.8717391299999999</v>
      </c>
      <c r="P345" s="1">
        <v>33.700000000000003</v>
      </c>
      <c r="Q345" s="1">
        <v>46</v>
      </c>
      <c r="R345" s="1">
        <v>0.59470076699999996</v>
      </c>
      <c r="S345" s="1">
        <v>0.19073704479399109</v>
      </c>
      <c r="T345" t="s">
        <v>492</v>
      </c>
      <c r="U345" s="1">
        <v>298</v>
      </c>
      <c r="V345">
        <f t="shared" si="20"/>
        <v>0.27491291823069502</v>
      </c>
      <c r="W345" s="1">
        <f t="shared" si="21"/>
        <v>1.6999999999999957</v>
      </c>
      <c r="X345">
        <f t="shared" si="22"/>
        <v>0.76690042000000003</v>
      </c>
      <c r="Y345">
        <f t="shared" si="23"/>
        <v>28.400000000000006</v>
      </c>
      <c r="Z345" s="1">
        <v>3</v>
      </c>
      <c r="AA345">
        <v>97</v>
      </c>
      <c r="AB345">
        <v>3.09E-2</v>
      </c>
      <c r="AC345">
        <v>6</v>
      </c>
      <c r="AD345">
        <v>103</v>
      </c>
      <c r="AE345">
        <v>5.8299999999999998E-2</v>
      </c>
      <c r="AF345" t="s">
        <v>2589</v>
      </c>
      <c r="AG345" t="s">
        <v>2590</v>
      </c>
    </row>
    <row r="346" spans="1:33">
      <c r="A346" s="2" t="s">
        <v>137</v>
      </c>
      <c r="B346" s="2" t="s">
        <v>29</v>
      </c>
      <c r="C346" s="1">
        <v>0.63291540800000001</v>
      </c>
      <c r="D346">
        <v>0.77430151800000002</v>
      </c>
      <c r="E346">
        <v>0.70057116200000003</v>
      </c>
      <c r="F346" s="1" t="s">
        <v>138</v>
      </c>
      <c r="G346" s="1">
        <v>1.1048387099999999</v>
      </c>
      <c r="H346" s="1">
        <v>35.4</v>
      </c>
      <c r="I346" s="1">
        <v>74.400000000000006</v>
      </c>
      <c r="J346" s="1">
        <v>0.70259602933333332</v>
      </c>
      <c r="K346" s="1">
        <v>0.59351545100000003</v>
      </c>
      <c r="L346" s="1">
        <v>0.68136602400000001</v>
      </c>
      <c r="M346" s="3">
        <v>0.73518087600000004</v>
      </c>
      <c r="N346" s="1" t="s">
        <v>30</v>
      </c>
      <c r="O346" s="1">
        <v>2.849112426</v>
      </c>
      <c r="P346" s="1">
        <v>37.9</v>
      </c>
      <c r="Q346" s="1">
        <v>33.799999999999997</v>
      </c>
      <c r="R346" s="1">
        <v>0.67002078366666673</v>
      </c>
      <c r="S346" s="1">
        <v>0.10671080057701603</v>
      </c>
      <c r="T346" t="s">
        <v>493</v>
      </c>
      <c r="U346" s="1">
        <v>360</v>
      </c>
      <c r="V346">
        <f t="shared" si="20"/>
        <v>0.28403361119636528</v>
      </c>
      <c r="W346" s="1">
        <f t="shared" si="21"/>
        <v>2.5</v>
      </c>
      <c r="X346">
        <f t="shared" si="22"/>
        <v>1.7442737160000001</v>
      </c>
      <c r="Y346">
        <f t="shared" si="23"/>
        <v>40.600000000000009</v>
      </c>
      <c r="Z346" s="1">
        <v>1</v>
      </c>
      <c r="AA346">
        <v>99</v>
      </c>
      <c r="AB346">
        <v>1.01E-2</v>
      </c>
      <c r="AC346">
        <v>1</v>
      </c>
      <c r="AD346">
        <v>97</v>
      </c>
      <c r="AE346">
        <v>1.03E-2</v>
      </c>
      <c r="AF346" t="s">
        <v>2589</v>
      </c>
      <c r="AG346" t="s">
        <v>2593</v>
      </c>
    </row>
    <row r="347" spans="1:33">
      <c r="A347" s="2" t="s">
        <v>137</v>
      </c>
      <c r="B347" s="2" t="s">
        <v>31</v>
      </c>
      <c r="C347" s="1">
        <v>0.63291540800000001</v>
      </c>
      <c r="D347">
        <v>0.77430151800000002</v>
      </c>
      <c r="E347">
        <v>0.70057116200000003</v>
      </c>
      <c r="F347" s="1" t="s">
        <v>138</v>
      </c>
      <c r="G347" s="1">
        <v>1.1048387099999999</v>
      </c>
      <c r="H347" s="1">
        <v>35.4</v>
      </c>
      <c r="I347" s="1">
        <v>74.400000000000006</v>
      </c>
      <c r="J347" s="1">
        <v>0.70259602933333332</v>
      </c>
      <c r="K347" s="1">
        <v>0.47727961800000002</v>
      </c>
      <c r="L347" s="1">
        <v>0.66941086400000005</v>
      </c>
      <c r="M347" s="3">
        <v>0.69294815300000001</v>
      </c>
      <c r="N347" s="1" t="s">
        <v>32</v>
      </c>
      <c r="O347" s="1">
        <v>1.341891892</v>
      </c>
      <c r="P347" s="1">
        <v>42.1</v>
      </c>
      <c r="Q347" s="1">
        <v>74</v>
      </c>
      <c r="R347" s="1">
        <v>0.61321287833333338</v>
      </c>
      <c r="S347" s="1">
        <v>0.1878367873758649</v>
      </c>
      <c r="T347" t="s">
        <v>494</v>
      </c>
      <c r="U347" s="1">
        <v>14624</v>
      </c>
      <c r="V347">
        <f t="shared" si="20"/>
        <v>0.46278513093219509</v>
      </c>
      <c r="W347" s="1">
        <f t="shared" si="21"/>
        <v>6.7000000000000028</v>
      </c>
      <c r="X347">
        <f t="shared" si="22"/>
        <v>0.23705318200000014</v>
      </c>
      <c r="Y347">
        <f t="shared" si="23"/>
        <v>0.40000000000000568</v>
      </c>
      <c r="Z347" s="1">
        <v>5</v>
      </c>
      <c r="AA347">
        <v>95</v>
      </c>
      <c r="AB347">
        <v>5.2600000000000001E-2</v>
      </c>
      <c r="AC347">
        <v>7</v>
      </c>
      <c r="AD347">
        <v>99</v>
      </c>
      <c r="AE347">
        <v>7.0699999999999999E-2</v>
      </c>
      <c r="AF347" t="s">
        <v>2589</v>
      </c>
      <c r="AG347" t="s">
        <v>2589</v>
      </c>
    </row>
    <row r="348" spans="1:33">
      <c r="A348" s="2" t="s">
        <v>137</v>
      </c>
      <c r="B348" s="2" t="s">
        <v>33</v>
      </c>
      <c r="C348" s="1">
        <v>0.63291540800000001</v>
      </c>
      <c r="D348">
        <v>0.77430151800000002</v>
      </c>
      <c r="E348">
        <v>0.70057116200000003</v>
      </c>
      <c r="F348" s="1" t="s">
        <v>138</v>
      </c>
      <c r="G348" s="1">
        <v>1.1048387099999999</v>
      </c>
      <c r="H348" s="1">
        <v>35.4</v>
      </c>
      <c r="I348" s="1">
        <v>74.400000000000006</v>
      </c>
      <c r="J348" s="1">
        <v>0.70259602933333332</v>
      </c>
      <c r="K348" s="1">
        <v>0.51347926600000005</v>
      </c>
      <c r="L348" s="1">
        <v>0.63144379399999995</v>
      </c>
      <c r="M348" s="3">
        <v>0.64189093500000005</v>
      </c>
      <c r="N348" s="1" t="s">
        <v>34</v>
      </c>
      <c r="O348" s="1">
        <v>2.3123667380000001</v>
      </c>
      <c r="P348" s="1">
        <v>79.099999999999994</v>
      </c>
      <c r="Q348" s="1">
        <v>93.8</v>
      </c>
      <c r="R348" s="1">
        <v>0.59560466500000009</v>
      </c>
      <c r="S348" s="1">
        <v>0.1952349619383677</v>
      </c>
      <c r="T348" t="s">
        <v>495</v>
      </c>
      <c r="U348" s="1">
        <v>1447</v>
      </c>
      <c r="V348">
        <f t="shared" si="20"/>
        <v>0.35116317012433751</v>
      </c>
      <c r="W348" s="1">
        <f t="shared" si="21"/>
        <v>43.699999999999996</v>
      </c>
      <c r="X348">
        <f t="shared" si="22"/>
        <v>1.2075280280000003</v>
      </c>
      <c r="Y348">
        <f t="shared" si="23"/>
        <v>19.399999999999991</v>
      </c>
      <c r="Z348" s="1">
        <v>7</v>
      </c>
      <c r="AA348">
        <v>93</v>
      </c>
      <c r="AB348">
        <v>7.5300000000000006E-2</v>
      </c>
      <c r="AC348">
        <v>10</v>
      </c>
      <c r="AD348">
        <v>90</v>
      </c>
      <c r="AE348">
        <v>0.1111</v>
      </c>
      <c r="AF348" t="s">
        <v>2589</v>
      </c>
      <c r="AG348" t="s">
        <v>2590</v>
      </c>
    </row>
    <row r="349" spans="1:33">
      <c r="A349" s="2" t="s">
        <v>137</v>
      </c>
      <c r="B349" s="2" t="s">
        <v>35</v>
      </c>
      <c r="C349" s="1">
        <v>0.63291540800000001</v>
      </c>
      <c r="D349">
        <v>0.77430151800000002</v>
      </c>
      <c r="E349">
        <v>0.70057116200000003</v>
      </c>
      <c r="F349" s="1" t="s">
        <v>138</v>
      </c>
      <c r="G349" s="1">
        <v>1.1048387099999999</v>
      </c>
      <c r="H349" s="1">
        <v>35.4</v>
      </c>
      <c r="I349" s="1">
        <v>74.400000000000006</v>
      </c>
      <c r="J349" s="1">
        <v>0.70259602933333332</v>
      </c>
      <c r="K349" s="1">
        <v>0.52542897600000005</v>
      </c>
      <c r="L349" s="1">
        <v>0.60774736299999998</v>
      </c>
      <c r="M349" s="3">
        <v>0.62585751700000003</v>
      </c>
      <c r="N349" s="1" t="s">
        <v>36</v>
      </c>
      <c r="O349" s="1">
        <v>0.98848810399999998</v>
      </c>
      <c r="P349" s="1">
        <v>54.2</v>
      </c>
      <c r="Q349" s="1">
        <v>130.30000000000001</v>
      </c>
      <c r="R349" s="1">
        <v>0.58634461866666665</v>
      </c>
      <c r="S349" s="1">
        <v>0.21183896799465549</v>
      </c>
      <c r="T349" t="s">
        <v>496</v>
      </c>
      <c r="U349" s="1">
        <v>9279</v>
      </c>
      <c r="V349">
        <f t="shared" si="20"/>
        <v>0.44083346385809352</v>
      </c>
      <c r="W349" s="1">
        <f t="shared" si="21"/>
        <v>18.800000000000004</v>
      </c>
      <c r="X349">
        <f t="shared" si="22"/>
        <v>0.11635060599999991</v>
      </c>
      <c r="Y349">
        <f t="shared" si="23"/>
        <v>55.900000000000006</v>
      </c>
      <c r="Z349" s="1">
        <v>5</v>
      </c>
      <c r="AA349">
        <v>95</v>
      </c>
      <c r="AB349">
        <v>5.2600000000000001E-2</v>
      </c>
      <c r="AC349">
        <v>7</v>
      </c>
      <c r="AD349">
        <v>92</v>
      </c>
      <c r="AE349">
        <v>7.6100000000000001E-2</v>
      </c>
      <c r="AF349" t="s">
        <v>2589</v>
      </c>
      <c r="AG349" t="s">
        <v>2589</v>
      </c>
    </row>
    <row r="350" spans="1:33">
      <c r="A350" s="2" t="s">
        <v>137</v>
      </c>
      <c r="B350" s="2" t="s">
        <v>37</v>
      </c>
      <c r="C350" s="1">
        <v>0.63291540800000001</v>
      </c>
      <c r="D350">
        <v>0.77430151800000002</v>
      </c>
      <c r="E350">
        <v>0.70057116200000003</v>
      </c>
      <c r="F350" s="1" t="s">
        <v>138</v>
      </c>
      <c r="G350" s="1">
        <v>1.1048387099999999</v>
      </c>
      <c r="H350" s="1">
        <v>35.4</v>
      </c>
      <c r="I350" s="1">
        <v>74.400000000000006</v>
      </c>
      <c r="J350" s="1">
        <v>0.70259602933333332</v>
      </c>
      <c r="K350" s="1">
        <v>0.50856695500000004</v>
      </c>
      <c r="L350" s="1">
        <v>0.654733224</v>
      </c>
      <c r="M350" s="3">
        <v>0.61418267199999999</v>
      </c>
      <c r="N350" s="1" t="s">
        <v>38</v>
      </c>
      <c r="O350" s="1">
        <v>0.64065708399999999</v>
      </c>
      <c r="P350" s="1">
        <v>41.9</v>
      </c>
      <c r="Q350" s="1">
        <v>146.1</v>
      </c>
      <c r="R350" s="1">
        <v>0.59249428366666679</v>
      </c>
      <c r="S350" s="1">
        <v>0.19293026174771999</v>
      </c>
      <c r="T350" t="s">
        <v>497</v>
      </c>
      <c r="U350" s="1">
        <v>747</v>
      </c>
      <c r="V350">
        <f t="shared" si="20"/>
        <v>0.31925784464615542</v>
      </c>
      <c r="W350" s="1">
        <f t="shared" si="21"/>
        <v>6.5</v>
      </c>
      <c r="X350">
        <f t="shared" si="22"/>
        <v>0.4641816259999999</v>
      </c>
      <c r="Y350">
        <f t="shared" si="23"/>
        <v>71.699999999999989</v>
      </c>
      <c r="Z350" s="1">
        <v>4</v>
      </c>
      <c r="AA350">
        <v>96</v>
      </c>
      <c r="AB350">
        <v>4.1700000000000001E-2</v>
      </c>
      <c r="AC350">
        <v>6</v>
      </c>
      <c r="AD350">
        <v>92</v>
      </c>
      <c r="AE350">
        <v>6.5199999999999994E-2</v>
      </c>
      <c r="AF350" t="s">
        <v>2589</v>
      </c>
      <c r="AG350" t="s">
        <v>2590</v>
      </c>
    </row>
    <row r="351" spans="1:33">
      <c r="A351" s="2" t="s">
        <v>137</v>
      </c>
      <c r="B351" s="2" t="s">
        <v>39</v>
      </c>
      <c r="C351" s="1">
        <v>0.63291540800000001</v>
      </c>
      <c r="D351">
        <v>0.77430151800000002</v>
      </c>
      <c r="E351">
        <v>0.70057116200000003</v>
      </c>
      <c r="F351" s="1" t="s">
        <v>138</v>
      </c>
      <c r="G351" s="1">
        <v>1.1048387099999999</v>
      </c>
      <c r="H351" s="1">
        <v>35.4</v>
      </c>
      <c r="I351" s="1">
        <v>74.400000000000006</v>
      </c>
      <c r="J351" s="1">
        <v>0.70259602933333332</v>
      </c>
      <c r="K351" s="1">
        <v>0.60811616199999996</v>
      </c>
      <c r="L351" s="1">
        <v>0.721105683</v>
      </c>
      <c r="M351" s="3">
        <v>0.741016169</v>
      </c>
      <c r="N351" s="1" t="s">
        <v>40</v>
      </c>
      <c r="O351" s="1">
        <v>1.0601915180000001</v>
      </c>
      <c r="P351" s="1">
        <v>34</v>
      </c>
      <c r="Q351" s="1">
        <v>73.099999999999994</v>
      </c>
      <c r="R351" s="1">
        <v>0.69007933799999999</v>
      </c>
      <c r="S351" s="1">
        <v>7.1278314056561362E-2</v>
      </c>
      <c r="T351" t="s">
        <v>498</v>
      </c>
      <c r="U351" s="1">
        <v>11708</v>
      </c>
      <c r="V351">
        <f t="shared" si="20"/>
        <v>0.45205363486241712</v>
      </c>
      <c r="W351" s="1">
        <f t="shared" si="21"/>
        <v>1.3999999999999986</v>
      </c>
      <c r="X351">
        <f t="shared" si="22"/>
        <v>4.464719199999978E-2</v>
      </c>
      <c r="Y351">
        <f t="shared" si="23"/>
        <v>1.3000000000000114</v>
      </c>
      <c r="Z351" s="1">
        <v>6</v>
      </c>
      <c r="AA351">
        <v>94</v>
      </c>
      <c r="AB351">
        <v>6.3799999999999996E-2</v>
      </c>
      <c r="AC351">
        <v>9</v>
      </c>
      <c r="AD351">
        <v>92</v>
      </c>
      <c r="AE351">
        <v>9.7799999999999998E-2</v>
      </c>
      <c r="AF351" t="s">
        <v>2589</v>
      </c>
      <c r="AG351" t="s">
        <v>2589</v>
      </c>
    </row>
    <row r="352" spans="1:33">
      <c r="A352" s="2" t="s">
        <v>137</v>
      </c>
      <c r="B352" s="2" t="s">
        <v>41</v>
      </c>
      <c r="C352" s="1">
        <v>0.63291540800000001</v>
      </c>
      <c r="D352">
        <v>0.77430151800000002</v>
      </c>
      <c r="E352">
        <v>0.70057116200000003</v>
      </c>
      <c r="F352" s="1" t="s">
        <v>138</v>
      </c>
      <c r="G352" s="1">
        <v>1.1048387099999999</v>
      </c>
      <c r="H352" s="1">
        <v>35.4</v>
      </c>
      <c r="I352" s="1">
        <v>74.400000000000006</v>
      </c>
      <c r="J352" s="1">
        <v>0.70259602933333332</v>
      </c>
      <c r="K352" s="1">
        <v>0.60402244999999999</v>
      </c>
      <c r="L352" s="1">
        <v>0.669189213</v>
      </c>
      <c r="M352" s="3">
        <v>0.69821693799999995</v>
      </c>
      <c r="N352" s="1" t="s">
        <v>42</v>
      </c>
      <c r="O352" s="1">
        <v>1.3243902439999999</v>
      </c>
      <c r="P352" s="1">
        <v>23</v>
      </c>
      <c r="Q352" s="1">
        <v>41</v>
      </c>
      <c r="R352" s="1">
        <v>0.65714286700000002</v>
      </c>
      <c r="S352" s="1">
        <v>0.10903642535889083</v>
      </c>
      <c r="T352" t="s">
        <v>499</v>
      </c>
      <c r="U352" s="1">
        <v>409</v>
      </c>
      <c r="V352">
        <f t="shared" si="20"/>
        <v>0.29019147866748241</v>
      </c>
      <c r="W352" s="1">
        <f t="shared" si="21"/>
        <v>12.399999999999999</v>
      </c>
      <c r="X352">
        <f t="shared" si="22"/>
        <v>0.21955153400000005</v>
      </c>
      <c r="Y352">
        <f t="shared" si="23"/>
        <v>33.400000000000006</v>
      </c>
      <c r="Z352" s="1">
        <v>1</v>
      </c>
      <c r="AA352">
        <v>99</v>
      </c>
      <c r="AB352">
        <v>1.01E-2</v>
      </c>
      <c r="AC352">
        <v>2</v>
      </c>
      <c r="AD352">
        <v>113</v>
      </c>
      <c r="AE352">
        <v>1.77E-2</v>
      </c>
      <c r="AF352" t="s">
        <v>2589</v>
      </c>
      <c r="AG352" t="s">
        <v>2591</v>
      </c>
    </row>
    <row r="353" spans="1:33">
      <c r="A353" s="2" t="s">
        <v>137</v>
      </c>
      <c r="B353" s="2" t="s">
        <v>43</v>
      </c>
      <c r="C353" s="1">
        <v>0.63291540800000001</v>
      </c>
      <c r="D353">
        <v>0.77430151800000002</v>
      </c>
      <c r="E353">
        <v>0.70057116200000003</v>
      </c>
      <c r="F353" s="1" t="s">
        <v>138</v>
      </c>
      <c r="G353" s="1">
        <v>1.1048387099999999</v>
      </c>
      <c r="H353" s="1">
        <v>35.4</v>
      </c>
      <c r="I353" s="1">
        <v>74.400000000000006</v>
      </c>
      <c r="J353" s="1">
        <v>0.70259602933333332</v>
      </c>
      <c r="K353" s="1">
        <v>0.54180634699999997</v>
      </c>
      <c r="L353" s="1">
        <v>0.59470779900000004</v>
      </c>
      <c r="M353" s="3">
        <v>0.69518155599999998</v>
      </c>
      <c r="N353" s="1" t="s">
        <v>44</v>
      </c>
      <c r="O353" s="1">
        <v>1.7403685090000001</v>
      </c>
      <c r="P353" s="1">
        <v>41.2</v>
      </c>
      <c r="Q353" s="1">
        <v>59.7</v>
      </c>
      <c r="R353" s="1">
        <v>0.61056523400000007</v>
      </c>
      <c r="S353" s="1">
        <v>0.20145424481352564</v>
      </c>
      <c r="T353" t="s">
        <v>500</v>
      </c>
      <c r="U353" s="1">
        <v>6635</v>
      </c>
      <c r="V353">
        <f t="shared" si="20"/>
        <v>0.42464899191116157</v>
      </c>
      <c r="W353" s="1">
        <f t="shared" si="21"/>
        <v>5.8000000000000043</v>
      </c>
      <c r="X353">
        <f t="shared" si="22"/>
        <v>0.63552979900000017</v>
      </c>
      <c r="Y353">
        <f t="shared" si="23"/>
        <v>14.700000000000003</v>
      </c>
      <c r="Z353" s="1">
        <v>5</v>
      </c>
      <c r="AA353">
        <v>95</v>
      </c>
      <c r="AB353">
        <v>5.2600000000000001E-2</v>
      </c>
      <c r="AC353">
        <v>11</v>
      </c>
      <c r="AD353">
        <v>126</v>
      </c>
      <c r="AE353">
        <v>8.7300000000000003E-2</v>
      </c>
      <c r="AF353" t="s">
        <v>2589</v>
      </c>
      <c r="AG353" t="s">
        <v>2589</v>
      </c>
    </row>
    <row r="354" spans="1:33">
      <c r="A354" s="2" t="s">
        <v>137</v>
      </c>
      <c r="B354" s="2" t="s">
        <v>45</v>
      </c>
      <c r="C354" s="1">
        <v>0.63291540800000001</v>
      </c>
      <c r="D354">
        <v>0.77430151800000002</v>
      </c>
      <c r="E354">
        <v>0.70057116200000003</v>
      </c>
      <c r="F354" s="1" t="s">
        <v>138</v>
      </c>
      <c r="G354" s="1">
        <v>1.1048387099999999</v>
      </c>
      <c r="H354" s="1">
        <v>35.4</v>
      </c>
      <c r="I354" s="1">
        <v>74.400000000000006</v>
      </c>
      <c r="J354" s="1">
        <v>0.70259602933333332</v>
      </c>
      <c r="K354" s="1">
        <v>0.50907007599999998</v>
      </c>
      <c r="L354" s="1">
        <v>0.68428041399999995</v>
      </c>
      <c r="M354" s="3">
        <v>0.67454742099999998</v>
      </c>
      <c r="N354" s="1" t="s">
        <v>46</v>
      </c>
      <c r="O354" s="1">
        <v>0.98140043799999999</v>
      </c>
      <c r="P354" s="1">
        <v>38.9</v>
      </c>
      <c r="Q354" s="1">
        <v>91.4</v>
      </c>
      <c r="R354" s="1">
        <v>0.62263263699999993</v>
      </c>
      <c r="S354" s="1">
        <v>0.15530196559993742</v>
      </c>
      <c r="T354" t="s">
        <v>501</v>
      </c>
      <c r="U354" s="1">
        <v>6249</v>
      </c>
      <c r="V354">
        <f t="shared" si="20"/>
        <v>0.42175672496304534</v>
      </c>
      <c r="W354" s="1">
        <f t="shared" si="21"/>
        <v>3.5</v>
      </c>
      <c r="X354">
        <f t="shared" si="22"/>
        <v>0.1234382719999999</v>
      </c>
      <c r="Y354">
        <f t="shared" si="23"/>
        <v>17</v>
      </c>
      <c r="Z354" s="1">
        <v>5</v>
      </c>
      <c r="AA354">
        <v>95</v>
      </c>
      <c r="AB354">
        <v>5.2600000000000001E-2</v>
      </c>
      <c r="AC354">
        <v>7</v>
      </c>
      <c r="AD354">
        <v>110</v>
      </c>
      <c r="AE354">
        <v>6.3600000000000004E-2</v>
      </c>
      <c r="AF354" t="s">
        <v>2589</v>
      </c>
      <c r="AG354" t="s">
        <v>2589</v>
      </c>
    </row>
    <row r="355" spans="1:33">
      <c r="A355" s="2" t="s">
        <v>137</v>
      </c>
      <c r="B355" s="2" t="s">
        <v>47</v>
      </c>
      <c r="C355" s="1">
        <v>0.63291540800000001</v>
      </c>
      <c r="D355">
        <v>0.77430151800000002</v>
      </c>
      <c r="E355">
        <v>0.70057116200000003</v>
      </c>
      <c r="F355" s="1" t="s">
        <v>138</v>
      </c>
      <c r="G355" s="1">
        <v>1.1048387099999999</v>
      </c>
      <c r="H355" s="1">
        <v>35.4</v>
      </c>
      <c r="I355" s="1">
        <v>74.400000000000006</v>
      </c>
      <c r="J355" s="1">
        <v>0.70259602933333332</v>
      </c>
      <c r="K355" s="1">
        <v>0.50612154099999995</v>
      </c>
      <c r="L355" s="1">
        <v>0.55940039100000005</v>
      </c>
      <c r="M355" s="3">
        <v>0.66789001699999995</v>
      </c>
      <c r="N355" s="1" t="s">
        <v>48</v>
      </c>
      <c r="O355" s="1">
        <v>1.242622951</v>
      </c>
      <c r="P355" s="1">
        <v>17.8</v>
      </c>
      <c r="Q355" s="1">
        <v>30.5</v>
      </c>
      <c r="R355" s="1">
        <v>0.57780398300000002</v>
      </c>
      <c r="S355" s="1">
        <v>0.2516490340398605</v>
      </c>
      <c r="T355" t="s">
        <v>502</v>
      </c>
      <c r="U355" s="1">
        <v>461</v>
      </c>
      <c r="V355">
        <f t="shared" si="20"/>
        <v>0.29596676948773865</v>
      </c>
      <c r="W355" s="1">
        <f t="shared" si="21"/>
        <v>17.599999999999998</v>
      </c>
      <c r="X355">
        <f t="shared" si="22"/>
        <v>0.13778424100000009</v>
      </c>
      <c r="Y355">
        <f t="shared" si="23"/>
        <v>43.900000000000006</v>
      </c>
      <c r="Z355" s="1">
        <v>1</v>
      </c>
      <c r="AA355">
        <v>99</v>
      </c>
      <c r="AB355">
        <v>1.01E-2</v>
      </c>
      <c r="AC355">
        <v>2</v>
      </c>
      <c r="AD355">
        <v>122</v>
      </c>
      <c r="AE355">
        <v>1.6400000000000001E-2</v>
      </c>
      <c r="AF355" t="s">
        <v>2589</v>
      </c>
      <c r="AG355" t="s">
        <v>2590</v>
      </c>
    </row>
    <row r="356" spans="1:33">
      <c r="A356" s="2" t="s">
        <v>137</v>
      </c>
      <c r="B356" s="2" t="s">
        <v>49</v>
      </c>
      <c r="C356" s="1">
        <v>0.63291540800000001</v>
      </c>
      <c r="D356">
        <v>0.77430151800000002</v>
      </c>
      <c r="E356">
        <v>0.70057116200000003</v>
      </c>
      <c r="F356" s="1" t="s">
        <v>138</v>
      </c>
      <c r="G356" s="1">
        <v>1.1048387099999999</v>
      </c>
      <c r="H356" s="1">
        <v>35.4</v>
      </c>
      <c r="I356" s="1">
        <v>74.400000000000006</v>
      </c>
      <c r="J356" s="1">
        <v>0.70259602933333332</v>
      </c>
      <c r="K356" s="1">
        <v>0.50647110500000003</v>
      </c>
      <c r="L356" s="1">
        <v>0.55713136799999996</v>
      </c>
      <c r="M356" s="3">
        <v>0.63402682300000002</v>
      </c>
      <c r="N356" s="1" t="s">
        <v>50</v>
      </c>
      <c r="O356" s="1">
        <v>1.876675603</v>
      </c>
      <c r="P356" s="1">
        <v>28.8</v>
      </c>
      <c r="Q356" s="1">
        <v>37.299999999999997</v>
      </c>
      <c r="R356" s="1">
        <v>0.56587643200000004</v>
      </c>
      <c r="S356" s="1">
        <v>0.25995996781259467</v>
      </c>
      <c r="T356" t="s">
        <v>503</v>
      </c>
      <c r="U356" s="1">
        <v>380</v>
      </c>
      <c r="V356">
        <f t="shared" si="20"/>
        <v>0.28664262184631223</v>
      </c>
      <c r="W356" s="1">
        <f t="shared" si="21"/>
        <v>6.5999999999999979</v>
      </c>
      <c r="X356">
        <f t="shared" si="22"/>
        <v>0.77183689300000013</v>
      </c>
      <c r="Y356">
        <f t="shared" si="23"/>
        <v>37.100000000000009</v>
      </c>
      <c r="Z356" s="1">
        <v>1</v>
      </c>
      <c r="AA356">
        <v>99</v>
      </c>
      <c r="AB356">
        <v>1.01E-2</v>
      </c>
      <c r="AC356">
        <v>2</v>
      </c>
      <c r="AD356">
        <v>96</v>
      </c>
      <c r="AE356">
        <v>2.0799999999999999E-2</v>
      </c>
      <c r="AF356" t="s">
        <v>2589</v>
      </c>
      <c r="AG356" t="s">
        <v>2590</v>
      </c>
    </row>
    <row r="357" spans="1:33">
      <c r="A357" s="2" t="s">
        <v>137</v>
      </c>
      <c r="B357" s="2" t="s">
        <v>51</v>
      </c>
      <c r="C357" s="1">
        <v>0.63291540800000001</v>
      </c>
      <c r="D357">
        <v>0.77430151800000002</v>
      </c>
      <c r="E357">
        <v>0.70057116200000003</v>
      </c>
      <c r="F357" s="1" t="s">
        <v>138</v>
      </c>
      <c r="G357" s="1">
        <v>1.1048387099999999</v>
      </c>
      <c r="H357" s="1">
        <v>35.4</v>
      </c>
      <c r="I357" s="1">
        <v>74.400000000000006</v>
      </c>
      <c r="J357" s="1">
        <v>0.70259602933333332</v>
      </c>
      <c r="K357" s="1">
        <v>0.60067161999999996</v>
      </c>
      <c r="L357" s="1">
        <v>0.68094129999999997</v>
      </c>
      <c r="M357" s="3">
        <v>0.73595931299999995</v>
      </c>
      <c r="N357" s="1" t="s">
        <v>52</v>
      </c>
      <c r="O357" s="1">
        <v>1.858638743</v>
      </c>
      <c r="P357" s="1">
        <v>29.4</v>
      </c>
      <c r="Q357" s="1">
        <v>38.200000000000003</v>
      </c>
      <c r="R357" s="1">
        <v>0.67252407766666666</v>
      </c>
      <c r="S357" s="1">
        <v>0.10491955680803879</v>
      </c>
      <c r="T357" t="s">
        <v>504</v>
      </c>
      <c r="U357" s="1">
        <v>336</v>
      </c>
      <c r="V357">
        <f t="shared" si="20"/>
        <v>0.28070436415442712</v>
      </c>
      <c r="W357" s="1">
        <f t="shared" si="21"/>
        <v>6</v>
      </c>
      <c r="X357">
        <f t="shared" si="22"/>
        <v>0.75380003300000009</v>
      </c>
      <c r="Y357">
        <f t="shared" si="23"/>
        <v>36.200000000000003</v>
      </c>
      <c r="Z357" s="1">
        <v>3</v>
      </c>
      <c r="AA357">
        <v>97</v>
      </c>
      <c r="AB357">
        <v>3.09E-2</v>
      </c>
      <c r="AC357">
        <v>4</v>
      </c>
      <c r="AD357">
        <v>103</v>
      </c>
      <c r="AE357">
        <v>3.8800000000000001E-2</v>
      </c>
      <c r="AF357" t="s">
        <v>2589</v>
      </c>
      <c r="AG357" t="s">
        <v>2591</v>
      </c>
    </row>
    <row r="358" spans="1:33">
      <c r="A358" s="2" t="s">
        <v>137</v>
      </c>
      <c r="B358" s="2" t="s">
        <v>53</v>
      </c>
      <c r="C358" s="1">
        <v>0.63291540800000001</v>
      </c>
      <c r="D358">
        <v>0.77430151800000002</v>
      </c>
      <c r="E358">
        <v>0.70057116200000003</v>
      </c>
      <c r="F358" s="1" t="s">
        <v>138</v>
      </c>
      <c r="G358" s="1">
        <v>1.1048387099999999</v>
      </c>
      <c r="H358" s="1">
        <v>35.4</v>
      </c>
      <c r="I358" s="1">
        <v>74.400000000000006</v>
      </c>
      <c r="J358" s="1">
        <v>0.70259602933333332</v>
      </c>
      <c r="K358" s="1">
        <v>0.54695832700000002</v>
      </c>
      <c r="L358" s="1">
        <v>0.659790137</v>
      </c>
      <c r="M358" s="3">
        <v>0.70662085500000005</v>
      </c>
      <c r="N358" s="1" t="s">
        <v>54</v>
      </c>
      <c r="O358" s="1">
        <v>2.5053995680000001</v>
      </c>
      <c r="P358" s="1">
        <v>43.9</v>
      </c>
      <c r="Q358" s="1">
        <v>46.3</v>
      </c>
      <c r="R358" s="1">
        <v>0.63778977300000006</v>
      </c>
      <c r="S358" s="1">
        <v>0.14331111240222083</v>
      </c>
      <c r="T358" t="s">
        <v>505</v>
      </c>
      <c r="U358" s="1">
        <v>684</v>
      </c>
      <c r="V358">
        <f t="shared" si="20"/>
        <v>0.31500623352445734</v>
      </c>
      <c r="W358" s="1">
        <f t="shared" si="21"/>
        <v>8.5</v>
      </c>
      <c r="X358">
        <f t="shared" si="22"/>
        <v>1.4005608580000002</v>
      </c>
      <c r="Y358">
        <f t="shared" si="23"/>
        <v>28.100000000000009</v>
      </c>
      <c r="Z358" s="1">
        <v>1</v>
      </c>
      <c r="AA358">
        <v>99</v>
      </c>
      <c r="AB358">
        <v>1.01E-2</v>
      </c>
      <c r="AC358">
        <v>2</v>
      </c>
      <c r="AD358">
        <v>105</v>
      </c>
      <c r="AE358">
        <v>1.9E-2</v>
      </c>
      <c r="AF358" t="s">
        <v>2589</v>
      </c>
      <c r="AG358" t="s">
        <v>2593</v>
      </c>
    </row>
    <row r="359" spans="1:33">
      <c r="A359" s="2" t="s">
        <v>137</v>
      </c>
      <c r="B359" s="2" t="s">
        <v>55</v>
      </c>
      <c r="C359" s="1">
        <v>0.63291540800000001</v>
      </c>
      <c r="D359">
        <v>0.77430151800000002</v>
      </c>
      <c r="E359">
        <v>0.70057116200000003</v>
      </c>
      <c r="F359" s="1" t="s">
        <v>138</v>
      </c>
      <c r="G359" s="1">
        <v>1.1048387099999999</v>
      </c>
      <c r="H359" s="1">
        <v>35.4</v>
      </c>
      <c r="I359" s="1">
        <v>74.400000000000006</v>
      </c>
      <c r="J359" s="1">
        <v>0.70259602933333332</v>
      </c>
      <c r="K359" s="1">
        <v>0.52971861799999997</v>
      </c>
      <c r="L359" s="1">
        <v>0.62258244500000004</v>
      </c>
      <c r="M359" s="3">
        <v>0.63939760400000001</v>
      </c>
      <c r="N359" s="1" t="s">
        <v>56</v>
      </c>
      <c r="O359" s="1">
        <v>1.0796934869999999</v>
      </c>
      <c r="P359" s="1">
        <v>55.3</v>
      </c>
      <c r="Q359" s="1">
        <v>130.5</v>
      </c>
      <c r="R359" s="1">
        <v>0.59723288899999993</v>
      </c>
      <c r="S359" s="1">
        <v>0.19341783469127866</v>
      </c>
      <c r="T359" t="s">
        <v>506</v>
      </c>
      <c r="U359" s="1">
        <v>1747</v>
      </c>
      <c r="V359">
        <f t="shared" si="20"/>
        <v>0.36025476722032562</v>
      </c>
      <c r="W359" s="1">
        <f t="shared" si="21"/>
        <v>19.899999999999999</v>
      </c>
      <c r="X359">
        <f t="shared" si="22"/>
        <v>2.5145222999999994E-2</v>
      </c>
      <c r="Y359">
        <f t="shared" si="23"/>
        <v>56.099999999999994</v>
      </c>
      <c r="Z359" s="1">
        <v>5</v>
      </c>
      <c r="AA359">
        <v>95</v>
      </c>
      <c r="AB359">
        <v>5.2600000000000001E-2</v>
      </c>
      <c r="AC359">
        <v>7</v>
      </c>
      <c r="AD359">
        <v>92</v>
      </c>
      <c r="AE359">
        <v>7.6100000000000001E-2</v>
      </c>
      <c r="AF359" t="s">
        <v>2589</v>
      </c>
      <c r="AG359" t="s">
        <v>2592</v>
      </c>
    </row>
    <row r="360" spans="1:33">
      <c r="A360" s="2" t="s">
        <v>137</v>
      </c>
      <c r="B360" s="2" t="s">
        <v>57</v>
      </c>
      <c r="C360" s="1">
        <v>0.63291540800000001</v>
      </c>
      <c r="D360">
        <v>0.77430151800000002</v>
      </c>
      <c r="E360">
        <v>0.70057116200000003</v>
      </c>
      <c r="F360" s="1" t="s">
        <v>138</v>
      </c>
      <c r="G360" s="1">
        <v>1.1048387099999999</v>
      </c>
      <c r="H360" s="1">
        <v>35.4</v>
      </c>
      <c r="I360" s="1">
        <v>74.400000000000006</v>
      </c>
      <c r="J360" s="1">
        <v>0.70259602933333332</v>
      </c>
      <c r="K360" s="1">
        <v>0.528732855</v>
      </c>
      <c r="L360" s="1">
        <v>0.63387497599999998</v>
      </c>
      <c r="M360" s="3">
        <v>0.63337360200000004</v>
      </c>
      <c r="N360" s="1" t="s">
        <v>58</v>
      </c>
      <c r="O360" s="1">
        <v>1.386610879</v>
      </c>
      <c r="P360" s="1">
        <v>69</v>
      </c>
      <c r="Q360" s="1">
        <v>119.5</v>
      </c>
      <c r="R360" s="1">
        <v>0.59866047766666663</v>
      </c>
      <c r="S360" s="1">
        <v>0.18732092813572429</v>
      </c>
      <c r="T360" t="s">
        <v>507</v>
      </c>
      <c r="U360" s="1">
        <v>15483</v>
      </c>
      <c r="V360">
        <f t="shared" si="20"/>
        <v>0.46553945708773486</v>
      </c>
      <c r="W360" s="1">
        <f t="shared" si="21"/>
        <v>33.6</v>
      </c>
      <c r="X360">
        <f t="shared" si="22"/>
        <v>0.28177216900000013</v>
      </c>
      <c r="Y360">
        <f t="shared" si="23"/>
        <v>45.099999999999994</v>
      </c>
      <c r="Z360" s="1">
        <v>6</v>
      </c>
      <c r="AA360">
        <v>94</v>
      </c>
      <c r="AB360">
        <v>6.3799999999999996E-2</v>
      </c>
      <c r="AC360">
        <v>8</v>
      </c>
      <c r="AD360">
        <v>97</v>
      </c>
      <c r="AE360">
        <v>8.2500000000000004E-2</v>
      </c>
      <c r="AF360" t="s">
        <v>2589</v>
      </c>
      <c r="AG360" t="s">
        <v>2589</v>
      </c>
    </row>
    <row r="361" spans="1:33">
      <c r="A361" s="2" t="s">
        <v>137</v>
      </c>
      <c r="B361" s="2" t="s">
        <v>59</v>
      </c>
      <c r="C361" s="1">
        <v>0.63291540800000001</v>
      </c>
      <c r="D361">
        <v>0.77430151800000002</v>
      </c>
      <c r="E361">
        <v>0.70057116200000003</v>
      </c>
      <c r="F361" s="1" t="s">
        <v>138</v>
      </c>
      <c r="G361" s="1">
        <v>1.1048387099999999</v>
      </c>
      <c r="H361" s="1">
        <v>35.4</v>
      </c>
      <c r="I361" s="1">
        <v>74.400000000000006</v>
      </c>
      <c r="J361" s="1">
        <v>0.70259602933333332</v>
      </c>
      <c r="K361" s="1">
        <v>0.56225432799999997</v>
      </c>
      <c r="L361" s="1">
        <v>0.68100706499999997</v>
      </c>
      <c r="M361" s="3">
        <v>0.67505263699999996</v>
      </c>
      <c r="N361" s="1" t="s">
        <v>60</v>
      </c>
      <c r="O361" s="1">
        <v>1.1501154730000001</v>
      </c>
      <c r="P361" s="1">
        <v>60.5</v>
      </c>
      <c r="Q361" s="1">
        <v>129.9</v>
      </c>
      <c r="R361" s="1">
        <v>0.63943801</v>
      </c>
      <c r="S361" s="1">
        <v>0.11978329727266342</v>
      </c>
      <c r="T361" t="s">
        <v>508</v>
      </c>
      <c r="U361" s="1">
        <v>52672</v>
      </c>
      <c r="V361">
        <f t="shared" si="20"/>
        <v>0.52461997879957301</v>
      </c>
      <c r="W361" s="1">
        <f t="shared" si="21"/>
        <v>25.1</v>
      </c>
      <c r="X361">
        <f t="shared" si="22"/>
        <v>4.5276763000000164E-2</v>
      </c>
      <c r="Y361">
        <f t="shared" si="23"/>
        <v>55.5</v>
      </c>
      <c r="Z361" s="1">
        <v>6</v>
      </c>
      <c r="AA361">
        <v>94</v>
      </c>
      <c r="AB361">
        <v>6.3799999999999996E-2</v>
      </c>
      <c r="AC361">
        <v>11</v>
      </c>
      <c r="AD361">
        <v>113</v>
      </c>
      <c r="AE361">
        <v>9.7299999999999998E-2</v>
      </c>
      <c r="AF361" t="s">
        <v>2589</v>
      </c>
      <c r="AG361" t="s">
        <v>2589</v>
      </c>
    </row>
    <row r="362" spans="1:33">
      <c r="A362" s="2" t="s">
        <v>137</v>
      </c>
      <c r="B362" s="2" t="s">
        <v>61</v>
      </c>
      <c r="C362" s="1">
        <v>0.63291540800000001</v>
      </c>
      <c r="D362">
        <v>0.77430151800000002</v>
      </c>
      <c r="E362">
        <v>0.70057116200000003</v>
      </c>
      <c r="F362" s="1" t="s">
        <v>138</v>
      </c>
      <c r="G362" s="1">
        <v>1.1048387099999999</v>
      </c>
      <c r="H362" s="1">
        <v>35.4</v>
      </c>
      <c r="I362" s="1">
        <v>74.400000000000006</v>
      </c>
      <c r="J362" s="1">
        <v>0.70259602933333332</v>
      </c>
      <c r="K362" s="1">
        <v>0.62063455999999995</v>
      </c>
      <c r="L362" s="1">
        <v>0.67798104299999995</v>
      </c>
      <c r="M362" s="3">
        <v>0.72175371600000005</v>
      </c>
      <c r="N362" s="1" t="s">
        <v>62</v>
      </c>
      <c r="O362" s="1">
        <v>7.5471698109999998</v>
      </c>
      <c r="P362" s="1">
        <v>26.4</v>
      </c>
      <c r="Q362" s="1">
        <v>10.6</v>
      </c>
      <c r="R362" s="1">
        <v>0.6734564396666668</v>
      </c>
      <c r="S362" s="1">
        <v>9.9383870551451467E-2</v>
      </c>
      <c r="T362" t="s">
        <v>509</v>
      </c>
      <c r="U362" s="1">
        <v>559</v>
      </c>
      <c r="V362">
        <f t="shared" si="20"/>
        <v>0.30526797865404703</v>
      </c>
      <c r="W362" s="1">
        <f t="shared" si="21"/>
        <v>9</v>
      </c>
      <c r="X362">
        <f t="shared" si="22"/>
        <v>6.4423311009999997</v>
      </c>
      <c r="Y362">
        <f t="shared" si="23"/>
        <v>63.800000000000004</v>
      </c>
      <c r="Z362" s="1">
        <v>0</v>
      </c>
      <c r="AA362">
        <v>100</v>
      </c>
      <c r="AB362">
        <v>0</v>
      </c>
      <c r="AC362">
        <v>0</v>
      </c>
      <c r="AD362">
        <v>99</v>
      </c>
      <c r="AE362">
        <v>0</v>
      </c>
      <c r="AF362" t="s">
        <v>2589</v>
      </c>
      <c r="AG362" t="s">
        <v>2588</v>
      </c>
    </row>
    <row r="363" spans="1:33">
      <c r="A363" s="2" t="s">
        <v>137</v>
      </c>
      <c r="B363" s="2" t="s">
        <v>63</v>
      </c>
      <c r="C363" s="1">
        <v>0.63291540800000001</v>
      </c>
      <c r="D363">
        <v>0.77430151800000002</v>
      </c>
      <c r="E363">
        <v>0.70057116200000003</v>
      </c>
      <c r="F363" s="1" t="s">
        <v>138</v>
      </c>
      <c r="G363" s="1">
        <v>1.1048387099999999</v>
      </c>
      <c r="H363" s="1">
        <v>35.4</v>
      </c>
      <c r="I363" s="1">
        <v>74.400000000000006</v>
      </c>
      <c r="J363" s="1">
        <v>0.70259602933333332</v>
      </c>
      <c r="K363" s="1">
        <v>0.44311141399999998</v>
      </c>
      <c r="L363" s="1">
        <v>0.57053969199999999</v>
      </c>
      <c r="M363" s="3">
        <v>0.59266330599999995</v>
      </c>
      <c r="N363" s="1" t="s">
        <v>64</v>
      </c>
      <c r="O363" s="1">
        <v>0.89618138400000003</v>
      </c>
      <c r="P363" s="1">
        <v>29.7</v>
      </c>
      <c r="Q363" s="1">
        <v>83.8</v>
      </c>
      <c r="R363" s="1">
        <v>0.53543813733333334</v>
      </c>
      <c r="S363" s="1">
        <v>0.2986445098435983</v>
      </c>
      <c r="T363" t="s">
        <v>510</v>
      </c>
      <c r="U363" s="1">
        <v>426</v>
      </c>
      <c r="V363">
        <f t="shared" si="20"/>
        <v>0.2921566221225243</v>
      </c>
      <c r="W363" s="1">
        <f t="shared" si="21"/>
        <v>5.6999999999999993</v>
      </c>
      <c r="X363">
        <f t="shared" si="22"/>
        <v>0.20865732599999987</v>
      </c>
      <c r="Y363">
        <f t="shared" si="23"/>
        <v>9.3999999999999915</v>
      </c>
      <c r="Z363" s="1">
        <v>3</v>
      </c>
      <c r="AA363">
        <v>97</v>
      </c>
      <c r="AB363">
        <v>3.09E-2</v>
      </c>
      <c r="AC363">
        <v>6</v>
      </c>
      <c r="AD363">
        <v>100</v>
      </c>
      <c r="AE363">
        <v>0.06</v>
      </c>
      <c r="AF363" t="s">
        <v>2589</v>
      </c>
      <c r="AG363" t="s">
        <v>2590</v>
      </c>
    </row>
    <row r="364" spans="1:33">
      <c r="A364" s="2" t="s">
        <v>137</v>
      </c>
      <c r="B364" s="2" t="s">
        <v>65</v>
      </c>
      <c r="C364" s="1">
        <v>0.63291540800000001</v>
      </c>
      <c r="D364">
        <v>0.77430151800000002</v>
      </c>
      <c r="E364">
        <v>0.70057116200000003</v>
      </c>
      <c r="F364" s="1" t="s">
        <v>138</v>
      </c>
      <c r="G364" s="1">
        <v>1.1048387099999999</v>
      </c>
      <c r="H364" s="1">
        <v>35.4</v>
      </c>
      <c r="I364" s="1">
        <v>74.400000000000006</v>
      </c>
      <c r="J364" s="1">
        <v>0.70259602933333332</v>
      </c>
      <c r="K364" s="1">
        <v>0.67377447499999998</v>
      </c>
      <c r="L364" s="1">
        <v>0.69144672900000004</v>
      </c>
      <c r="M364" s="3">
        <v>0.73046409700000003</v>
      </c>
      <c r="N364" s="1" t="s">
        <v>66</v>
      </c>
      <c r="O364" s="1">
        <v>1.8507462690000001</v>
      </c>
      <c r="P364" s="1">
        <v>34.5</v>
      </c>
      <c r="Q364" s="1">
        <v>46.9</v>
      </c>
      <c r="R364" s="1">
        <v>0.69856176700000006</v>
      </c>
      <c r="S364" s="1">
        <v>9.7097718712950365E-2</v>
      </c>
      <c r="T364" t="s">
        <v>511</v>
      </c>
      <c r="U364" s="1">
        <v>311</v>
      </c>
      <c r="V364">
        <f t="shared" si="20"/>
        <v>0.27697337655853749</v>
      </c>
      <c r="W364" s="1">
        <f t="shared" si="21"/>
        <v>0.89999999999999858</v>
      </c>
      <c r="X364">
        <f t="shared" si="22"/>
        <v>0.74590755900000016</v>
      </c>
      <c r="Y364">
        <f t="shared" si="23"/>
        <v>27.500000000000007</v>
      </c>
      <c r="Z364" s="1">
        <v>0</v>
      </c>
      <c r="AA364">
        <v>100</v>
      </c>
      <c r="AB364">
        <v>0</v>
      </c>
      <c r="AC364">
        <v>0</v>
      </c>
      <c r="AD364">
        <v>88</v>
      </c>
      <c r="AE364">
        <v>0</v>
      </c>
      <c r="AF364" t="s">
        <v>2589</v>
      </c>
      <c r="AG364" t="s">
        <v>2593</v>
      </c>
    </row>
    <row r="365" spans="1:33">
      <c r="A365" s="2" t="s">
        <v>137</v>
      </c>
      <c r="B365" s="2" t="s">
        <v>67</v>
      </c>
      <c r="C365" s="1">
        <v>0.63291540800000001</v>
      </c>
      <c r="D365">
        <v>0.77430151800000002</v>
      </c>
      <c r="E365">
        <v>0.70057116200000003</v>
      </c>
      <c r="F365" s="1" t="s">
        <v>138</v>
      </c>
      <c r="G365" s="1">
        <v>1.1048387099999999</v>
      </c>
      <c r="H365" s="1">
        <v>35.4</v>
      </c>
      <c r="I365" s="1">
        <v>74.400000000000006</v>
      </c>
      <c r="J365" s="1">
        <v>0.70259602933333332</v>
      </c>
      <c r="K365" s="1">
        <v>0.53971122199999999</v>
      </c>
      <c r="L365" s="1">
        <v>0.621203065</v>
      </c>
      <c r="M365" s="3">
        <v>0.67806811499999997</v>
      </c>
      <c r="N365" s="1" t="s">
        <v>68</v>
      </c>
      <c r="O365" s="1">
        <v>1.5131894480000001</v>
      </c>
      <c r="P365" s="1">
        <v>27.2</v>
      </c>
      <c r="Q365" s="1">
        <v>41.7</v>
      </c>
      <c r="R365" s="1">
        <v>0.61299413400000002</v>
      </c>
      <c r="S365" s="1">
        <v>0.18064479987865698</v>
      </c>
      <c r="T365" t="s">
        <v>512</v>
      </c>
      <c r="U365" s="1">
        <v>853</v>
      </c>
      <c r="V365">
        <f t="shared" si="20"/>
        <v>0.3256610034630581</v>
      </c>
      <c r="W365" s="1">
        <f t="shared" si="21"/>
        <v>8.1999999999999993</v>
      </c>
      <c r="X365">
        <f t="shared" si="22"/>
        <v>0.40835073800000021</v>
      </c>
      <c r="Y365">
        <f t="shared" si="23"/>
        <v>32.700000000000003</v>
      </c>
      <c r="Z365" s="1">
        <v>2</v>
      </c>
      <c r="AA365">
        <v>98</v>
      </c>
      <c r="AB365">
        <v>2.0400000000000001E-2</v>
      </c>
      <c r="AC365">
        <v>3</v>
      </c>
      <c r="AD365">
        <v>96</v>
      </c>
      <c r="AE365">
        <v>3.1199999999999999E-2</v>
      </c>
      <c r="AF365" t="s">
        <v>2589</v>
      </c>
      <c r="AG365" t="s">
        <v>2588</v>
      </c>
    </row>
    <row r="366" spans="1:33">
      <c r="A366" s="2" t="s">
        <v>137</v>
      </c>
      <c r="B366" s="2" t="s">
        <v>69</v>
      </c>
      <c r="C366" s="1">
        <v>0.63291540800000001</v>
      </c>
      <c r="D366">
        <v>0.77430151800000002</v>
      </c>
      <c r="E366">
        <v>0.70057116200000003</v>
      </c>
      <c r="F366" s="1" t="s">
        <v>138</v>
      </c>
      <c r="G366" s="1">
        <v>1.1048387099999999</v>
      </c>
      <c r="H366" s="1">
        <v>35.4</v>
      </c>
      <c r="I366" s="1">
        <v>74.400000000000006</v>
      </c>
      <c r="J366" s="1">
        <v>0.70259602933333332</v>
      </c>
      <c r="K366" s="1">
        <v>0.50188385300000005</v>
      </c>
      <c r="L366" s="1">
        <v>0.64580031500000001</v>
      </c>
      <c r="M366" s="3">
        <v>0.66006355800000005</v>
      </c>
      <c r="N366" s="1" t="s">
        <v>70</v>
      </c>
      <c r="O366" s="1">
        <v>1.2401055409999999</v>
      </c>
      <c r="P366" s="1">
        <v>43.4</v>
      </c>
      <c r="Q366" s="1">
        <v>75.8</v>
      </c>
      <c r="R366" s="1">
        <v>0.60258257533333337</v>
      </c>
      <c r="S366" s="1">
        <v>0.1879433253935506</v>
      </c>
      <c r="T366" t="s">
        <v>513</v>
      </c>
      <c r="U366" s="1">
        <v>10480</v>
      </c>
      <c r="V366">
        <f t="shared" si="20"/>
        <v>0.4467068091830787</v>
      </c>
      <c r="W366" s="1">
        <f t="shared" si="21"/>
        <v>8</v>
      </c>
      <c r="X366">
        <f t="shared" si="22"/>
        <v>0.13526683100000003</v>
      </c>
      <c r="Y366">
        <f t="shared" si="23"/>
        <v>1.3999999999999915</v>
      </c>
      <c r="Z366" s="1">
        <v>8</v>
      </c>
      <c r="AA366">
        <v>92</v>
      </c>
      <c r="AB366">
        <v>8.6999999999999994E-2</v>
      </c>
      <c r="AC366">
        <v>11</v>
      </c>
      <c r="AD366">
        <v>95</v>
      </c>
      <c r="AE366">
        <v>0.1158</v>
      </c>
      <c r="AF366" t="s">
        <v>2589</v>
      </c>
      <c r="AG366" t="s">
        <v>2589</v>
      </c>
    </row>
    <row r="367" spans="1:33">
      <c r="A367" s="2" t="s">
        <v>137</v>
      </c>
      <c r="B367" s="2" t="s">
        <v>71</v>
      </c>
      <c r="C367" s="1">
        <v>0.63291540800000001</v>
      </c>
      <c r="D367">
        <v>0.77430151800000002</v>
      </c>
      <c r="E367">
        <v>0.70057116200000003</v>
      </c>
      <c r="F367" s="1" t="s">
        <v>138</v>
      </c>
      <c r="G367" s="1">
        <v>1.1048387099999999</v>
      </c>
      <c r="H367" s="1">
        <v>35.4</v>
      </c>
      <c r="I367" s="1">
        <v>74.400000000000006</v>
      </c>
      <c r="J367" s="1">
        <v>0.70259602933333332</v>
      </c>
      <c r="K367" s="1">
        <v>0.53267569100000001</v>
      </c>
      <c r="L367" s="1">
        <v>0.64507433599999997</v>
      </c>
      <c r="M367" s="3">
        <v>0.66598465100000004</v>
      </c>
      <c r="N367" s="1" t="s">
        <v>72</v>
      </c>
      <c r="O367" s="1">
        <v>0.97289666900000005</v>
      </c>
      <c r="P367" s="1">
        <v>64.8</v>
      </c>
      <c r="Q367" s="1">
        <v>177.1</v>
      </c>
      <c r="R367" s="1">
        <v>0.61457822600000001</v>
      </c>
      <c r="S367" s="1">
        <v>0.16716426704010146</v>
      </c>
      <c r="T367" t="s">
        <v>514</v>
      </c>
      <c r="U367" s="1">
        <v>30865</v>
      </c>
      <c r="V367">
        <f t="shared" si="20"/>
        <v>0.49882958681145873</v>
      </c>
      <c r="W367" s="1">
        <f t="shared" si="21"/>
        <v>29.4</v>
      </c>
      <c r="X367">
        <f t="shared" si="22"/>
        <v>0.13194204099999984</v>
      </c>
      <c r="Y367">
        <f t="shared" si="23"/>
        <v>102.69999999999999</v>
      </c>
      <c r="Z367" s="1">
        <v>8</v>
      </c>
      <c r="AA367">
        <v>92</v>
      </c>
      <c r="AB367">
        <v>8.6999999999999994E-2</v>
      </c>
      <c r="AC367">
        <v>14</v>
      </c>
      <c r="AD367">
        <v>103</v>
      </c>
      <c r="AE367">
        <v>0.13589999999999999</v>
      </c>
      <c r="AF367" t="s">
        <v>2589</v>
      </c>
      <c r="AG367" t="s">
        <v>2589</v>
      </c>
    </row>
    <row r="368" spans="1:33">
      <c r="A368" s="2" t="s">
        <v>137</v>
      </c>
      <c r="B368" s="2" t="s">
        <v>73</v>
      </c>
      <c r="C368" s="1">
        <v>0.63291540800000001</v>
      </c>
      <c r="D368">
        <v>0.77430151800000002</v>
      </c>
      <c r="E368">
        <v>0.70057116200000003</v>
      </c>
      <c r="F368" s="1" t="s">
        <v>138</v>
      </c>
      <c r="G368" s="1">
        <v>1.1048387099999999</v>
      </c>
      <c r="H368" s="1">
        <v>35.4</v>
      </c>
      <c r="I368" s="1">
        <v>74.400000000000006</v>
      </c>
      <c r="J368" s="1">
        <v>0.70259602933333332</v>
      </c>
      <c r="K368" s="1">
        <v>0.55697925299999995</v>
      </c>
      <c r="L368" s="1">
        <v>0.64461978399999997</v>
      </c>
      <c r="M368" s="3">
        <v>0.69570690000000002</v>
      </c>
      <c r="N368" s="1" t="s">
        <v>74</v>
      </c>
      <c r="O368" s="1">
        <v>1.23433584</v>
      </c>
      <c r="P368" s="1">
        <v>44</v>
      </c>
      <c r="Q368" s="1">
        <v>79.8</v>
      </c>
      <c r="R368" s="1">
        <v>0.63243531233333328</v>
      </c>
      <c r="S368" s="1">
        <v>0.15035728387489397</v>
      </c>
      <c r="T368" t="s">
        <v>515</v>
      </c>
      <c r="U368" s="1">
        <v>6985</v>
      </c>
      <c r="V368">
        <f t="shared" si="20"/>
        <v>0.42712960116113341</v>
      </c>
      <c r="W368" s="1">
        <f t="shared" si="21"/>
        <v>8.6000000000000014</v>
      </c>
      <c r="X368">
        <f t="shared" si="22"/>
        <v>0.12949713000000007</v>
      </c>
      <c r="Y368">
        <f t="shared" si="23"/>
        <v>5.3999999999999915</v>
      </c>
      <c r="Z368" s="1">
        <v>7</v>
      </c>
      <c r="AA368">
        <v>93</v>
      </c>
      <c r="AB368">
        <v>7.5300000000000006E-2</v>
      </c>
      <c r="AC368">
        <v>10</v>
      </c>
      <c r="AD368">
        <v>92</v>
      </c>
      <c r="AE368">
        <v>0.1087</v>
      </c>
      <c r="AF368" t="s">
        <v>2589</v>
      </c>
      <c r="AG368" t="s">
        <v>2589</v>
      </c>
    </row>
    <row r="369" spans="1:33">
      <c r="A369" s="2" t="s">
        <v>137</v>
      </c>
      <c r="B369" s="2" t="s">
        <v>75</v>
      </c>
      <c r="C369" s="1">
        <v>0.63291540800000001</v>
      </c>
      <c r="D369">
        <v>0.77430151800000002</v>
      </c>
      <c r="E369">
        <v>0.70057116200000003</v>
      </c>
      <c r="F369" s="1" t="s">
        <v>138</v>
      </c>
      <c r="G369" s="1">
        <v>1.1048387099999999</v>
      </c>
      <c r="H369" s="1">
        <v>35.4</v>
      </c>
      <c r="I369" s="1">
        <v>74.400000000000006</v>
      </c>
      <c r="J369" s="1">
        <v>0.70259602933333332</v>
      </c>
      <c r="K369" s="1">
        <v>0.50354843500000002</v>
      </c>
      <c r="L369" s="1">
        <v>0.59724402499999996</v>
      </c>
      <c r="M369" s="3">
        <v>0.70308254199999998</v>
      </c>
      <c r="N369" s="1" t="s">
        <v>76</v>
      </c>
      <c r="O369" s="1">
        <v>1.2696850390000001</v>
      </c>
      <c r="P369" s="1">
        <v>26.6</v>
      </c>
      <c r="Q369" s="1">
        <v>50.8</v>
      </c>
      <c r="R369" s="1">
        <v>0.60129166733333339</v>
      </c>
      <c r="S369" s="1">
        <v>0.21929768936341351</v>
      </c>
      <c r="T369" t="s">
        <v>516</v>
      </c>
      <c r="U369" s="1">
        <v>8386</v>
      </c>
      <c r="V369">
        <f t="shared" si="20"/>
        <v>0.43595053978528325</v>
      </c>
      <c r="W369" s="1">
        <f t="shared" si="21"/>
        <v>8.7999999999999972</v>
      </c>
      <c r="X369">
        <f t="shared" si="22"/>
        <v>0.16484632900000018</v>
      </c>
      <c r="Y369">
        <f t="shared" si="23"/>
        <v>23.600000000000009</v>
      </c>
      <c r="Z369" s="1">
        <v>3</v>
      </c>
      <c r="AA369">
        <v>97</v>
      </c>
      <c r="AB369">
        <v>3.09E-2</v>
      </c>
      <c r="AC369">
        <v>5</v>
      </c>
      <c r="AD369">
        <v>97</v>
      </c>
      <c r="AE369">
        <v>5.1499999999999997E-2</v>
      </c>
      <c r="AF369" t="s">
        <v>2589</v>
      </c>
      <c r="AG369" t="s">
        <v>2594</v>
      </c>
    </row>
    <row r="370" spans="1:33">
      <c r="A370" s="2" t="s">
        <v>137</v>
      </c>
      <c r="B370" s="2" t="s">
        <v>77</v>
      </c>
      <c r="C370" s="1">
        <v>0.63291540800000001</v>
      </c>
      <c r="D370">
        <v>0.77430151800000002</v>
      </c>
      <c r="E370">
        <v>0.70057116200000003</v>
      </c>
      <c r="F370" s="1" t="s">
        <v>138</v>
      </c>
      <c r="G370" s="1">
        <v>1.1048387099999999</v>
      </c>
      <c r="H370" s="1">
        <v>35.4</v>
      </c>
      <c r="I370" s="1">
        <v>74.400000000000006</v>
      </c>
      <c r="J370" s="1">
        <v>0.70259602933333332</v>
      </c>
      <c r="K370" s="1">
        <v>0.54630843299999998</v>
      </c>
      <c r="L370" s="1">
        <v>0.68935555900000001</v>
      </c>
      <c r="M370" s="3">
        <v>0.65478744899999997</v>
      </c>
      <c r="N370" s="1" t="s">
        <v>78</v>
      </c>
      <c r="O370" s="1">
        <v>1.3914285710000001</v>
      </c>
      <c r="P370" s="1">
        <v>56.5</v>
      </c>
      <c r="Q370" s="1">
        <v>105</v>
      </c>
      <c r="R370" s="1">
        <v>0.63015048033333343</v>
      </c>
      <c r="S370" s="1">
        <v>0.12966392113902267</v>
      </c>
      <c r="T370" t="s">
        <v>517</v>
      </c>
      <c r="U370" s="1">
        <v>1068</v>
      </c>
      <c r="V370">
        <f t="shared" si="20"/>
        <v>0.33650791696583748</v>
      </c>
      <c r="W370" s="1">
        <f t="shared" si="21"/>
        <v>21.1</v>
      </c>
      <c r="X370">
        <f t="shared" si="22"/>
        <v>0.28658986100000017</v>
      </c>
      <c r="Y370">
        <f t="shared" si="23"/>
        <v>30.599999999999994</v>
      </c>
      <c r="Z370" s="1">
        <v>6</v>
      </c>
      <c r="AA370">
        <v>94</v>
      </c>
      <c r="AB370">
        <v>6.3799999999999996E-2</v>
      </c>
      <c r="AC370">
        <v>7</v>
      </c>
      <c r="AD370">
        <v>84</v>
      </c>
      <c r="AE370">
        <v>8.3299999999999999E-2</v>
      </c>
      <c r="AF370" t="s">
        <v>2589</v>
      </c>
      <c r="AG370" t="s">
        <v>2590</v>
      </c>
    </row>
    <row r="371" spans="1:33">
      <c r="A371" s="2" t="s">
        <v>137</v>
      </c>
      <c r="B371" s="2" t="s">
        <v>79</v>
      </c>
      <c r="C371" s="1">
        <v>0.63291540800000001</v>
      </c>
      <c r="D371">
        <v>0.77430151800000002</v>
      </c>
      <c r="E371">
        <v>0.70057116200000003</v>
      </c>
      <c r="F371" s="1" t="s">
        <v>138</v>
      </c>
      <c r="G371" s="1">
        <v>1.1048387099999999</v>
      </c>
      <c r="H371" s="1">
        <v>35.4</v>
      </c>
      <c r="I371" s="1">
        <v>74.400000000000006</v>
      </c>
      <c r="J371" s="1">
        <v>0.70259602933333332</v>
      </c>
      <c r="K371" s="1">
        <v>0.63652882899999996</v>
      </c>
      <c r="L371" s="1">
        <v>0.77536518600000004</v>
      </c>
      <c r="M371" s="3">
        <v>0.610415606</v>
      </c>
      <c r="N371" s="1" t="s">
        <v>80</v>
      </c>
      <c r="O371" s="1">
        <v>0.95325542600000002</v>
      </c>
      <c r="P371" s="1">
        <v>45.6</v>
      </c>
      <c r="Q371" s="1">
        <v>119.8</v>
      </c>
      <c r="R371" s="1">
        <v>0.67410320700000004</v>
      </c>
      <c r="S371" s="1">
        <v>9.0234209026325521E-2</v>
      </c>
      <c r="T371" t="s">
        <v>518</v>
      </c>
      <c r="U371" s="1">
        <v>1187</v>
      </c>
      <c r="V371">
        <f t="shared" si="20"/>
        <v>0.34160563543939904</v>
      </c>
      <c r="W371" s="1">
        <f t="shared" si="21"/>
        <v>10.200000000000003</v>
      </c>
      <c r="X371">
        <f t="shared" si="22"/>
        <v>0.15158328399999987</v>
      </c>
      <c r="Y371">
        <f t="shared" si="23"/>
        <v>45.399999999999991</v>
      </c>
      <c r="Z371" s="1">
        <v>2</v>
      </c>
      <c r="AA371">
        <v>98</v>
      </c>
      <c r="AB371">
        <v>2.0400000000000001E-2</v>
      </c>
      <c r="AC371">
        <v>3</v>
      </c>
      <c r="AD371">
        <v>79</v>
      </c>
      <c r="AE371">
        <v>3.7999999999999999E-2</v>
      </c>
      <c r="AF371" t="s">
        <v>2589</v>
      </c>
      <c r="AG371" t="s">
        <v>2590</v>
      </c>
    </row>
    <row r="372" spans="1:33">
      <c r="A372" s="2" t="s">
        <v>137</v>
      </c>
      <c r="B372" s="2" t="s">
        <v>81</v>
      </c>
      <c r="C372" s="1">
        <v>0.63291540800000001</v>
      </c>
      <c r="D372">
        <v>0.77430151800000002</v>
      </c>
      <c r="E372">
        <v>0.70057116200000003</v>
      </c>
      <c r="F372" s="1" t="s">
        <v>138</v>
      </c>
      <c r="G372" s="1">
        <v>1.1048387099999999</v>
      </c>
      <c r="H372" s="1">
        <v>35.4</v>
      </c>
      <c r="I372" s="1">
        <v>74.400000000000006</v>
      </c>
      <c r="J372" s="1">
        <v>0.70259602933333332</v>
      </c>
      <c r="K372" s="1">
        <v>0.50183280699999999</v>
      </c>
      <c r="L372" s="1">
        <v>0.68550824600000004</v>
      </c>
      <c r="M372" s="3">
        <v>0.66941488999999998</v>
      </c>
      <c r="N372" s="1" t="s">
        <v>82</v>
      </c>
      <c r="O372" s="1">
        <v>1.4359576970000001</v>
      </c>
      <c r="P372" s="1">
        <v>51</v>
      </c>
      <c r="Q372" s="1">
        <v>85.1</v>
      </c>
      <c r="R372" s="1">
        <v>0.61891864766666671</v>
      </c>
      <c r="S372" s="1">
        <v>0.16136172632420978</v>
      </c>
      <c r="T372" t="s">
        <v>519</v>
      </c>
      <c r="U372" s="1">
        <v>11722</v>
      </c>
      <c r="V372">
        <f t="shared" si="20"/>
        <v>0.45211130189395554</v>
      </c>
      <c r="W372" s="1">
        <f t="shared" si="21"/>
        <v>15.600000000000001</v>
      </c>
      <c r="X372">
        <f t="shared" si="22"/>
        <v>0.3311189870000002</v>
      </c>
      <c r="Y372">
        <f t="shared" si="23"/>
        <v>10.699999999999989</v>
      </c>
      <c r="Z372" s="1">
        <v>0</v>
      </c>
      <c r="AA372">
        <v>100</v>
      </c>
      <c r="AB372">
        <v>0</v>
      </c>
      <c r="AC372">
        <v>0</v>
      </c>
      <c r="AD372">
        <v>93</v>
      </c>
      <c r="AE372">
        <v>0</v>
      </c>
      <c r="AF372" t="s">
        <v>2589</v>
      </c>
      <c r="AG372" t="s">
        <v>2589</v>
      </c>
    </row>
    <row r="373" spans="1:33">
      <c r="A373" s="2" t="s">
        <v>137</v>
      </c>
      <c r="B373" s="2" t="s">
        <v>83</v>
      </c>
      <c r="C373" s="1">
        <v>0.63291540800000001</v>
      </c>
      <c r="D373">
        <v>0.77430151800000002</v>
      </c>
      <c r="E373">
        <v>0.70057116200000003</v>
      </c>
      <c r="F373" s="1" t="s">
        <v>138</v>
      </c>
      <c r="G373" s="1">
        <v>1.1048387099999999</v>
      </c>
      <c r="H373" s="1">
        <v>35.4</v>
      </c>
      <c r="I373" s="1">
        <v>74.400000000000006</v>
      </c>
      <c r="J373" s="1">
        <v>0.70259602933333332</v>
      </c>
      <c r="K373" s="1">
        <v>0.51815179099999997</v>
      </c>
      <c r="L373" s="1">
        <v>0.50115949400000004</v>
      </c>
      <c r="M373" s="3">
        <v>0.68053170600000001</v>
      </c>
      <c r="N373" s="1" t="s">
        <v>84</v>
      </c>
      <c r="O373" s="1">
        <v>1.760323887</v>
      </c>
      <c r="P373" s="1">
        <v>83.4</v>
      </c>
      <c r="Q373" s="1">
        <v>123.5</v>
      </c>
      <c r="R373" s="1">
        <v>0.56661433033333342</v>
      </c>
      <c r="S373" s="1">
        <v>0.29694920922358964</v>
      </c>
      <c r="T373" t="s">
        <v>520</v>
      </c>
      <c r="U373" s="1">
        <v>16188</v>
      </c>
      <c r="V373">
        <f t="shared" si="20"/>
        <v>0.46768813285772548</v>
      </c>
      <c r="W373" s="1">
        <f t="shared" si="21"/>
        <v>48.000000000000007</v>
      </c>
      <c r="X373">
        <f t="shared" si="22"/>
        <v>0.65548517700000009</v>
      </c>
      <c r="Y373">
        <f t="shared" si="23"/>
        <v>49.099999999999994</v>
      </c>
      <c r="Z373" s="1">
        <v>2</v>
      </c>
      <c r="AA373">
        <v>98</v>
      </c>
      <c r="AB373">
        <v>2.0400000000000001E-2</v>
      </c>
      <c r="AC373">
        <v>3</v>
      </c>
      <c r="AD373">
        <v>85</v>
      </c>
      <c r="AE373">
        <v>3.5299999999999998E-2</v>
      </c>
      <c r="AF373" t="s">
        <v>2589</v>
      </c>
      <c r="AG373" t="s">
        <v>2589</v>
      </c>
    </row>
    <row r="374" spans="1:33">
      <c r="A374" s="2" t="s">
        <v>137</v>
      </c>
      <c r="B374" s="2" t="s">
        <v>85</v>
      </c>
      <c r="C374" s="1">
        <v>0.63291540800000001</v>
      </c>
      <c r="D374">
        <v>0.77430151800000002</v>
      </c>
      <c r="E374">
        <v>0.70057116200000003</v>
      </c>
      <c r="F374" s="1" t="s">
        <v>138</v>
      </c>
      <c r="G374" s="1">
        <v>1.1048387099999999</v>
      </c>
      <c r="H374" s="1">
        <v>35.4</v>
      </c>
      <c r="I374" s="1">
        <v>74.400000000000006</v>
      </c>
      <c r="J374" s="1">
        <v>0.70259602933333332</v>
      </c>
      <c r="K374" s="1">
        <v>0.522280945</v>
      </c>
      <c r="L374" s="1">
        <v>0.58016629799999997</v>
      </c>
      <c r="M374" s="3">
        <v>0.62446713499999995</v>
      </c>
      <c r="N374" s="1" t="s">
        <v>86</v>
      </c>
      <c r="O374" s="1">
        <v>0.57177615599999998</v>
      </c>
      <c r="P374" s="1">
        <v>19.5</v>
      </c>
      <c r="Q374" s="1">
        <v>82.2</v>
      </c>
      <c r="R374" s="1">
        <v>0.57563812599999997</v>
      </c>
      <c r="S374" s="1">
        <v>0.23605145831653643</v>
      </c>
      <c r="T374" t="s">
        <v>521</v>
      </c>
      <c r="U374" s="1">
        <v>186</v>
      </c>
      <c r="V374">
        <f t="shared" si="20"/>
        <v>0.25216810491310182</v>
      </c>
      <c r="W374" s="1">
        <f t="shared" si="21"/>
        <v>15.899999999999999</v>
      </c>
      <c r="X374">
        <f t="shared" si="22"/>
        <v>0.53306255399999991</v>
      </c>
      <c r="Y374">
        <f t="shared" si="23"/>
        <v>7.7999999999999972</v>
      </c>
      <c r="Z374" s="1">
        <v>1</v>
      </c>
      <c r="AA374">
        <v>99</v>
      </c>
      <c r="AB374">
        <v>1.01E-2</v>
      </c>
      <c r="AC374">
        <v>2</v>
      </c>
      <c r="AD374">
        <v>151</v>
      </c>
      <c r="AE374">
        <v>1.32E-2</v>
      </c>
      <c r="AF374" t="s">
        <v>2589</v>
      </c>
      <c r="AG374" t="s">
        <v>2590</v>
      </c>
    </row>
    <row r="375" spans="1:33">
      <c r="A375" s="2" t="s">
        <v>137</v>
      </c>
      <c r="B375" s="2" t="s">
        <v>87</v>
      </c>
      <c r="C375" s="1">
        <v>0.63291540800000001</v>
      </c>
      <c r="D375">
        <v>0.77430151800000002</v>
      </c>
      <c r="E375">
        <v>0.70057116200000003</v>
      </c>
      <c r="F375" s="1" t="s">
        <v>138</v>
      </c>
      <c r="G375" s="1">
        <v>1.1048387099999999</v>
      </c>
      <c r="H375" s="1">
        <v>35.4</v>
      </c>
      <c r="I375" s="1">
        <v>74.400000000000006</v>
      </c>
      <c r="J375" s="1">
        <v>0.70259602933333332</v>
      </c>
      <c r="K375" s="1">
        <v>0.46780425199999998</v>
      </c>
      <c r="L375" s="1">
        <v>0.54149707400000002</v>
      </c>
      <c r="M375" s="3">
        <v>0.61626236400000001</v>
      </c>
      <c r="N375" s="1" t="s">
        <v>88</v>
      </c>
      <c r="O375" s="1">
        <v>1.395454545</v>
      </c>
      <c r="P375" s="1">
        <v>65.2</v>
      </c>
      <c r="Q375" s="1">
        <v>110</v>
      </c>
      <c r="R375" s="1">
        <v>0.54185456333333337</v>
      </c>
      <c r="S375" s="1">
        <v>0.29760305173504237</v>
      </c>
      <c r="T375" t="s">
        <v>522</v>
      </c>
      <c r="U375" s="1">
        <v>8566</v>
      </c>
      <c r="V375">
        <f t="shared" si="20"/>
        <v>0.43697534111783898</v>
      </c>
      <c r="W375" s="1">
        <f t="shared" si="21"/>
        <v>29.800000000000004</v>
      </c>
      <c r="X375">
        <f t="shared" si="22"/>
        <v>0.2906158350000001</v>
      </c>
      <c r="Y375">
        <f t="shared" si="23"/>
        <v>35.599999999999994</v>
      </c>
      <c r="Z375" s="1">
        <v>4</v>
      </c>
      <c r="AA375">
        <v>96</v>
      </c>
      <c r="AB375">
        <v>4.1700000000000001E-2</v>
      </c>
      <c r="AC375">
        <v>6</v>
      </c>
      <c r="AD375">
        <v>80</v>
      </c>
      <c r="AE375">
        <v>7.4999999999999997E-2</v>
      </c>
      <c r="AF375" t="s">
        <v>2589</v>
      </c>
      <c r="AG375" t="s">
        <v>2590</v>
      </c>
    </row>
    <row r="376" spans="1:33">
      <c r="A376" s="2" t="s">
        <v>137</v>
      </c>
      <c r="B376" s="2" t="s">
        <v>89</v>
      </c>
      <c r="C376" s="1">
        <v>0.63291540800000001</v>
      </c>
      <c r="D376">
        <v>0.77430151800000002</v>
      </c>
      <c r="E376">
        <v>0.70057116200000003</v>
      </c>
      <c r="F376" s="1" t="s">
        <v>138</v>
      </c>
      <c r="G376" s="1">
        <v>1.1048387099999999</v>
      </c>
      <c r="H376" s="1">
        <v>35.4</v>
      </c>
      <c r="I376" s="1">
        <v>74.400000000000006</v>
      </c>
      <c r="J376" s="1">
        <v>0.70259602933333332</v>
      </c>
      <c r="K376" s="1">
        <v>0.51097051500000001</v>
      </c>
      <c r="L376" s="1">
        <v>0.61917891400000002</v>
      </c>
      <c r="M376" s="3">
        <v>0.60984479800000002</v>
      </c>
      <c r="N376" s="1" t="s">
        <v>90</v>
      </c>
      <c r="O376" s="1">
        <v>1.429752066</v>
      </c>
      <c r="P376" s="1">
        <v>59.8</v>
      </c>
      <c r="Q376" s="1">
        <v>108.9</v>
      </c>
      <c r="R376" s="1">
        <v>0.57999807566666661</v>
      </c>
      <c r="S376" s="1">
        <v>0.21717470461631289</v>
      </c>
      <c r="T376" t="s">
        <v>523</v>
      </c>
      <c r="U376" s="1">
        <v>17833</v>
      </c>
      <c r="V376">
        <f t="shared" si="20"/>
        <v>0.47235826773020356</v>
      </c>
      <c r="W376" s="1">
        <f t="shared" si="21"/>
        <v>24.4</v>
      </c>
      <c r="X376">
        <f t="shared" si="22"/>
        <v>0.32491335600000015</v>
      </c>
      <c r="Y376">
        <f t="shared" si="23"/>
        <v>34.5</v>
      </c>
      <c r="Z376" s="1">
        <v>6</v>
      </c>
      <c r="AA376">
        <v>94</v>
      </c>
      <c r="AB376">
        <v>6.3799999999999996E-2</v>
      </c>
      <c r="AC376">
        <v>8</v>
      </c>
      <c r="AD376">
        <v>87</v>
      </c>
      <c r="AE376">
        <v>9.1999999999999998E-2</v>
      </c>
      <c r="AF376" t="s">
        <v>2589</v>
      </c>
      <c r="AG376" t="s">
        <v>2589</v>
      </c>
    </row>
    <row r="377" spans="1:33">
      <c r="A377" s="2" t="s">
        <v>137</v>
      </c>
      <c r="B377" s="2" t="s">
        <v>91</v>
      </c>
      <c r="C377" s="1">
        <v>0.63291540800000001</v>
      </c>
      <c r="D377">
        <v>0.77430151800000002</v>
      </c>
      <c r="E377">
        <v>0.70057116200000003</v>
      </c>
      <c r="F377" s="1" t="s">
        <v>138</v>
      </c>
      <c r="G377" s="1">
        <v>1.1048387099999999</v>
      </c>
      <c r="H377" s="1">
        <v>35.4</v>
      </c>
      <c r="I377" s="1">
        <v>74.400000000000006</v>
      </c>
      <c r="J377" s="1">
        <v>0.70259602933333332</v>
      </c>
      <c r="K377" s="1">
        <v>0.37439919700000002</v>
      </c>
      <c r="L377" s="1">
        <v>0.508839347</v>
      </c>
      <c r="M377" s="3">
        <v>0.52701193599999996</v>
      </c>
      <c r="N377" s="1" t="s">
        <v>92</v>
      </c>
      <c r="O377" s="1">
        <v>1.911504425</v>
      </c>
      <c r="P377" s="1">
        <v>24.6</v>
      </c>
      <c r="Q377" s="1">
        <v>33.9</v>
      </c>
      <c r="R377" s="1">
        <v>0.47008349333333332</v>
      </c>
      <c r="S377" s="1">
        <v>0.40917429111754916</v>
      </c>
      <c r="T377" t="s">
        <v>524</v>
      </c>
      <c r="U377" s="1">
        <v>432</v>
      </c>
      <c r="V377">
        <f t="shared" si="20"/>
        <v>0.29283152742387908</v>
      </c>
      <c r="W377" s="1">
        <f t="shared" si="21"/>
        <v>10.799999999999997</v>
      </c>
      <c r="X377">
        <f t="shared" si="22"/>
        <v>0.80666571500000006</v>
      </c>
      <c r="Y377">
        <f t="shared" si="23"/>
        <v>40.500000000000007</v>
      </c>
      <c r="Z377" s="1">
        <v>1</v>
      </c>
      <c r="AA377">
        <v>99</v>
      </c>
      <c r="AB377">
        <v>1.01E-2</v>
      </c>
      <c r="AC377">
        <v>2</v>
      </c>
      <c r="AD377">
        <v>100</v>
      </c>
      <c r="AE377">
        <v>0.02</v>
      </c>
      <c r="AF377" t="s">
        <v>2589</v>
      </c>
      <c r="AG377" t="s">
        <v>2590</v>
      </c>
    </row>
    <row r="378" spans="1:33">
      <c r="A378" s="2" t="s">
        <v>137</v>
      </c>
      <c r="B378" s="2" t="s">
        <v>93</v>
      </c>
      <c r="C378" s="1">
        <v>0.63291540800000001</v>
      </c>
      <c r="D378">
        <v>0.77430151800000002</v>
      </c>
      <c r="E378">
        <v>0.70057116200000003</v>
      </c>
      <c r="F378" s="1" t="s">
        <v>138</v>
      </c>
      <c r="G378" s="1">
        <v>1.1048387099999999</v>
      </c>
      <c r="H378" s="1">
        <v>35.4</v>
      </c>
      <c r="I378" s="1">
        <v>74.400000000000006</v>
      </c>
      <c r="J378" s="1">
        <v>0.70259602933333332</v>
      </c>
      <c r="K378" s="1">
        <v>0.54134617200000001</v>
      </c>
      <c r="L378" s="1">
        <v>0.674899633</v>
      </c>
      <c r="M378" s="3">
        <v>0.719840174</v>
      </c>
      <c r="N378" s="1" t="s">
        <v>94</v>
      </c>
      <c r="O378" s="1">
        <v>1.175388967</v>
      </c>
      <c r="P378" s="1">
        <v>36.6</v>
      </c>
      <c r="Q378" s="1">
        <v>70.7</v>
      </c>
      <c r="R378" s="1">
        <v>0.64536199299999997</v>
      </c>
      <c r="S378" s="1">
        <v>0.13651723168389063</v>
      </c>
      <c r="T378" t="s">
        <v>525</v>
      </c>
      <c r="U378" s="1">
        <v>5862</v>
      </c>
      <c r="V378">
        <f t="shared" si="20"/>
        <v>0.41867175712249077</v>
      </c>
      <c r="W378" s="1">
        <f t="shared" si="21"/>
        <v>1.2000000000000028</v>
      </c>
      <c r="X378">
        <f t="shared" si="22"/>
        <v>7.0550257000000061E-2</v>
      </c>
      <c r="Y378">
        <f t="shared" si="23"/>
        <v>3.7000000000000028</v>
      </c>
      <c r="Z378" s="1">
        <v>6</v>
      </c>
      <c r="AA378">
        <v>94</v>
      </c>
      <c r="AB378">
        <v>6.3799999999999996E-2</v>
      </c>
      <c r="AC378">
        <v>9</v>
      </c>
      <c r="AD378">
        <v>84</v>
      </c>
      <c r="AE378">
        <v>0.1071</v>
      </c>
      <c r="AF378" t="s">
        <v>2589</v>
      </c>
      <c r="AG378" t="s">
        <v>2589</v>
      </c>
    </row>
    <row r="379" spans="1:33">
      <c r="A379" s="2" t="s">
        <v>137</v>
      </c>
      <c r="B379" s="2" t="s">
        <v>95</v>
      </c>
      <c r="C379" s="1">
        <v>0.63291540800000001</v>
      </c>
      <c r="D379">
        <v>0.77430151800000002</v>
      </c>
      <c r="E379">
        <v>0.70057116200000003</v>
      </c>
      <c r="F379" s="1" t="s">
        <v>138</v>
      </c>
      <c r="G379" s="1">
        <v>1.1048387099999999</v>
      </c>
      <c r="H379" s="1">
        <v>35.4</v>
      </c>
      <c r="I379" s="1">
        <v>74.400000000000006</v>
      </c>
      <c r="J379" s="1">
        <v>0.70259602933333332</v>
      </c>
      <c r="K379" s="1">
        <v>0.59462093100000002</v>
      </c>
      <c r="L379" s="1">
        <v>0.68038960500000001</v>
      </c>
      <c r="M379" s="3">
        <v>0.72533004899999998</v>
      </c>
      <c r="N379" s="1" t="s">
        <v>96</v>
      </c>
      <c r="O379" s="1">
        <v>1.9717647060000001</v>
      </c>
      <c r="P379" s="1">
        <v>34.6</v>
      </c>
      <c r="Q379" s="1">
        <v>42.5</v>
      </c>
      <c r="R379" s="1">
        <v>0.66678019499999996</v>
      </c>
      <c r="S379" s="1">
        <v>0.10439787764845541</v>
      </c>
      <c r="T379" t="s">
        <v>526</v>
      </c>
      <c r="U379" s="1">
        <v>208</v>
      </c>
      <c r="V379">
        <f t="shared" si="20"/>
        <v>0.25756259277364019</v>
      </c>
      <c r="W379" s="1">
        <f t="shared" si="21"/>
        <v>0.79999999999999716</v>
      </c>
      <c r="X379">
        <f t="shared" si="22"/>
        <v>0.8669259960000002</v>
      </c>
      <c r="Y379">
        <f t="shared" si="23"/>
        <v>31.900000000000006</v>
      </c>
      <c r="Z379" s="1">
        <v>1</v>
      </c>
      <c r="AA379">
        <v>99</v>
      </c>
      <c r="AB379">
        <v>1.01E-2</v>
      </c>
      <c r="AC379">
        <v>1</v>
      </c>
      <c r="AD379">
        <v>98</v>
      </c>
      <c r="AE379">
        <v>1.0200000000000001E-2</v>
      </c>
      <c r="AF379" t="s">
        <v>2589</v>
      </c>
      <c r="AG379" t="s">
        <v>2593</v>
      </c>
    </row>
    <row r="380" spans="1:33">
      <c r="A380" s="2" t="s">
        <v>137</v>
      </c>
      <c r="B380" s="2" t="s">
        <v>97</v>
      </c>
      <c r="C380" s="1">
        <v>0.63291540800000001</v>
      </c>
      <c r="D380">
        <v>0.77430151800000002</v>
      </c>
      <c r="E380">
        <v>0.70057116200000003</v>
      </c>
      <c r="F380" s="1" t="s">
        <v>138</v>
      </c>
      <c r="G380" s="1">
        <v>1.1048387099999999</v>
      </c>
      <c r="H380" s="1">
        <v>35.4</v>
      </c>
      <c r="I380" s="1">
        <v>74.400000000000006</v>
      </c>
      <c r="J380" s="1">
        <v>0.70259602933333332</v>
      </c>
      <c r="K380" s="1">
        <v>0.63674842300000001</v>
      </c>
      <c r="L380" s="1">
        <v>0.68532635500000005</v>
      </c>
      <c r="M380" s="3">
        <v>0.727031494</v>
      </c>
      <c r="N380" s="1" t="s">
        <v>98</v>
      </c>
      <c r="O380" s="1">
        <v>2.360103627</v>
      </c>
      <c r="P380" s="1">
        <v>36.799999999999997</v>
      </c>
      <c r="Q380" s="1">
        <v>38.6</v>
      </c>
      <c r="R380" s="1">
        <v>0.68303542400000017</v>
      </c>
      <c r="S380" s="1">
        <v>9.2905440122831404E-2</v>
      </c>
      <c r="T380" t="s">
        <v>527</v>
      </c>
      <c r="U380" s="1">
        <v>171</v>
      </c>
      <c r="V380">
        <f t="shared" si="20"/>
        <v>0.24811067893246153</v>
      </c>
      <c r="W380" s="1">
        <f t="shared" si="21"/>
        <v>1.3999999999999986</v>
      </c>
      <c r="X380">
        <f t="shared" si="22"/>
        <v>1.2552649170000001</v>
      </c>
      <c r="Y380">
        <f t="shared" si="23"/>
        <v>35.800000000000004</v>
      </c>
      <c r="Z380" s="1">
        <v>0</v>
      </c>
      <c r="AA380">
        <v>100</v>
      </c>
      <c r="AB380">
        <v>0</v>
      </c>
      <c r="AC380">
        <v>0</v>
      </c>
      <c r="AD380">
        <v>99</v>
      </c>
      <c r="AE380">
        <v>0</v>
      </c>
      <c r="AF380" t="s">
        <v>2589</v>
      </c>
      <c r="AG380" t="s">
        <v>2593</v>
      </c>
    </row>
    <row r="381" spans="1:33">
      <c r="A381" s="2" t="s">
        <v>137</v>
      </c>
      <c r="B381" s="2" t="s">
        <v>99</v>
      </c>
      <c r="C381" s="1">
        <v>0.63291540800000001</v>
      </c>
      <c r="D381">
        <v>0.77430151800000002</v>
      </c>
      <c r="E381">
        <v>0.70057116200000003</v>
      </c>
      <c r="F381" s="1" t="s">
        <v>138</v>
      </c>
      <c r="G381" s="1">
        <v>1.1048387099999999</v>
      </c>
      <c r="H381" s="1">
        <v>35.4</v>
      </c>
      <c r="I381" s="1">
        <v>74.400000000000006</v>
      </c>
      <c r="J381" s="1">
        <v>0.70259602933333332</v>
      </c>
      <c r="K381" s="1">
        <v>0.52525630099999998</v>
      </c>
      <c r="L381" s="1">
        <v>0.68706170200000005</v>
      </c>
      <c r="M381" s="3">
        <v>0.71473597300000002</v>
      </c>
      <c r="N381" s="1" t="s">
        <v>100</v>
      </c>
      <c r="O381" s="1">
        <v>1.72605042</v>
      </c>
      <c r="P381" s="1">
        <v>46.5</v>
      </c>
      <c r="Q381" s="1">
        <v>59.5</v>
      </c>
      <c r="R381" s="1">
        <v>0.64235132533333339</v>
      </c>
      <c r="S381" s="1">
        <v>0.13929074156747473</v>
      </c>
      <c r="T381" t="s">
        <v>528</v>
      </c>
      <c r="U381" s="1">
        <v>58016</v>
      </c>
      <c r="V381">
        <f t="shared" si="20"/>
        <v>0.529283086935046</v>
      </c>
      <c r="W381" s="1">
        <f t="shared" si="21"/>
        <v>11.100000000000001</v>
      </c>
      <c r="X381">
        <f t="shared" si="22"/>
        <v>0.62121171000000008</v>
      </c>
      <c r="Y381">
        <f t="shared" si="23"/>
        <v>14.900000000000006</v>
      </c>
      <c r="Z381" s="1">
        <v>0</v>
      </c>
      <c r="AA381">
        <v>100</v>
      </c>
      <c r="AB381">
        <v>0</v>
      </c>
      <c r="AC381">
        <v>0</v>
      </c>
      <c r="AD381">
        <v>101</v>
      </c>
      <c r="AE381">
        <v>0</v>
      </c>
      <c r="AF381" t="s">
        <v>2589</v>
      </c>
      <c r="AG381" t="s">
        <v>2589</v>
      </c>
    </row>
    <row r="382" spans="1:33">
      <c r="A382" s="2" t="s">
        <v>137</v>
      </c>
      <c r="B382" s="2" t="s">
        <v>148</v>
      </c>
      <c r="C382" s="1">
        <v>0.63291540800000001</v>
      </c>
      <c r="D382">
        <v>0.77430151800000002</v>
      </c>
      <c r="E382">
        <v>0.70057116200000003</v>
      </c>
      <c r="F382" s="1" t="s">
        <v>138</v>
      </c>
      <c r="G382" s="1">
        <v>1.1048387099999999</v>
      </c>
      <c r="H382" s="1">
        <v>35.4</v>
      </c>
      <c r="I382" s="1">
        <v>74.400000000000006</v>
      </c>
      <c r="J382" s="1">
        <v>0.70259602933333332</v>
      </c>
      <c r="K382" s="1">
        <v>0.52246277500000005</v>
      </c>
      <c r="L382" s="1">
        <v>0.64036274199999998</v>
      </c>
      <c r="M382" s="3">
        <v>0.62317592099999997</v>
      </c>
      <c r="N382" s="1" t="s">
        <v>149</v>
      </c>
      <c r="O382" s="1">
        <v>1.201000834</v>
      </c>
      <c r="P382" s="1">
        <v>59.2</v>
      </c>
      <c r="Q382" s="1">
        <v>119.9</v>
      </c>
      <c r="R382" s="1">
        <v>0.59533381266666663</v>
      </c>
      <c r="S382" s="1">
        <v>0.1900773610466511</v>
      </c>
      <c r="T382" t="s">
        <v>547</v>
      </c>
      <c r="U382" s="1">
        <v>37827</v>
      </c>
      <c r="V382">
        <f t="shared" si="20"/>
        <v>0.50864465549386251</v>
      </c>
      <c r="W382" s="1">
        <f t="shared" si="21"/>
        <v>23.800000000000004</v>
      </c>
      <c r="X382">
        <f t="shared" si="22"/>
        <v>9.6162124000000127E-2</v>
      </c>
      <c r="Y382">
        <f t="shared" si="23"/>
        <v>45.5</v>
      </c>
      <c r="Z382" s="1">
        <v>6</v>
      </c>
      <c r="AA382">
        <v>94</v>
      </c>
      <c r="AB382">
        <v>6.3799999999999996E-2</v>
      </c>
      <c r="AC382">
        <v>8</v>
      </c>
      <c r="AD382">
        <v>88</v>
      </c>
      <c r="AE382">
        <v>9.0899999999999995E-2</v>
      </c>
      <c r="AF382" t="s">
        <v>2589</v>
      </c>
      <c r="AG382" t="s">
        <v>2589</v>
      </c>
    </row>
    <row r="383" spans="1:33">
      <c r="A383" s="2" t="s">
        <v>137</v>
      </c>
      <c r="B383" s="2" t="s">
        <v>101</v>
      </c>
      <c r="C383" s="1">
        <v>0.63291540800000001</v>
      </c>
      <c r="D383">
        <v>0.77430151800000002</v>
      </c>
      <c r="E383">
        <v>0.70057116200000003</v>
      </c>
      <c r="F383" s="1" t="s">
        <v>138</v>
      </c>
      <c r="G383" s="1">
        <v>1.1048387099999999</v>
      </c>
      <c r="H383" s="1">
        <v>35.4</v>
      </c>
      <c r="I383" s="1">
        <v>74.400000000000006</v>
      </c>
      <c r="J383" s="1">
        <v>0.70259602933333332</v>
      </c>
      <c r="K383" s="1">
        <v>0.57277697599999999</v>
      </c>
      <c r="L383" s="1">
        <v>0.64568820599999999</v>
      </c>
      <c r="M383" s="3">
        <v>0.70909993500000001</v>
      </c>
      <c r="N383" s="1" t="s">
        <v>102</v>
      </c>
      <c r="O383" s="1">
        <v>1.2818181820000001</v>
      </c>
      <c r="P383" s="1">
        <v>58</v>
      </c>
      <c r="Q383" s="1">
        <v>110</v>
      </c>
      <c r="R383" s="1">
        <v>0.64252170566666666</v>
      </c>
      <c r="S383" s="1">
        <v>0.14223485858225299</v>
      </c>
      <c r="T383" t="s">
        <v>529</v>
      </c>
      <c r="U383" s="1">
        <v>7768</v>
      </c>
      <c r="V383">
        <f t="shared" si="20"/>
        <v>0.43225657965554981</v>
      </c>
      <c r="W383" s="1">
        <f t="shared" si="21"/>
        <v>22.6</v>
      </c>
      <c r="X383">
        <f t="shared" si="22"/>
        <v>0.17697947200000019</v>
      </c>
      <c r="Y383">
        <f t="shared" si="23"/>
        <v>35.599999999999994</v>
      </c>
      <c r="Z383" s="1">
        <v>4</v>
      </c>
      <c r="AA383">
        <v>96</v>
      </c>
      <c r="AB383">
        <v>4.1700000000000001E-2</v>
      </c>
      <c r="AC383">
        <v>6</v>
      </c>
      <c r="AD383">
        <v>88</v>
      </c>
      <c r="AE383">
        <v>6.8199999999999997E-2</v>
      </c>
      <c r="AF383" t="s">
        <v>2589</v>
      </c>
      <c r="AG383" t="s">
        <v>2589</v>
      </c>
    </row>
    <row r="384" spans="1:33">
      <c r="A384" s="2" t="s">
        <v>137</v>
      </c>
      <c r="B384" s="2" t="s">
        <v>103</v>
      </c>
      <c r="C384" s="1">
        <v>0.63291540800000001</v>
      </c>
      <c r="D384">
        <v>0.77430151800000002</v>
      </c>
      <c r="E384">
        <v>0.70057116200000003</v>
      </c>
      <c r="F384" s="1" t="s">
        <v>138</v>
      </c>
      <c r="G384" s="1">
        <v>1.1048387099999999</v>
      </c>
      <c r="H384" s="1">
        <v>35.4</v>
      </c>
      <c r="I384" s="1">
        <v>74.400000000000006</v>
      </c>
      <c r="J384" s="1">
        <v>0.70259602933333332</v>
      </c>
      <c r="K384" s="1">
        <v>0.58538445800000005</v>
      </c>
      <c r="L384" s="1">
        <v>0.70461059999999998</v>
      </c>
      <c r="M384" s="3">
        <v>0.67846608399999997</v>
      </c>
      <c r="N384" s="1" t="s">
        <v>104</v>
      </c>
      <c r="O384" s="1">
        <v>1.1020080320000001</v>
      </c>
      <c r="P384" s="1">
        <v>58.7</v>
      </c>
      <c r="Q384" s="1">
        <v>124.5</v>
      </c>
      <c r="R384" s="1">
        <v>0.65615371400000011</v>
      </c>
      <c r="S384" s="1">
        <v>8.7204642840684313E-2</v>
      </c>
      <c r="T384" t="s">
        <v>530</v>
      </c>
      <c r="U384" s="1">
        <v>9137</v>
      </c>
      <c r="V384">
        <f t="shared" si="20"/>
        <v>0.44008929165686328</v>
      </c>
      <c r="W384" s="1">
        <f t="shared" si="21"/>
        <v>23.300000000000004</v>
      </c>
      <c r="X384">
        <f t="shared" si="22"/>
        <v>2.8306779999998088E-3</v>
      </c>
      <c r="Y384">
        <f t="shared" si="23"/>
        <v>50.099999999999994</v>
      </c>
      <c r="Z384" s="1">
        <v>1</v>
      </c>
      <c r="AA384">
        <v>99</v>
      </c>
      <c r="AB384">
        <v>1.01E-2</v>
      </c>
      <c r="AC384">
        <v>3</v>
      </c>
      <c r="AD384">
        <v>92</v>
      </c>
      <c r="AE384">
        <v>3.2599999999999997E-2</v>
      </c>
      <c r="AF384" t="s">
        <v>2589</v>
      </c>
      <c r="AG384" t="s">
        <v>2589</v>
      </c>
    </row>
    <row r="385" spans="1:33">
      <c r="A385" s="2" t="s">
        <v>137</v>
      </c>
      <c r="B385" s="2" t="s">
        <v>105</v>
      </c>
      <c r="C385" s="1">
        <v>0.63291540800000001</v>
      </c>
      <c r="D385">
        <v>0.77430151800000002</v>
      </c>
      <c r="E385">
        <v>0.70057116200000003</v>
      </c>
      <c r="F385" s="1" t="s">
        <v>138</v>
      </c>
      <c r="G385" s="1">
        <v>1.1048387099999999</v>
      </c>
      <c r="H385" s="1">
        <v>35.4</v>
      </c>
      <c r="I385" s="1">
        <v>74.400000000000006</v>
      </c>
      <c r="J385" s="1">
        <v>0.70259602933333332</v>
      </c>
      <c r="K385" s="1">
        <v>0.56210716000000005</v>
      </c>
      <c r="L385" s="1">
        <v>0.68032504299999996</v>
      </c>
      <c r="M385" s="3">
        <v>0.71115907899999997</v>
      </c>
      <c r="N385" s="1" t="s">
        <v>106</v>
      </c>
      <c r="O385" s="1">
        <v>1.0978593270000001</v>
      </c>
      <c r="P385" s="1">
        <v>43.5</v>
      </c>
      <c r="Q385" s="1">
        <v>98.1</v>
      </c>
      <c r="R385" s="1">
        <v>0.65119709399999992</v>
      </c>
      <c r="S385" s="1">
        <v>0.1181418208114892</v>
      </c>
      <c r="T385" t="s">
        <v>531</v>
      </c>
      <c r="U385" s="1">
        <v>22863</v>
      </c>
      <c r="V385">
        <f t="shared" si="20"/>
        <v>0.48434813514959124</v>
      </c>
      <c r="W385" s="1">
        <f t="shared" si="21"/>
        <v>8.1000000000000014</v>
      </c>
      <c r="X385">
        <f t="shared" si="22"/>
        <v>6.9793829999997836E-3</v>
      </c>
      <c r="Y385">
        <f t="shared" si="23"/>
        <v>23.699999999999989</v>
      </c>
      <c r="Z385" s="1">
        <v>0</v>
      </c>
      <c r="AA385">
        <v>100</v>
      </c>
      <c r="AB385">
        <v>0</v>
      </c>
      <c r="AC385">
        <v>1</v>
      </c>
      <c r="AD385">
        <v>112</v>
      </c>
      <c r="AE385">
        <v>8.8999999999999999E-3</v>
      </c>
      <c r="AF385" t="s">
        <v>2589</v>
      </c>
      <c r="AG385" t="s">
        <v>2589</v>
      </c>
    </row>
    <row r="386" spans="1:33">
      <c r="A386" s="2" t="s">
        <v>137</v>
      </c>
      <c r="B386" s="2" t="s">
        <v>107</v>
      </c>
      <c r="C386" s="1">
        <v>0.63291540800000001</v>
      </c>
      <c r="D386">
        <v>0.77430151800000002</v>
      </c>
      <c r="E386">
        <v>0.70057116200000003</v>
      </c>
      <c r="F386" s="1" t="s">
        <v>138</v>
      </c>
      <c r="G386" s="1">
        <v>1.1048387099999999</v>
      </c>
      <c r="H386" s="1">
        <v>35.4</v>
      </c>
      <c r="I386" s="1">
        <v>74.400000000000006</v>
      </c>
      <c r="J386" s="1">
        <v>0.70259602933333332</v>
      </c>
      <c r="K386" s="1">
        <v>0.61734740899999996</v>
      </c>
      <c r="L386" s="1">
        <v>0.68293216999999995</v>
      </c>
      <c r="M386" s="3">
        <v>0.69981194099999999</v>
      </c>
      <c r="N386" s="1" t="s">
        <v>108</v>
      </c>
      <c r="O386" s="1">
        <v>2</v>
      </c>
      <c r="P386" s="1">
        <v>19</v>
      </c>
      <c r="Q386" s="1">
        <v>21.1</v>
      </c>
      <c r="R386" s="1">
        <v>0.66669717333333323</v>
      </c>
      <c r="S386" s="1">
        <v>9.2689248369678567E-2</v>
      </c>
      <c r="T386" t="s">
        <v>532</v>
      </c>
      <c r="U386" s="1">
        <v>651</v>
      </c>
      <c r="V386">
        <f t="shared" ref="V386:V449" si="24">LOG10(U386) / 9</f>
        <v>0.31262010984091027</v>
      </c>
      <c r="W386" s="1">
        <f t="shared" ref="W386:W449" si="25">ABS(H386-P386)</f>
        <v>16.399999999999999</v>
      </c>
      <c r="X386">
        <f t="shared" ref="X386:X449" si="26">ABS(G386-O386)</f>
        <v>0.89516129000000011</v>
      </c>
      <c r="Y386">
        <f t="shared" ref="Y386:Y449" si="27">ABS(I386-Q386)</f>
        <v>53.300000000000004</v>
      </c>
      <c r="Z386" s="1">
        <v>0</v>
      </c>
      <c r="AA386">
        <v>100</v>
      </c>
      <c r="AB386">
        <v>0</v>
      </c>
      <c r="AC386">
        <v>0</v>
      </c>
      <c r="AD386">
        <v>89</v>
      </c>
      <c r="AE386">
        <v>0</v>
      </c>
      <c r="AF386" t="s">
        <v>2589</v>
      </c>
      <c r="AG386" t="s">
        <v>2588</v>
      </c>
    </row>
    <row r="387" spans="1:33">
      <c r="A387" s="2" t="s">
        <v>137</v>
      </c>
      <c r="B387" s="2" t="s">
        <v>109</v>
      </c>
      <c r="C387" s="1">
        <v>0.63291540800000001</v>
      </c>
      <c r="D387">
        <v>0.77430151800000002</v>
      </c>
      <c r="E387">
        <v>0.70057116200000003</v>
      </c>
      <c r="F387" s="1" t="s">
        <v>138</v>
      </c>
      <c r="G387" s="1">
        <v>1.1048387099999999</v>
      </c>
      <c r="H387" s="1">
        <v>35.4</v>
      </c>
      <c r="I387" s="1">
        <v>74.400000000000006</v>
      </c>
      <c r="J387" s="1">
        <v>0.70259602933333332</v>
      </c>
      <c r="K387" s="1">
        <v>0.51638908800000005</v>
      </c>
      <c r="L387" s="1">
        <v>0.68684605300000001</v>
      </c>
      <c r="M387" s="3">
        <v>0.66065444600000001</v>
      </c>
      <c r="N387" s="1" t="s">
        <v>110</v>
      </c>
      <c r="O387" s="1">
        <v>1.2897862229999999</v>
      </c>
      <c r="P387" s="1">
        <v>49.4</v>
      </c>
      <c r="Q387" s="1">
        <v>84.2</v>
      </c>
      <c r="R387" s="1">
        <v>0.62129652899999999</v>
      </c>
      <c r="S387" s="1">
        <v>0.1510635158710841</v>
      </c>
      <c r="T387" t="s">
        <v>533</v>
      </c>
      <c r="U387" s="1">
        <v>8743</v>
      </c>
      <c r="V387">
        <f t="shared" si="24"/>
        <v>0.43796227537648802</v>
      </c>
      <c r="W387" s="1">
        <f t="shared" si="25"/>
        <v>14</v>
      </c>
      <c r="X387">
        <f t="shared" si="26"/>
        <v>0.18494751300000001</v>
      </c>
      <c r="Y387">
        <f t="shared" si="27"/>
        <v>9.7999999999999972</v>
      </c>
      <c r="Z387" s="1">
        <v>8</v>
      </c>
      <c r="AA387">
        <v>92</v>
      </c>
      <c r="AB387">
        <v>8.6999999999999994E-2</v>
      </c>
      <c r="AC387">
        <v>14</v>
      </c>
      <c r="AD387">
        <v>96</v>
      </c>
      <c r="AE387">
        <v>0.14580000000000001</v>
      </c>
      <c r="AF387" t="s">
        <v>2589</v>
      </c>
      <c r="AG387" t="s">
        <v>2589</v>
      </c>
    </row>
    <row r="388" spans="1:33">
      <c r="A388" s="2" t="s">
        <v>137</v>
      </c>
      <c r="B388" s="2" t="s">
        <v>111</v>
      </c>
      <c r="C388" s="1">
        <v>0.63291540800000001</v>
      </c>
      <c r="D388">
        <v>0.77430151800000002</v>
      </c>
      <c r="E388">
        <v>0.70057116200000003</v>
      </c>
      <c r="F388" s="1" t="s">
        <v>138</v>
      </c>
      <c r="G388" s="1">
        <v>1.1048387099999999</v>
      </c>
      <c r="H388" s="1">
        <v>35.4</v>
      </c>
      <c r="I388" s="1">
        <v>74.400000000000006</v>
      </c>
      <c r="J388" s="1">
        <v>0.70259602933333332</v>
      </c>
      <c r="K388" s="1">
        <v>0.60132418300000001</v>
      </c>
      <c r="L388" s="1">
        <v>0.67605095299999995</v>
      </c>
      <c r="M388" s="3">
        <v>0.74222981799999999</v>
      </c>
      <c r="N388" s="1" t="s">
        <v>112</v>
      </c>
      <c r="O388" s="1">
        <v>1.561403509</v>
      </c>
      <c r="P388" s="1">
        <v>30</v>
      </c>
      <c r="Q388" s="1">
        <v>45.6</v>
      </c>
      <c r="R388" s="1">
        <v>0.67320165133333332</v>
      </c>
      <c r="S388" s="1">
        <v>0.11129520492611618</v>
      </c>
      <c r="T388" t="s">
        <v>534</v>
      </c>
      <c r="U388" s="1">
        <v>293</v>
      </c>
      <c r="V388">
        <f t="shared" si="24"/>
        <v>0.27409640226156773</v>
      </c>
      <c r="W388" s="1">
        <f t="shared" si="25"/>
        <v>5.3999999999999986</v>
      </c>
      <c r="X388">
        <f t="shared" si="26"/>
        <v>0.45656479900000013</v>
      </c>
      <c r="Y388">
        <f t="shared" si="27"/>
        <v>28.800000000000004</v>
      </c>
      <c r="Z388" s="1">
        <v>1</v>
      </c>
      <c r="AA388">
        <v>99</v>
      </c>
      <c r="AB388">
        <v>1.01E-2</v>
      </c>
      <c r="AC388">
        <v>2</v>
      </c>
      <c r="AD388">
        <v>103</v>
      </c>
      <c r="AE388">
        <v>1.9400000000000001E-2</v>
      </c>
      <c r="AF388" t="s">
        <v>2589</v>
      </c>
      <c r="AG388" t="s">
        <v>2591</v>
      </c>
    </row>
    <row r="389" spans="1:33">
      <c r="A389" s="2" t="s">
        <v>137</v>
      </c>
      <c r="B389" s="2" t="s">
        <v>113</v>
      </c>
      <c r="C389" s="1">
        <v>0.63291540800000001</v>
      </c>
      <c r="D389">
        <v>0.77430151800000002</v>
      </c>
      <c r="E389">
        <v>0.70057116200000003</v>
      </c>
      <c r="F389" s="1" t="s">
        <v>138</v>
      </c>
      <c r="G389" s="1">
        <v>1.1048387099999999</v>
      </c>
      <c r="H389" s="1">
        <v>35.4</v>
      </c>
      <c r="I389" s="1">
        <v>74.400000000000006</v>
      </c>
      <c r="J389" s="1">
        <v>0.70259602933333332</v>
      </c>
      <c r="K389" s="1">
        <v>0.57440698499999998</v>
      </c>
      <c r="L389" s="1">
        <v>0.66920790399999996</v>
      </c>
      <c r="M389" s="3">
        <v>0.71602402300000001</v>
      </c>
      <c r="N389" s="1" t="s">
        <v>114</v>
      </c>
      <c r="O389" s="1">
        <v>2.5573248409999998</v>
      </c>
      <c r="P389" s="1">
        <v>34.299999999999997</v>
      </c>
      <c r="Q389" s="1">
        <v>31.4</v>
      </c>
      <c r="R389" s="1">
        <v>0.65321297066666661</v>
      </c>
      <c r="S389" s="1">
        <v>0.12127115971496794</v>
      </c>
      <c r="T389" t="s">
        <v>535</v>
      </c>
      <c r="U389" s="1">
        <v>648</v>
      </c>
      <c r="V389">
        <f t="shared" si="24"/>
        <v>0.31239722287451038</v>
      </c>
      <c r="W389" s="1">
        <f t="shared" si="25"/>
        <v>1.1000000000000014</v>
      </c>
      <c r="X389">
        <f t="shared" si="26"/>
        <v>1.4524861309999999</v>
      </c>
      <c r="Y389">
        <f t="shared" si="27"/>
        <v>43.000000000000007</v>
      </c>
      <c r="Z389" s="1">
        <v>0</v>
      </c>
      <c r="AA389">
        <v>100</v>
      </c>
      <c r="AB389">
        <v>0</v>
      </c>
      <c r="AC389">
        <v>0</v>
      </c>
      <c r="AD389">
        <v>99</v>
      </c>
      <c r="AE389">
        <v>0</v>
      </c>
      <c r="AF389" t="s">
        <v>2589</v>
      </c>
      <c r="AG389" t="s">
        <v>2593</v>
      </c>
    </row>
    <row r="390" spans="1:33">
      <c r="A390" s="2" t="s">
        <v>137</v>
      </c>
      <c r="B390" s="2" t="s">
        <v>115</v>
      </c>
      <c r="C390" s="1">
        <v>0.63291540800000001</v>
      </c>
      <c r="D390">
        <v>0.77430151800000002</v>
      </c>
      <c r="E390">
        <v>0.70057116200000003</v>
      </c>
      <c r="F390" s="1" t="s">
        <v>138</v>
      </c>
      <c r="G390" s="1">
        <v>1.1048387099999999</v>
      </c>
      <c r="H390" s="1">
        <v>35.4</v>
      </c>
      <c r="I390" s="1">
        <v>74.400000000000006</v>
      </c>
      <c r="J390" s="1">
        <v>0.70259602933333332</v>
      </c>
      <c r="K390" s="1">
        <v>0.55237211100000005</v>
      </c>
      <c r="L390" s="1">
        <v>0.65961031000000003</v>
      </c>
      <c r="M390" s="3">
        <v>0.69215541599999997</v>
      </c>
      <c r="N390" s="1" t="s">
        <v>116</v>
      </c>
      <c r="O390" s="1">
        <v>1.149700599</v>
      </c>
      <c r="P390" s="1">
        <v>66.900000000000006</v>
      </c>
      <c r="Q390" s="1">
        <v>133.6</v>
      </c>
      <c r="R390" s="1">
        <v>0.63471261233333331</v>
      </c>
      <c r="S390" s="1">
        <v>0.140399859917544</v>
      </c>
      <c r="T390" t="s">
        <v>536</v>
      </c>
      <c r="U390" s="1">
        <v>19907</v>
      </c>
      <c r="V390">
        <f t="shared" si="24"/>
        <v>0.4776673129389597</v>
      </c>
      <c r="W390" s="1">
        <f t="shared" si="25"/>
        <v>31.500000000000007</v>
      </c>
      <c r="X390">
        <f t="shared" si="26"/>
        <v>4.4861889000000099E-2</v>
      </c>
      <c r="Y390">
        <f t="shared" si="27"/>
        <v>59.199999999999989</v>
      </c>
      <c r="Z390" s="1">
        <v>4</v>
      </c>
      <c r="AA390">
        <v>96</v>
      </c>
      <c r="AB390">
        <v>4.1700000000000001E-2</v>
      </c>
      <c r="AC390">
        <v>6</v>
      </c>
      <c r="AD390">
        <v>98</v>
      </c>
      <c r="AE390">
        <v>6.1199999999999997E-2</v>
      </c>
      <c r="AF390" t="s">
        <v>2589</v>
      </c>
      <c r="AG390" t="s">
        <v>2589</v>
      </c>
    </row>
    <row r="391" spans="1:33">
      <c r="A391" s="2" t="s">
        <v>137</v>
      </c>
      <c r="B391" s="2" t="s">
        <v>117</v>
      </c>
      <c r="C391" s="1">
        <v>0.63291540800000001</v>
      </c>
      <c r="D391">
        <v>0.77430151800000002</v>
      </c>
      <c r="E391">
        <v>0.70057116200000003</v>
      </c>
      <c r="F391" s="1" t="s">
        <v>138</v>
      </c>
      <c r="G391" s="1">
        <v>1.1048387099999999</v>
      </c>
      <c r="H391" s="1">
        <v>35.4</v>
      </c>
      <c r="I391" s="1">
        <v>74.400000000000006</v>
      </c>
      <c r="J391" s="1">
        <v>0.70259602933333332</v>
      </c>
      <c r="K391" s="1">
        <v>0.52788907299999999</v>
      </c>
      <c r="L391" s="1">
        <v>0.665074418</v>
      </c>
      <c r="M391" s="3">
        <v>0.69056128699999997</v>
      </c>
      <c r="N391" s="1" t="s">
        <v>118</v>
      </c>
      <c r="O391" s="1">
        <v>1.0818253339999999</v>
      </c>
      <c r="P391" s="1">
        <v>58.4</v>
      </c>
      <c r="Q391" s="1">
        <v>127.1</v>
      </c>
      <c r="R391" s="1">
        <v>0.62784159266666661</v>
      </c>
      <c r="S391" s="1">
        <v>0.15185943505577079</v>
      </c>
      <c r="T391" t="s">
        <v>537</v>
      </c>
      <c r="U391" s="1">
        <v>71263</v>
      </c>
      <c r="V391">
        <f t="shared" si="24"/>
        <v>0.53920712234972068</v>
      </c>
      <c r="W391" s="1">
        <f t="shared" si="25"/>
        <v>23</v>
      </c>
      <c r="X391">
        <f t="shared" si="26"/>
        <v>2.3013375999999974E-2</v>
      </c>
      <c r="Y391">
        <f t="shared" si="27"/>
        <v>52.699999999999989</v>
      </c>
      <c r="Z391" s="1">
        <v>6</v>
      </c>
      <c r="AA391">
        <v>94</v>
      </c>
      <c r="AB391">
        <v>6.3799999999999996E-2</v>
      </c>
      <c r="AC391">
        <v>11</v>
      </c>
      <c r="AD391">
        <v>105</v>
      </c>
      <c r="AE391">
        <v>0.1048</v>
      </c>
      <c r="AF391" t="s">
        <v>2589</v>
      </c>
      <c r="AG391" t="s">
        <v>2589</v>
      </c>
    </row>
    <row r="392" spans="1:33">
      <c r="A392" s="2" t="s">
        <v>137</v>
      </c>
      <c r="B392" s="2" t="s">
        <v>119</v>
      </c>
      <c r="C392" s="1">
        <v>0.63291540800000001</v>
      </c>
      <c r="D392">
        <v>0.77430151800000002</v>
      </c>
      <c r="E392">
        <v>0.70057116200000003</v>
      </c>
      <c r="F392" s="1" t="s">
        <v>138</v>
      </c>
      <c r="G392" s="1">
        <v>1.1048387099999999</v>
      </c>
      <c r="H392" s="1">
        <v>35.4</v>
      </c>
      <c r="I392" s="1">
        <v>74.400000000000006</v>
      </c>
      <c r="J392" s="1">
        <v>0.70259602933333332</v>
      </c>
      <c r="K392" s="1">
        <v>0.48582609999999998</v>
      </c>
      <c r="L392" s="1">
        <v>0.67226483999999997</v>
      </c>
      <c r="M392" s="3">
        <v>0.68571362400000002</v>
      </c>
      <c r="N392" s="1" t="s">
        <v>120</v>
      </c>
      <c r="O392" s="1">
        <v>1.1435028249999999</v>
      </c>
      <c r="P392" s="1">
        <v>42.6</v>
      </c>
      <c r="Q392" s="1">
        <v>88.5</v>
      </c>
      <c r="R392" s="1">
        <v>0.61460152133333334</v>
      </c>
      <c r="S392" s="1">
        <v>0.1796315524083005</v>
      </c>
      <c r="T392" t="s">
        <v>538</v>
      </c>
      <c r="U392" s="1">
        <v>17258</v>
      </c>
      <c r="V392">
        <f t="shared" si="24"/>
        <v>0.47077671829479417</v>
      </c>
      <c r="W392" s="1">
        <f t="shared" si="25"/>
        <v>7.2000000000000028</v>
      </c>
      <c r="X392">
        <f t="shared" si="26"/>
        <v>3.8664114999999999E-2</v>
      </c>
      <c r="Y392">
        <f t="shared" si="27"/>
        <v>14.099999999999994</v>
      </c>
      <c r="Z392" s="1">
        <v>5</v>
      </c>
      <c r="AA392">
        <v>95</v>
      </c>
      <c r="AB392">
        <v>5.2600000000000001E-2</v>
      </c>
      <c r="AC392">
        <v>7</v>
      </c>
      <c r="AD392">
        <v>97</v>
      </c>
      <c r="AE392">
        <v>7.22E-2</v>
      </c>
      <c r="AF392" t="s">
        <v>2589</v>
      </c>
      <c r="AG392" t="s">
        <v>2589</v>
      </c>
    </row>
    <row r="393" spans="1:33">
      <c r="A393" s="2" t="s">
        <v>137</v>
      </c>
      <c r="B393" s="2" t="s">
        <v>121</v>
      </c>
      <c r="C393" s="1">
        <v>0.63291540800000001</v>
      </c>
      <c r="D393">
        <v>0.77430151800000002</v>
      </c>
      <c r="E393">
        <v>0.70057116200000003</v>
      </c>
      <c r="F393" s="1" t="s">
        <v>138</v>
      </c>
      <c r="G393" s="1">
        <v>1.1048387099999999</v>
      </c>
      <c r="H393" s="1">
        <v>35.4</v>
      </c>
      <c r="I393" s="1">
        <v>74.400000000000006</v>
      </c>
      <c r="J393" s="1">
        <v>0.70259602933333332</v>
      </c>
      <c r="K393" s="1">
        <v>0.57363214500000004</v>
      </c>
      <c r="L393" s="1">
        <v>0.65876685800000001</v>
      </c>
      <c r="M393" s="3">
        <v>0.71110834000000001</v>
      </c>
      <c r="N393" s="1" t="s">
        <v>122</v>
      </c>
      <c r="O393" s="1">
        <v>2.4518664050000001</v>
      </c>
      <c r="P393" s="1">
        <v>50.1</v>
      </c>
      <c r="Q393" s="1">
        <v>50.9</v>
      </c>
      <c r="R393" s="1">
        <v>0.64783578100000005</v>
      </c>
      <c r="S393" s="1">
        <v>0.13028351796542206</v>
      </c>
      <c r="T393" t="s">
        <v>539</v>
      </c>
      <c r="U393" s="1">
        <v>700</v>
      </c>
      <c r="V393">
        <f t="shared" si="24"/>
        <v>0.31612200444602856</v>
      </c>
      <c r="W393" s="1">
        <f t="shared" si="25"/>
        <v>14.700000000000003</v>
      </c>
      <c r="X393">
        <f t="shared" si="26"/>
        <v>1.3470276950000002</v>
      </c>
      <c r="Y393">
        <f t="shared" si="27"/>
        <v>23.500000000000007</v>
      </c>
      <c r="Z393" s="1">
        <v>2</v>
      </c>
      <c r="AA393">
        <v>98</v>
      </c>
      <c r="AB393">
        <v>2.0400000000000001E-2</v>
      </c>
      <c r="AC393">
        <v>3</v>
      </c>
      <c r="AD393">
        <v>108</v>
      </c>
      <c r="AE393">
        <v>2.7799999999999998E-2</v>
      </c>
      <c r="AF393" t="s">
        <v>2589</v>
      </c>
      <c r="AG393" t="s">
        <v>2593</v>
      </c>
    </row>
    <row r="394" spans="1:33">
      <c r="A394" s="2" t="s">
        <v>137</v>
      </c>
      <c r="B394" s="2" t="s">
        <v>123</v>
      </c>
      <c r="C394" s="1">
        <v>0.63291540800000001</v>
      </c>
      <c r="D394">
        <v>0.77430151800000002</v>
      </c>
      <c r="E394">
        <v>0.70057116200000003</v>
      </c>
      <c r="F394" s="1" t="s">
        <v>138</v>
      </c>
      <c r="G394" s="1">
        <v>1.1048387099999999</v>
      </c>
      <c r="H394" s="1">
        <v>35.4</v>
      </c>
      <c r="I394" s="1">
        <v>74.400000000000006</v>
      </c>
      <c r="J394" s="1">
        <v>0.70259602933333332</v>
      </c>
      <c r="K394" s="1">
        <v>0.59184352799999995</v>
      </c>
      <c r="L394" s="1">
        <v>0.67011857600000002</v>
      </c>
      <c r="M394" s="3">
        <v>0.74025419199999998</v>
      </c>
      <c r="N394" s="1" t="s">
        <v>124</v>
      </c>
      <c r="O394" s="1">
        <v>1.7166666669999999</v>
      </c>
      <c r="P394" s="1">
        <v>26</v>
      </c>
      <c r="Q394" s="1">
        <v>36</v>
      </c>
      <c r="R394" s="1">
        <v>0.66740543199999991</v>
      </c>
      <c r="S394" s="1">
        <v>0.11880962755808414</v>
      </c>
      <c r="T394" t="s">
        <v>540</v>
      </c>
      <c r="U394" s="1">
        <v>359</v>
      </c>
      <c r="V394">
        <f t="shared" si="24"/>
        <v>0.28389938317536884</v>
      </c>
      <c r="W394" s="1">
        <f t="shared" si="25"/>
        <v>9.3999999999999986</v>
      </c>
      <c r="X394">
        <f t="shared" si="26"/>
        <v>0.61182795700000003</v>
      </c>
      <c r="Y394">
        <f t="shared" si="27"/>
        <v>38.400000000000006</v>
      </c>
      <c r="Z394" s="1">
        <v>0</v>
      </c>
      <c r="AA394">
        <v>100</v>
      </c>
      <c r="AB394">
        <v>0</v>
      </c>
      <c r="AC394">
        <v>0</v>
      </c>
      <c r="AD394">
        <v>106</v>
      </c>
      <c r="AE394">
        <v>0</v>
      </c>
      <c r="AF394" t="s">
        <v>2589</v>
      </c>
      <c r="AG394" t="s">
        <v>2591</v>
      </c>
    </row>
    <row r="395" spans="1:33">
      <c r="A395" s="2" t="s">
        <v>137</v>
      </c>
      <c r="B395" s="2" t="s">
        <v>125</v>
      </c>
      <c r="C395" s="1">
        <v>0.63291540800000001</v>
      </c>
      <c r="D395">
        <v>0.77430151800000002</v>
      </c>
      <c r="E395">
        <v>0.70057116200000003</v>
      </c>
      <c r="F395" s="1" t="s">
        <v>138</v>
      </c>
      <c r="G395" s="1">
        <v>1.1048387099999999</v>
      </c>
      <c r="H395" s="1">
        <v>35.4</v>
      </c>
      <c r="I395" s="1">
        <v>74.400000000000006</v>
      </c>
      <c r="J395" s="1">
        <v>0.70259602933333332</v>
      </c>
      <c r="K395" s="1">
        <v>0.611478776</v>
      </c>
      <c r="L395" s="1">
        <v>0.67681801600000002</v>
      </c>
      <c r="M395" s="3">
        <v>0.73326355300000001</v>
      </c>
      <c r="N395" s="1" t="s">
        <v>126</v>
      </c>
      <c r="O395" s="1">
        <v>1.6431372550000001</v>
      </c>
      <c r="P395" s="1">
        <v>35.1</v>
      </c>
      <c r="Q395" s="1">
        <v>51</v>
      </c>
      <c r="R395" s="1">
        <v>0.67385344833333338</v>
      </c>
      <c r="S395" s="1">
        <v>0.10503025651203708</v>
      </c>
      <c r="T395" t="s">
        <v>541</v>
      </c>
      <c r="U395" s="1">
        <v>480</v>
      </c>
      <c r="V395">
        <f t="shared" si="24"/>
        <v>0.29791569304173193</v>
      </c>
      <c r="W395" s="1">
        <f t="shared" si="25"/>
        <v>0.29999999999999716</v>
      </c>
      <c r="X395">
        <f t="shared" si="26"/>
        <v>0.53829854500000018</v>
      </c>
      <c r="Y395">
        <f t="shared" si="27"/>
        <v>23.400000000000006</v>
      </c>
      <c r="Z395" s="1">
        <v>2</v>
      </c>
      <c r="AA395">
        <v>98</v>
      </c>
      <c r="AB395">
        <v>2.0400000000000001E-2</v>
      </c>
      <c r="AC395">
        <v>3</v>
      </c>
      <c r="AD395">
        <v>113</v>
      </c>
      <c r="AE395">
        <v>2.6499999999999999E-2</v>
      </c>
      <c r="AF395" t="s">
        <v>2589</v>
      </c>
      <c r="AG395" t="s">
        <v>2591</v>
      </c>
    </row>
    <row r="396" spans="1:33">
      <c r="A396" s="2" t="s">
        <v>137</v>
      </c>
      <c r="B396" s="2" t="s">
        <v>127</v>
      </c>
      <c r="C396" s="1">
        <v>0.63291540800000001</v>
      </c>
      <c r="D396">
        <v>0.77430151800000002</v>
      </c>
      <c r="E396">
        <v>0.70057116200000003</v>
      </c>
      <c r="F396" s="1" t="s">
        <v>138</v>
      </c>
      <c r="G396" s="1">
        <v>1.1048387099999999</v>
      </c>
      <c r="H396" s="1">
        <v>35.4</v>
      </c>
      <c r="I396" s="1">
        <v>74.400000000000006</v>
      </c>
      <c r="J396" s="1">
        <v>0.70259602933333332</v>
      </c>
      <c r="K396" s="1">
        <v>0.50688118500000001</v>
      </c>
      <c r="L396" s="1">
        <v>0.64616698699999997</v>
      </c>
      <c r="M396" s="3">
        <v>0.65580376299999998</v>
      </c>
      <c r="N396" s="1" t="s">
        <v>128</v>
      </c>
      <c r="O396" s="1">
        <v>1.5447714459999999</v>
      </c>
      <c r="P396" s="1">
        <v>98.4</v>
      </c>
      <c r="Q396" s="1">
        <v>159.69999999999999</v>
      </c>
      <c r="R396" s="1">
        <v>0.60295064500000006</v>
      </c>
      <c r="S396" s="1">
        <v>0.18522203814619065</v>
      </c>
      <c r="T396" t="s">
        <v>542</v>
      </c>
      <c r="U396" s="1">
        <v>28086</v>
      </c>
      <c r="V396">
        <f t="shared" si="24"/>
        <v>0.49427665461234288</v>
      </c>
      <c r="W396" s="1">
        <f t="shared" si="25"/>
        <v>63.000000000000007</v>
      </c>
      <c r="X396">
        <f t="shared" si="26"/>
        <v>0.43993273600000005</v>
      </c>
      <c r="Y396">
        <f t="shared" si="27"/>
        <v>85.299999999999983</v>
      </c>
      <c r="Z396" s="1">
        <v>8</v>
      </c>
      <c r="AA396">
        <v>92</v>
      </c>
      <c r="AB396">
        <v>8.6999999999999994E-2</v>
      </c>
      <c r="AC396">
        <v>14</v>
      </c>
      <c r="AD396">
        <v>102</v>
      </c>
      <c r="AE396">
        <v>0.13730000000000001</v>
      </c>
      <c r="AF396" t="s">
        <v>2589</v>
      </c>
      <c r="AG396" t="s">
        <v>2589</v>
      </c>
    </row>
    <row r="397" spans="1:33">
      <c r="A397" s="2" t="s">
        <v>137</v>
      </c>
      <c r="B397" s="2" t="s">
        <v>129</v>
      </c>
      <c r="C397" s="1">
        <v>0.63291540800000001</v>
      </c>
      <c r="D397">
        <v>0.77430151800000002</v>
      </c>
      <c r="E397">
        <v>0.70057116200000003</v>
      </c>
      <c r="F397" s="1" t="s">
        <v>138</v>
      </c>
      <c r="G397" s="1">
        <v>1.1048387099999999</v>
      </c>
      <c r="H397" s="1">
        <v>35.4</v>
      </c>
      <c r="I397" s="1">
        <v>74.400000000000006</v>
      </c>
      <c r="J397" s="1">
        <v>0.70259602933333332</v>
      </c>
      <c r="K397" s="1">
        <v>0.50422724299999999</v>
      </c>
      <c r="L397" s="1">
        <v>0.61050655300000001</v>
      </c>
      <c r="M397" s="3">
        <v>0.63007085299999999</v>
      </c>
      <c r="N397" s="1" t="s">
        <v>130</v>
      </c>
      <c r="O397" s="1">
        <v>1.4142988080000001</v>
      </c>
      <c r="P397" s="1">
        <v>58.7</v>
      </c>
      <c r="Q397" s="1">
        <v>109.1</v>
      </c>
      <c r="R397" s="1">
        <v>0.58160154966666655</v>
      </c>
      <c r="S397" s="1">
        <v>0.21990845354263658</v>
      </c>
      <c r="T397" t="s">
        <v>543</v>
      </c>
      <c r="U397" s="1">
        <v>3335</v>
      </c>
      <c r="V397">
        <f t="shared" si="24"/>
        <v>0.3914550931391742</v>
      </c>
      <c r="W397" s="1">
        <f t="shared" si="25"/>
        <v>23.300000000000004</v>
      </c>
      <c r="X397">
        <f t="shared" si="26"/>
        <v>0.30946009800000018</v>
      </c>
      <c r="Y397">
        <f t="shared" si="27"/>
        <v>34.699999999999989</v>
      </c>
      <c r="Z397" s="1">
        <v>7</v>
      </c>
      <c r="AA397">
        <v>93</v>
      </c>
      <c r="AB397">
        <v>7.5300000000000006E-2</v>
      </c>
      <c r="AC397">
        <v>10</v>
      </c>
      <c r="AD397">
        <v>89</v>
      </c>
      <c r="AE397">
        <v>0.1124</v>
      </c>
      <c r="AF397" t="s">
        <v>2589</v>
      </c>
      <c r="AG397" t="s">
        <v>2593</v>
      </c>
    </row>
    <row r="398" spans="1:33">
      <c r="A398" s="2" t="s">
        <v>137</v>
      </c>
      <c r="B398" s="2" t="s">
        <v>131</v>
      </c>
      <c r="C398" s="1">
        <v>0.63291540800000001</v>
      </c>
      <c r="D398">
        <v>0.77430151800000002</v>
      </c>
      <c r="E398">
        <v>0.70057116200000003</v>
      </c>
      <c r="F398" s="1" t="s">
        <v>138</v>
      </c>
      <c r="G398" s="1">
        <v>1.1048387099999999</v>
      </c>
      <c r="H398" s="1">
        <v>35.4</v>
      </c>
      <c r="I398" s="1">
        <v>74.400000000000006</v>
      </c>
      <c r="J398" s="1">
        <v>0.70259602933333332</v>
      </c>
      <c r="K398" s="1">
        <v>0.53830564800000003</v>
      </c>
      <c r="L398" s="1">
        <v>0.65609959100000004</v>
      </c>
      <c r="M398" s="3">
        <v>0.68896664299999999</v>
      </c>
      <c r="N398" s="1" t="s">
        <v>132</v>
      </c>
      <c r="O398" s="1">
        <v>1.0676416820000001</v>
      </c>
      <c r="P398" s="1">
        <v>25</v>
      </c>
      <c r="Q398" s="1">
        <v>54.7</v>
      </c>
      <c r="R398" s="1">
        <v>0.62779062733333335</v>
      </c>
      <c r="S398" s="1">
        <v>0.15184652480380406</v>
      </c>
      <c r="T398" t="s">
        <v>544</v>
      </c>
      <c r="U398" s="1">
        <v>21272</v>
      </c>
      <c r="V398">
        <f t="shared" si="24"/>
        <v>0.48086759159150116</v>
      </c>
      <c r="W398" s="1">
        <f t="shared" si="25"/>
        <v>10.399999999999999</v>
      </c>
      <c r="X398">
        <f t="shared" si="26"/>
        <v>3.7197027999999799E-2</v>
      </c>
      <c r="Y398">
        <f t="shared" si="27"/>
        <v>19.700000000000003</v>
      </c>
      <c r="Z398" s="1">
        <v>4</v>
      </c>
      <c r="AA398">
        <v>96</v>
      </c>
      <c r="AB398">
        <v>4.1700000000000001E-2</v>
      </c>
      <c r="AC398">
        <v>4</v>
      </c>
      <c r="AD398">
        <v>91</v>
      </c>
      <c r="AE398">
        <v>4.3999999999999997E-2</v>
      </c>
      <c r="AF398" t="s">
        <v>2589</v>
      </c>
      <c r="AG398" t="s">
        <v>2589</v>
      </c>
    </row>
    <row r="399" spans="1:33">
      <c r="A399" s="2" t="s">
        <v>137</v>
      </c>
      <c r="B399" s="2" t="s">
        <v>133</v>
      </c>
      <c r="C399" s="1">
        <v>0.63291540800000001</v>
      </c>
      <c r="D399">
        <v>0.77430151800000002</v>
      </c>
      <c r="E399">
        <v>0.70057116200000003</v>
      </c>
      <c r="F399" s="1" t="s">
        <v>138</v>
      </c>
      <c r="G399" s="1">
        <v>1.1048387099999999</v>
      </c>
      <c r="H399" s="1">
        <v>35.4</v>
      </c>
      <c r="I399" s="1">
        <v>74.400000000000006</v>
      </c>
      <c r="J399" s="1">
        <v>0.70259602933333332</v>
      </c>
      <c r="K399" s="1">
        <v>0.65296959200000004</v>
      </c>
      <c r="L399" s="1">
        <v>0.71047257900000005</v>
      </c>
      <c r="M399" s="3">
        <v>0.679994718</v>
      </c>
      <c r="N399" s="1" t="s">
        <v>134</v>
      </c>
      <c r="O399" s="1">
        <v>1.3877068560000001</v>
      </c>
      <c r="P399" s="1">
        <v>25.6</v>
      </c>
      <c r="Q399" s="1">
        <v>42.3</v>
      </c>
      <c r="R399" s="1">
        <v>0.6811456296666667</v>
      </c>
      <c r="S399" s="1">
        <v>6.9997812804806353E-2</v>
      </c>
      <c r="T399" t="s">
        <v>545</v>
      </c>
      <c r="U399" s="1">
        <v>345</v>
      </c>
      <c r="V399">
        <f t="shared" si="24"/>
        <v>0.281979899452586</v>
      </c>
      <c r="W399" s="1">
        <f t="shared" si="25"/>
        <v>9.7999999999999972</v>
      </c>
      <c r="X399">
        <f t="shared" si="26"/>
        <v>0.28286814600000021</v>
      </c>
      <c r="Y399">
        <f t="shared" si="27"/>
        <v>32.100000000000009</v>
      </c>
      <c r="Z399" s="1">
        <v>1</v>
      </c>
      <c r="AA399">
        <v>99</v>
      </c>
      <c r="AB399">
        <v>1.01E-2</v>
      </c>
      <c r="AC399">
        <v>3</v>
      </c>
      <c r="AD399">
        <v>144</v>
      </c>
      <c r="AE399">
        <v>2.0799999999999999E-2</v>
      </c>
      <c r="AF399" t="s">
        <v>2589</v>
      </c>
      <c r="AG399" t="s">
        <v>2591</v>
      </c>
    </row>
    <row r="400" spans="1:33">
      <c r="A400" s="2" t="s">
        <v>137</v>
      </c>
      <c r="B400" s="2" t="s">
        <v>135</v>
      </c>
      <c r="C400" s="1">
        <v>0.63291540800000001</v>
      </c>
      <c r="D400">
        <v>0.77430151800000002</v>
      </c>
      <c r="E400">
        <v>0.70057116200000003</v>
      </c>
      <c r="F400" s="1" t="s">
        <v>138</v>
      </c>
      <c r="G400" s="1">
        <v>1.1048387099999999</v>
      </c>
      <c r="H400" s="1">
        <v>35.4</v>
      </c>
      <c r="I400" s="1">
        <v>74.400000000000006</v>
      </c>
      <c r="J400" s="1">
        <v>0.70259602933333332</v>
      </c>
      <c r="K400" s="1">
        <v>0.62083905900000003</v>
      </c>
      <c r="L400" s="1">
        <v>0.69185057000000005</v>
      </c>
      <c r="M400" s="3">
        <v>0.70435387900000002</v>
      </c>
      <c r="N400" s="1" t="s">
        <v>136</v>
      </c>
      <c r="O400" s="1">
        <v>1.353075171</v>
      </c>
      <c r="P400" s="1">
        <v>25.2</v>
      </c>
      <c r="Q400" s="1">
        <v>43.9</v>
      </c>
      <c r="R400" s="1">
        <v>0.67234783600000003</v>
      </c>
      <c r="S400" s="1">
        <v>8.3416461080356247E-2</v>
      </c>
      <c r="T400" t="s">
        <v>546</v>
      </c>
      <c r="U400" s="1">
        <v>605</v>
      </c>
      <c r="V400">
        <f t="shared" si="24"/>
        <v>0.309083930516941</v>
      </c>
      <c r="W400" s="1">
        <f t="shared" si="25"/>
        <v>10.199999999999999</v>
      </c>
      <c r="X400">
        <f t="shared" si="26"/>
        <v>0.24823646100000007</v>
      </c>
      <c r="Y400">
        <f t="shared" si="27"/>
        <v>30.500000000000007</v>
      </c>
      <c r="Z400" s="1">
        <v>2</v>
      </c>
      <c r="AA400">
        <v>98</v>
      </c>
      <c r="AB400">
        <v>2.0400000000000001E-2</v>
      </c>
      <c r="AC400">
        <v>4</v>
      </c>
      <c r="AD400">
        <v>113</v>
      </c>
      <c r="AE400">
        <v>3.5400000000000001E-2</v>
      </c>
      <c r="AF400" t="s">
        <v>2589</v>
      </c>
      <c r="AG400" t="s">
        <v>2591</v>
      </c>
    </row>
    <row r="401" spans="1:33">
      <c r="A401" s="2" t="s">
        <v>135</v>
      </c>
      <c r="B401" s="2" t="s">
        <v>10</v>
      </c>
      <c r="C401" s="1">
        <v>0.62083905900000003</v>
      </c>
      <c r="D401">
        <v>0.69185057000000005</v>
      </c>
      <c r="E401">
        <v>0.70435387900000002</v>
      </c>
      <c r="F401" s="1" t="s">
        <v>136</v>
      </c>
      <c r="G401" s="1">
        <v>1.353075171</v>
      </c>
      <c r="H401" s="1">
        <v>25.2</v>
      </c>
      <c r="I401" s="1">
        <v>43.9</v>
      </c>
      <c r="J401" s="1">
        <v>0.67234783600000003</v>
      </c>
      <c r="K401" s="1">
        <v>0.52456325500000001</v>
      </c>
      <c r="L401" s="1">
        <v>0.61925627999999999</v>
      </c>
      <c r="M401" s="3">
        <v>0.72111139899999999</v>
      </c>
      <c r="N401" s="1" t="s">
        <v>12</v>
      </c>
      <c r="O401" s="1">
        <v>0.61690647499999995</v>
      </c>
      <c r="P401" s="1">
        <v>30</v>
      </c>
      <c r="Q401" s="1">
        <v>111.2</v>
      </c>
      <c r="R401" s="1">
        <v>0.62164364466666666</v>
      </c>
      <c r="S401" s="1">
        <v>0.1217365017281215</v>
      </c>
      <c r="T401" t="s">
        <v>548</v>
      </c>
      <c r="U401" s="1">
        <v>143</v>
      </c>
      <c r="V401">
        <f t="shared" si="24"/>
        <v>0.23948178194056244</v>
      </c>
      <c r="W401" s="1">
        <f t="shared" si="25"/>
        <v>4.8000000000000007</v>
      </c>
      <c r="X401">
        <f t="shared" si="26"/>
        <v>0.73616869600000001</v>
      </c>
      <c r="Y401">
        <f t="shared" si="27"/>
        <v>67.300000000000011</v>
      </c>
      <c r="Z401" s="1">
        <v>1</v>
      </c>
      <c r="AA401">
        <v>99</v>
      </c>
      <c r="AB401">
        <v>1.01E-2</v>
      </c>
      <c r="AC401">
        <v>2</v>
      </c>
      <c r="AD401">
        <v>168</v>
      </c>
      <c r="AE401">
        <v>1.1900000000000001E-2</v>
      </c>
      <c r="AF401" t="s">
        <v>2591</v>
      </c>
      <c r="AG401" t="s">
        <v>2588</v>
      </c>
    </row>
    <row r="402" spans="1:33">
      <c r="A402" s="2" t="s">
        <v>135</v>
      </c>
      <c r="B402" s="2" t="s">
        <v>13</v>
      </c>
      <c r="C402" s="1">
        <v>0.62083905900000003</v>
      </c>
      <c r="D402">
        <v>0.69185057000000005</v>
      </c>
      <c r="E402">
        <v>0.70435387900000002</v>
      </c>
      <c r="F402" s="1" t="s">
        <v>136</v>
      </c>
      <c r="G402" s="1">
        <v>1.353075171</v>
      </c>
      <c r="H402" s="1">
        <v>25.2</v>
      </c>
      <c r="I402" s="1">
        <v>43.9</v>
      </c>
      <c r="J402" s="1">
        <v>0.67234783600000003</v>
      </c>
      <c r="K402" s="1">
        <v>0.48695497399999998</v>
      </c>
      <c r="L402" s="1">
        <v>0.54991327199999995</v>
      </c>
      <c r="M402" s="3">
        <v>0.67282609299999996</v>
      </c>
      <c r="N402" s="1" t="s">
        <v>14</v>
      </c>
      <c r="O402" s="1">
        <v>1.6052009460000001</v>
      </c>
      <c r="P402" s="1">
        <v>26.6</v>
      </c>
      <c r="Q402" s="1">
        <v>42.3</v>
      </c>
      <c r="R402" s="1">
        <v>0.56989811299999993</v>
      </c>
      <c r="S402" s="1">
        <v>0.1976490477333242</v>
      </c>
      <c r="T402" t="s">
        <v>549</v>
      </c>
      <c r="U402" s="1">
        <v>244</v>
      </c>
      <c r="V402">
        <f t="shared" si="24"/>
        <v>0.26526553625985883</v>
      </c>
      <c r="W402" s="1">
        <f t="shared" si="25"/>
        <v>1.4000000000000021</v>
      </c>
      <c r="X402">
        <f t="shared" si="26"/>
        <v>0.25212577500000011</v>
      </c>
      <c r="Y402">
        <f t="shared" si="27"/>
        <v>1.6000000000000014</v>
      </c>
      <c r="Z402" s="1">
        <v>2</v>
      </c>
      <c r="AA402">
        <v>98</v>
      </c>
      <c r="AB402">
        <v>2.0400000000000001E-2</v>
      </c>
      <c r="AC402">
        <v>3</v>
      </c>
      <c r="AD402">
        <v>114</v>
      </c>
      <c r="AE402">
        <v>2.63E-2</v>
      </c>
      <c r="AF402" t="s">
        <v>2591</v>
      </c>
      <c r="AG402" t="s">
        <v>2590</v>
      </c>
    </row>
    <row r="403" spans="1:33">
      <c r="A403" s="2" t="s">
        <v>135</v>
      </c>
      <c r="B403" s="2" t="s">
        <v>15</v>
      </c>
      <c r="C403" s="1">
        <v>0.62083905900000003</v>
      </c>
      <c r="D403">
        <v>0.69185057000000005</v>
      </c>
      <c r="E403">
        <v>0.70435387900000002</v>
      </c>
      <c r="F403" s="1" t="s">
        <v>136</v>
      </c>
      <c r="G403" s="1">
        <v>1.353075171</v>
      </c>
      <c r="H403" s="1">
        <v>25.2</v>
      </c>
      <c r="I403" s="1">
        <v>43.9</v>
      </c>
      <c r="J403" s="1">
        <v>0.67234783600000003</v>
      </c>
      <c r="K403" s="1">
        <v>0.54560998800000005</v>
      </c>
      <c r="L403" s="1">
        <v>0.66721428400000005</v>
      </c>
      <c r="M403" s="3">
        <v>0.72650398400000005</v>
      </c>
      <c r="N403" s="1" t="s">
        <v>16</v>
      </c>
      <c r="O403" s="1">
        <v>5.1392405060000002</v>
      </c>
      <c r="P403" s="1">
        <v>35.9</v>
      </c>
      <c r="Q403" s="1">
        <v>15.8</v>
      </c>
      <c r="R403" s="1">
        <v>0.64644275200000012</v>
      </c>
      <c r="S403" s="1">
        <v>8.2200893321835986E-2</v>
      </c>
      <c r="T403" t="s">
        <v>550</v>
      </c>
      <c r="U403" s="1">
        <v>9705</v>
      </c>
      <c r="V403">
        <f t="shared" si="24"/>
        <v>0.44299950441382019</v>
      </c>
      <c r="W403" s="1">
        <f t="shared" si="25"/>
        <v>10.7</v>
      </c>
      <c r="X403">
        <f t="shared" si="26"/>
        <v>3.7861653350000002</v>
      </c>
      <c r="Y403">
        <f t="shared" si="27"/>
        <v>28.099999999999998</v>
      </c>
      <c r="Z403" s="1">
        <v>25</v>
      </c>
      <c r="AA403">
        <v>75</v>
      </c>
      <c r="AB403">
        <v>0.33329999999999999</v>
      </c>
      <c r="AC403">
        <v>27</v>
      </c>
      <c r="AD403">
        <v>86</v>
      </c>
      <c r="AE403">
        <v>0.314</v>
      </c>
      <c r="AF403" t="s">
        <v>2591</v>
      </c>
      <c r="AG403" t="s">
        <v>2591</v>
      </c>
    </row>
    <row r="404" spans="1:33">
      <c r="A404" s="2" t="s">
        <v>135</v>
      </c>
      <c r="B404" s="2" t="s">
        <v>17</v>
      </c>
      <c r="C404" s="1">
        <v>0.62083905900000003</v>
      </c>
      <c r="D404">
        <v>0.69185057000000005</v>
      </c>
      <c r="E404">
        <v>0.70435387900000002</v>
      </c>
      <c r="F404" s="1" t="s">
        <v>136</v>
      </c>
      <c r="G404" s="1">
        <v>1.353075171</v>
      </c>
      <c r="H404" s="1">
        <v>25.2</v>
      </c>
      <c r="I404" s="1">
        <v>43.9</v>
      </c>
      <c r="J404" s="1">
        <v>0.67234783600000003</v>
      </c>
      <c r="K404" s="1">
        <v>0.659112378</v>
      </c>
      <c r="L404" s="1">
        <v>0.68333493499999998</v>
      </c>
      <c r="M404" s="3">
        <v>0.70345495199999997</v>
      </c>
      <c r="N404" s="1" t="s">
        <v>18</v>
      </c>
      <c r="O404" s="1">
        <v>1.9463955639999999</v>
      </c>
      <c r="P404" s="1">
        <v>46.3</v>
      </c>
      <c r="Q404" s="1">
        <v>54.1</v>
      </c>
      <c r="R404" s="1">
        <v>0.68196742166666668</v>
      </c>
      <c r="S404" s="1">
        <v>3.9219523919603032E-2</v>
      </c>
      <c r="T404" t="s">
        <v>551</v>
      </c>
      <c r="U404" s="1">
        <v>9165</v>
      </c>
      <c r="V404">
        <f t="shared" si="24"/>
        <v>0.44023694103313726</v>
      </c>
      <c r="W404" s="1">
        <f t="shared" si="25"/>
        <v>21.099999999999998</v>
      </c>
      <c r="X404">
        <f t="shared" si="26"/>
        <v>0.59332039299999995</v>
      </c>
      <c r="Y404">
        <f t="shared" si="27"/>
        <v>10.200000000000003</v>
      </c>
      <c r="Z404" s="1">
        <v>25</v>
      </c>
      <c r="AA404">
        <v>75</v>
      </c>
      <c r="AB404">
        <v>0.33329999999999999</v>
      </c>
      <c r="AC404">
        <v>31</v>
      </c>
      <c r="AD404">
        <v>96</v>
      </c>
      <c r="AE404">
        <v>0.32290000000000002</v>
      </c>
      <c r="AF404" t="s">
        <v>2591</v>
      </c>
      <c r="AG404" t="s">
        <v>2591</v>
      </c>
    </row>
    <row r="405" spans="1:33">
      <c r="A405" s="2" t="s">
        <v>135</v>
      </c>
      <c r="B405" s="2" t="s">
        <v>19</v>
      </c>
      <c r="C405" s="1">
        <v>0.62083905900000003</v>
      </c>
      <c r="D405">
        <v>0.69185057000000005</v>
      </c>
      <c r="E405">
        <v>0.70435387900000002</v>
      </c>
      <c r="F405" s="1" t="s">
        <v>136</v>
      </c>
      <c r="G405" s="1">
        <v>1.353075171</v>
      </c>
      <c r="H405" s="1">
        <v>25.2</v>
      </c>
      <c r="I405" s="1">
        <v>43.9</v>
      </c>
      <c r="J405" s="1">
        <v>0.67234783600000003</v>
      </c>
      <c r="K405" s="1">
        <v>0.49391595300000002</v>
      </c>
      <c r="L405" s="1">
        <v>0.603599314</v>
      </c>
      <c r="M405" s="3">
        <v>0.63481471599999995</v>
      </c>
      <c r="N405" s="1" t="s">
        <v>20</v>
      </c>
      <c r="O405" s="1">
        <v>1.2140902870000001</v>
      </c>
      <c r="P405" s="1">
        <v>64.900000000000006</v>
      </c>
      <c r="Q405" s="1">
        <v>146.19999999999999</v>
      </c>
      <c r="R405" s="1">
        <v>0.57744332766666662</v>
      </c>
      <c r="S405" s="1">
        <v>0.16950945169224446</v>
      </c>
      <c r="T405" t="s">
        <v>552</v>
      </c>
      <c r="U405" s="1">
        <v>3445</v>
      </c>
      <c r="V405">
        <f t="shared" si="24"/>
        <v>0.39302102513818271</v>
      </c>
      <c r="W405" s="1">
        <f t="shared" si="25"/>
        <v>39.700000000000003</v>
      </c>
      <c r="X405">
        <f t="shared" si="26"/>
        <v>0.13898488399999986</v>
      </c>
      <c r="Y405">
        <f t="shared" si="27"/>
        <v>102.29999999999998</v>
      </c>
      <c r="Z405" s="1">
        <v>4</v>
      </c>
      <c r="AA405">
        <v>96</v>
      </c>
      <c r="AB405">
        <v>4.1700000000000001E-2</v>
      </c>
      <c r="AC405">
        <v>6</v>
      </c>
      <c r="AD405">
        <v>101</v>
      </c>
      <c r="AE405">
        <v>5.9400000000000001E-2</v>
      </c>
      <c r="AF405" t="s">
        <v>2591</v>
      </c>
      <c r="AG405" t="s">
        <v>2593</v>
      </c>
    </row>
    <row r="406" spans="1:33">
      <c r="A406" s="2" t="s">
        <v>135</v>
      </c>
      <c r="B406" s="2" t="s">
        <v>21</v>
      </c>
      <c r="C406" s="1">
        <v>0.62083905900000003</v>
      </c>
      <c r="D406">
        <v>0.69185057000000005</v>
      </c>
      <c r="E406">
        <v>0.70435387900000002</v>
      </c>
      <c r="F406" s="1" t="s">
        <v>136</v>
      </c>
      <c r="G406" s="1">
        <v>1.353075171</v>
      </c>
      <c r="H406" s="1">
        <v>25.2</v>
      </c>
      <c r="I406" s="1">
        <v>43.9</v>
      </c>
      <c r="J406" s="1">
        <v>0.67234783600000003</v>
      </c>
      <c r="K406" s="1">
        <v>0.53276376800000003</v>
      </c>
      <c r="L406" s="1">
        <v>0.65428149899999999</v>
      </c>
      <c r="M406" s="3">
        <v>0.70160154799999996</v>
      </c>
      <c r="N406" s="1" t="s">
        <v>22</v>
      </c>
      <c r="O406" s="1">
        <v>1.2440604749999999</v>
      </c>
      <c r="P406" s="1">
        <v>24.6</v>
      </c>
      <c r="Q406" s="1">
        <v>46.3</v>
      </c>
      <c r="R406" s="1">
        <v>0.62954893833333336</v>
      </c>
      <c r="S406" s="1">
        <v>9.5792835360851952E-2</v>
      </c>
      <c r="T406" t="s">
        <v>553</v>
      </c>
      <c r="U406" s="1">
        <v>886</v>
      </c>
      <c r="V406">
        <f t="shared" si="24"/>
        <v>0.32749263576522786</v>
      </c>
      <c r="W406" s="1">
        <f t="shared" si="25"/>
        <v>0.59999999999999787</v>
      </c>
      <c r="X406">
        <f t="shared" si="26"/>
        <v>0.10901469600000002</v>
      </c>
      <c r="Y406">
        <f t="shared" si="27"/>
        <v>2.3999999999999986</v>
      </c>
      <c r="Z406" s="1">
        <v>1</v>
      </c>
      <c r="AA406">
        <v>99</v>
      </c>
      <c r="AB406">
        <v>1.01E-2</v>
      </c>
      <c r="AC406">
        <v>2</v>
      </c>
      <c r="AD406">
        <v>111</v>
      </c>
      <c r="AE406">
        <v>1.7999999999999999E-2</v>
      </c>
      <c r="AF406" t="s">
        <v>2591</v>
      </c>
      <c r="AG406" t="s">
        <v>2589</v>
      </c>
    </row>
    <row r="407" spans="1:33">
      <c r="A407" s="2" t="s">
        <v>135</v>
      </c>
      <c r="B407" s="2" t="s">
        <v>23</v>
      </c>
      <c r="C407" s="1">
        <v>0.62083905900000003</v>
      </c>
      <c r="D407">
        <v>0.69185057000000005</v>
      </c>
      <c r="E407">
        <v>0.70435387900000002</v>
      </c>
      <c r="F407" s="1" t="s">
        <v>136</v>
      </c>
      <c r="G407" s="1">
        <v>1.353075171</v>
      </c>
      <c r="H407" s="1">
        <v>25.2</v>
      </c>
      <c r="I407" s="1">
        <v>43.9</v>
      </c>
      <c r="J407" s="1">
        <v>0.67234783600000003</v>
      </c>
      <c r="K407" s="1">
        <v>0.49415677200000002</v>
      </c>
      <c r="L407" s="1">
        <v>0.62090818999999997</v>
      </c>
      <c r="M407" s="3">
        <v>0.63381026900000004</v>
      </c>
      <c r="N407" s="1" t="s">
        <v>24</v>
      </c>
      <c r="O407" s="1">
        <v>1.141304348</v>
      </c>
      <c r="P407" s="1">
        <v>44.4</v>
      </c>
      <c r="Q407" s="1">
        <v>101.2</v>
      </c>
      <c r="R407" s="1">
        <v>0.58295841033333329</v>
      </c>
      <c r="S407" s="1">
        <v>0.16142374060666195</v>
      </c>
      <c r="T407" t="s">
        <v>554</v>
      </c>
      <c r="U407" s="1">
        <v>231</v>
      </c>
      <c r="V407">
        <f t="shared" si="24"/>
        <v>0.2626235533213494</v>
      </c>
      <c r="W407" s="1">
        <f t="shared" si="25"/>
        <v>19.2</v>
      </c>
      <c r="X407">
        <f t="shared" si="26"/>
        <v>0.21177082299999994</v>
      </c>
      <c r="Y407">
        <f t="shared" si="27"/>
        <v>57.300000000000004</v>
      </c>
      <c r="Z407" s="1">
        <v>3</v>
      </c>
      <c r="AA407">
        <v>97</v>
      </c>
      <c r="AB407">
        <v>3.09E-2</v>
      </c>
      <c r="AC407">
        <v>4</v>
      </c>
      <c r="AD407">
        <v>105</v>
      </c>
      <c r="AE407">
        <v>3.8100000000000002E-2</v>
      </c>
      <c r="AF407" t="s">
        <v>2591</v>
      </c>
      <c r="AG407" t="s">
        <v>2590</v>
      </c>
    </row>
    <row r="408" spans="1:33">
      <c r="A408" s="2" t="s">
        <v>135</v>
      </c>
      <c r="B408" s="2" t="s">
        <v>25</v>
      </c>
      <c r="C408" s="1">
        <v>0.62083905900000003</v>
      </c>
      <c r="D408">
        <v>0.69185057000000005</v>
      </c>
      <c r="E408">
        <v>0.70435387900000002</v>
      </c>
      <c r="F408" s="1" t="s">
        <v>136</v>
      </c>
      <c r="G408" s="1">
        <v>1.353075171</v>
      </c>
      <c r="H408" s="1">
        <v>25.2</v>
      </c>
      <c r="I408" s="1">
        <v>43.9</v>
      </c>
      <c r="J408" s="1">
        <v>0.67234783600000003</v>
      </c>
      <c r="K408" s="1">
        <v>0.53959274199999996</v>
      </c>
      <c r="L408" s="1">
        <v>0.64971567399999997</v>
      </c>
      <c r="M408" s="3">
        <v>0.65028459999999999</v>
      </c>
      <c r="N408" s="1" t="s">
        <v>26</v>
      </c>
      <c r="O408" s="1">
        <v>1.623046875</v>
      </c>
      <c r="P408" s="1">
        <v>34.700000000000003</v>
      </c>
      <c r="Q408" s="1">
        <v>51.2</v>
      </c>
      <c r="R408" s="1">
        <v>0.61319767199999997</v>
      </c>
      <c r="S408" s="1">
        <v>0.10630051937114497</v>
      </c>
      <c r="T408" t="s">
        <v>555</v>
      </c>
      <c r="U408" s="1">
        <v>267</v>
      </c>
      <c r="V408">
        <f t="shared" si="24"/>
        <v>0.26961236237384173</v>
      </c>
      <c r="W408" s="1">
        <f t="shared" si="25"/>
        <v>9.5000000000000036</v>
      </c>
      <c r="X408">
        <f t="shared" si="26"/>
        <v>0.26997170400000003</v>
      </c>
      <c r="Y408">
        <f t="shared" si="27"/>
        <v>7.3000000000000043</v>
      </c>
      <c r="Z408" s="1">
        <v>0</v>
      </c>
      <c r="AA408">
        <v>100</v>
      </c>
      <c r="AB408">
        <v>0</v>
      </c>
      <c r="AC408">
        <v>0</v>
      </c>
      <c r="AD408">
        <v>111</v>
      </c>
      <c r="AE408">
        <v>0</v>
      </c>
      <c r="AF408" t="s">
        <v>2591</v>
      </c>
      <c r="AG408" t="s">
        <v>2594</v>
      </c>
    </row>
    <row r="409" spans="1:33">
      <c r="A409" s="2" t="s">
        <v>135</v>
      </c>
      <c r="B409" s="2" t="s">
        <v>27</v>
      </c>
      <c r="C409" s="1">
        <v>0.62083905900000003</v>
      </c>
      <c r="D409">
        <v>0.69185057000000005</v>
      </c>
      <c r="E409">
        <v>0.70435387900000002</v>
      </c>
      <c r="F409" s="1" t="s">
        <v>136</v>
      </c>
      <c r="G409" s="1">
        <v>1.353075171</v>
      </c>
      <c r="H409" s="1">
        <v>25.2</v>
      </c>
      <c r="I409" s="1">
        <v>43.9</v>
      </c>
      <c r="J409" s="1">
        <v>0.67234783600000003</v>
      </c>
      <c r="K409" s="1">
        <v>0.518608662</v>
      </c>
      <c r="L409" s="1">
        <v>0.64320369700000002</v>
      </c>
      <c r="M409" s="3">
        <v>0.62228994199999998</v>
      </c>
      <c r="N409" s="1" t="s">
        <v>28</v>
      </c>
      <c r="O409" s="1">
        <v>1.8717391299999999</v>
      </c>
      <c r="P409" s="1">
        <v>33.700000000000003</v>
      </c>
      <c r="Q409" s="1">
        <v>46</v>
      </c>
      <c r="R409" s="1">
        <v>0.59470076699999996</v>
      </c>
      <c r="S409" s="1">
        <v>0.13982868832752354</v>
      </c>
      <c r="T409" t="s">
        <v>556</v>
      </c>
      <c r="U409" s="1">
        <v>136</v>
      </c>
      <c r="V409">
        <f t="shared" si="24"/>
        <v>0.23705987870780193</v>
      </c>
      <c r="W409" s="1">
        <f t="shared" si="25"/>
        <v>8.5000000000000036</v>
      </c>
      <c r="X409">
        <f t="shared" si="26"/>
        <v>0.51866395899999995</v>
      </c>
      <c r="Y409">
        <f t="shared" si="27"/>
        <v>2.1000000000000014</v>
      </c>
      <c r="Z409" s="1">
        <v>3</v>
      </c>
      <c r="AA409">
        <v>97</v>
      </c>
      <c r="AB409">
        <v>3.09E-2</v>
      </c>
      <c r="AC409">
        <v>4</v>
      </c>
      <c r="AD409">
        <v>114</v>
      </c>
      <c r="AE409">
        <v>3.5099999999999999E-2</v>
      </c>
      <c r="AF409" t="s">
        <v>2591</v>
      </c>
      <c r="AG409" t="s">
        <v>2590</v>
      </c>
    </row>
    <row r="410" spans="1:33">
      <c r="A410" s="2" t="s">
        <v>135</v>
      </c>
      <c r="B410" s="2" t="s">
        <v>29</v>
      </c>
      <c r="C410" s="1">
        <v>0.62083905900000003</v>
      </c>
      <c r="D410">
        <v>0.69185057000000005</v>
      </c>
      <c r="E410">
        <v>0.70435387900000002</v>
      </c>
      <c r="F410" s="1" t="s">
        <v>136</v>
      </c>
      <c r="G410" s="1">
        <v>1.353075171</v>
      </c>
      <c r="H410" s="1">
        <v>25.2</v>
      </c>
      <c r="I410" s="1">
        <v>43.9</v>
      </c>
      <c r="J410" s="1">
        <v>0.67234783600000003</v>
      </c>
      <c r="K410" s="1">
        <v>0.59351545100000003</v>
      </c>
      <c r="L410" s="1">
        <v>0.68136602400000001</v>
      </c>
      <c r="M410" s="3">
        <v>0.73518087600000004</v>
      </c>
      <c r="N410" s="1" t="s">
        <v>30</v>
      </c>
      <c r="O410" s="1">
        <v>2.849112426</v>
      </c>
      <c r="P410" s="1">
        <v>37.9</v>
      </c>
      <c r="Q410" s="1">
        <v>33.799999999999997</v>
      </c>
      <c r="R410" s="1">
        <v>0.67002078366666673</v>
      </c>
      <c r="S410" s="1">
        <v>4.2506575997153559E-2</v>
      </c>
      <c r="T410" t="s">
        <v>557</v>
      </c>
      <c r="U410" s="1">
        <v>10461</v>
      </c>
      <c r="V410">
        <f t="shared" si="24"/>
        <v>0.44661924467729325</v>
      </c>
      <c r="W410" s="1">
        <f t="shared" si="25"/>
        <v>12.7</v>
      </c>
      <c r="X410">
        <f t="shared" si="26"/>
        <v>1.4960372550000001</v>
      </c>
      <c r="Y410">
        <f t="shared" si="27"/>
        <v>10.100000000000001</v>
      </c>
      <c r="Z410" s="1">
        <v>31</v>
      </c>
      <c r="AA410">
        <v>69</v>
      </c>
      <c r="AB410">
        <v>0.44929999999999998</v>
      </c>
      <c r="AC410">
        <v>34</v>
      </c>
      <c r="AD410">
        <v>73</v>
      </c>
      <c r="AE410">
        <v>0.46579999999999999</v>
      </c>
      <c r="AF410" t="s">
        <v>2591</v>
      </c>
      <c r="AG410" t="s">
        <v>2593</v>
      </c>
    </row>
    <row r="411" spans="1:33">
      <c r="A411" s="2" t="s">
        <v>135</v>
      </c>
      <c r="B411" s="2" t="s">
        <v>31</v>
      </c>
      <c r="C411" s="1">
        <v>0.62083905900000003</v>
      </c>
      <c r="D411">
        <v>0.69185057000000005</v>
      </c>
      <c r="E411">
        <v>0.70435387900000002</v>
      </c>
      <c r="F411" s="1" t="s">
        <v>136</v>
      </c>
      <c r="G411" s="1">
        <v>1.353075171</v>
      </c>
      <c r="H411" s="1">
        <v>25.2</v>
      </c>
      <c r="I411" s="1">
        <v>43.9</v>
      </c>
      <c r="J411" s="1">
        <v>0.67234783600000003</v>
      </c>
      <c r="K411" s="1">
        <v>0.47727961800000002</v>
      </c>
      <c r="L411" s="1">
        <v>0.66941086400000005</v>
      </c>
      <c r="M411" s="3">
        <v>0.69294815300000001</v>
      </c>
      <c r="N411" s="1" t="s">
        <v>32</v>
      </c>
      <c r="O411" s="1">
        <v>1.341891892</v>
      </c>
      <c r="P411" s="1">
        <v>42.1</v>
      </c>
      <c r="Q411" s="1">
        <v>74</v>
      </c>
      <c r="R411" s="1">
        <v>0.61321287833333338</v>
      </c>
      <c r="S411" s="1">
        <v>0.1457495937942401</v>
      </c>
      <c r="T411" t="s">
        <v>558</v>
      </c>
      <c r="U411" s="1">
        <v>543</v>
      </c>
      <c r="V411">
        <f t="shared" si="24"/>
        <v>0.30386664773209415</v>
      </c>
      <c r="W411" s="1">
        <f t="shared" si="25"/>
        <v>16.900000000000002</v>
      </c>
      <c r="X411">
        <f t="shared" si="26"/>
        <v>1.1183278999999935E-2</v>
      </c>
      <c r="Y411">
        <f t="shared" si="27"/>
        <v>30.1</v>
      </c>
      <c r="Z411" s="1">
        <v>1</v>
      </c>
      <c r="AA411">
        <v>99</v>
      </c>
      <c r="AB411">
        <v>1.01E-2</v>
      </c>
      <c r="AC411">
        <v>2</v>
      </c>
      <c r="AD411">
        <v>113</v>
      </c>
      <c r="AE411">
        <v>1.77E-2</v>
      </c>
      <c r="AF411" t="s">
        <v>2591</v>
      </c>
      <c r="AG411" t="s">
        <v>2589</v>
      </c>
    </row>
    <row r="412" spans="1:33">
      <c r="A412" s="2" t="s">
        <v>135</v>
      </c>
      <c r="B412" s="2" t="s">
        <v>33</v>
      </c>
      <c r="C412" s="1">
        <v>0.62083905900000003</v>
      </c>
      <c r="D412">
        <v>0.69185057000000005</v>
      </c>
      <c r="E412">
        <v>0.70435387900000002</v>
      </c>
      <c r="F412" s="1" t="s">
        <v>136</v>
      </c>
      <c r="G412" s="1">
        <v>1.353075171</v>
      </c>
      <c r="H412" s="1">
        <v>25.2</v>
      </c>
      <c r="I412" s="1">
        <v>43.9</v>
      </c>
      <c r="J412" s="1">
        <v>0.67234783600000003</v>
      </c>
      <c r="K412" s="1">
        <v>0.51347926600000005</v>
      </c>
      <c r="L412" s="1">
        <v>0.63144379399999995</v>
      </c>
      <c r="M412" s="3">
        <v>0.64189093500000005</v>
      </c>
      <c r="N412" s="1" t="s">
        <v>34</v>
      </c>
      <c r="O412" s="1">
        <v>2.3123667380000001</v>
      </c>
      <c r="P412" s="1">
        <v>79.099999999999994</v>
      </c>
      <c r="Q412" s="1">
        <v>93.8</v>
      </c>
      <c r="R412" s="1">
        <v>0.59560466500000009</v>
      </c>
      <c r="S412" s="1">
        <v>0.13811851111586804</v>
      </c>
      <c r="T412" t="s">
        <v>559</v>
      </c>
      <c r="U412" s="1">
        <v>286</v>
      </c>
      <c r="V412">
        <f t="shared" si="24"/>
        <v>0.27292955923656037</v>
      </c>
      <c r="W412" s="1">
        <f t="shared" si="25"/>
        <v>53.899999999999991</v>
      </c>
      <c r="X412">
        <f t="shared" si="26"/>
        <v>0.95929156700000018</v>
      </c>
      <c r="Y412">
        <f t="shared" si="27"/>
        <v>49.9</v>
      </c>
      <c r="Z412" s="1">
        <v>4</v>
      </c>
      <c r="AA412">
        <v>96</v>
      </c>
      <c r="AB412">
        <v>4.1700000000000001E-2</v>
      </c>
      <c r="AC412">
        <v>7</v>
      </c>
      <c r="AD412">
        <v>102</v>
      </c>
      <c r="AE412">
        <v>6.8599999999999994E-2</v>
      </c>
      <c r="AF412" t="s">
        <v>2591</v>
      </c>
      <c r="AG412" t="s">
        <v>2590</v>
      </c>
    </row>
    <row r="413" spans="1:33">
      <c r="A413" s="2" t="s">
        <v>135</v>
      </c>
      <c r="B413" s="2" t="s">
        <v>35</v>
      </c>
      <c r="C413" s="1">
        <v>0.62083905900000003</v>
      </c>
      <c r="D413">
        <v>0.69185057000000005</v>
      </c>
      <c r="E413">
        <v>0.70435387900000002</v>
      </c>
      <c r="F413" s="1" t="s">
        <v>136</v>
      </c>
      <c r="G413" s="1">
        <v>1.353075171</v>
      </c>
      <c r="H413" s="1">
        <v>25.2</v>
      </c>
      <c r="I413" s="1">
        <v>43.9</v>
      </c>
      <c r="J413" s="1">
        <v>0.67234783600000003</v>
      </c>
      <c r="K413" s="1">
        <v>0.52542897600000005</v>
      </c>
      <c r="L413" s="1">
        <v>0.60774736299999998</v>
      </c>
      <c r="M413" s="3">
        <v>0.62585751700000003</v>
      </c>
      <c r="N413" s="1" t="s">
        <v>36</v>
      </c>
      <c r="O413" s="1">
        <v>0.98848810399999998</v>
      </c>
      <c r="P413" s="1">
        <v>54.2</v>
      </c>
      <c r="Q413" s="1">
        <v>130.30000000000001</v>
      </c>
      <c r="R413" s="1">
        <v>0.58634461866666665</v>
      </c>
      <c r="S413" s="1">
        <v>0.14945939988166282</v>
      </c>
      <c r="T413" t="s">
        <v>560</v>
      </c>
      <c r="U413" s="1">
        <v>2219</v>
      </c>
      <c r="V413">
        <f t="shared" si="24"/>
        <v>0.37179525580355643</v>
      </c>
      <c r="W413" s="1">
        <f t="shared" si="25"/>
        <v>29.000000000000004</v>
      </c>
      <c r="X413">
        <f t="shared" si="26"/>
        <v>0.36458706699999999</v>
      </c>
      <c r="Y413">
        <f t="shared" si="27"/>
        <v>86.4</v>
      </c>
      <c r="Z413" s="1">
        <v>1</v>
      </c>
      <c r="AA413">
        <v>99</v>
      </c>
      <c r="AB413">
        <v>1.01E-2</v>
      </c>
      <c r="AC413">
        <v>2</v>
      </c>
      <c r="AD413">
        <v>106</v>
      </c>
      <c r="AE413">
        <v>1.89E-2</v>
      </c>
      <c r="AF413" t="s">
        <v>2591</v>
      </c>
      <c r="AG413" t="s">
        <v>2589</v>
      </c>
    </row>
    <row r="414" spans="1:33">
      <c r="A414" s="2" t="s">
        <v>135</v>
      </c>
      <c r="B414" s="2" t="s">
        <v>37</v>
      </c>
      <c r="C414" s="1">
        <v>0.62083905900000003</v>
      </c>
      <c r="D414">
        <v>0.69185057000000005</v>
      </c>
      <c r="E414">
        <v>0.70435387900000002</v>
      </c>
      <c r="F414" s="1" t="s">
        <v>136</v>
      </c>
      <c r="G414" s="1">
        <v>1.353075171</v>
      </c>
      <c r="H414" s="1">
        <v>25.2</v>
      </c>
      <c r="I414" s="1">
        <v>43.9</v>
      </c>
      <c r="J414" s="1">
        <v>0.67234783600000003</v>
      </c>
      <c r="K414" s="1">
        <v>0.50856695500000004</v>
      </c>
      <c r="L414" s="1">
        <v>0.654733224</v>
      </c>
      <c r="M414" s="3">
        <v>0.61418267199999999</v>
      </c>
      <c r="N414" s="1" t="s">
        <v>38</v>
      </c>
      <c r="O414" s="1">
        <v>0.64065708399999999</v>
      </c>
      <c r="P414" s="1">
        <v>41.9</v>
      </c>
      <c r="Q414" s="1">
        <v>146.1</v>
      </c>
      <c r="R414" s="1">
        <v>0.59249428366666679</v>
      </c>
      <c r="S414" s="1">
        <v>0.14870631890577948</v>
      </c>
      <c r="T414" t="s">
        <v>561</v>
      </c>
      <c r="U414" s="1">
        <v>612</v>
      </c>
      <c r="V414">
        <f t="shared" si="24"/>
        <v>0.30963904690506239</v>
      </c>
      <c r="W414" s="1">
        <f t="shared" si="25"/>
        <v>16.7</v>
      </c>
      <c r="X414">
        <f t="shared" si="26"/>
        <v>0.71241808699999998</v>
      </c>
      <c r="Y414">
        <f t="shared" si="27"/>
        <v>102.19999999999999</v>
      </c>
      <c r="Z414" s="1">
        <v>1</v>
      </c>
      <c r="AA414">
        <v>99</v>
      </c>
      <c r="AB414">
        <v>1.01E-2</v>
      </c>
      <c r="AC414">
        <v>3</v>
      </c>
      <c r="AD414">
        <v>104</v>
      </c>
      <c r="AE414">
        <v>2.8799999999999999E-2</v>
      </c>
      <c r="AF414" t="s">
        <v>2591</v>
      </c>
      <c r="AG414" t="s">
        <v>2590</v>
      </c>
    </row>
    <row r="415" spans="1:33">
      <c r="A415" s="2" t="s">
        <v>135</v>
      </c>
      <c r="B415" s="2" t="s">
        <v>39</v>
      </c>
      <c r="C415" s="1">
        <v>0.62083905900000003</v>
      </c>
      <c r="D415">
        <v>0.69185057000000005</v>
      </c>
      <c r="E415">
        <v>0.70435387900000002</v>
      </c>
      <c r="F415" s="1" t="s">
        <v>136</v>
      </c>
      <c r="G415" s="1">
        <v>1.353075171</v>
      </c>
      <c r="H415" s="1">
        <v>25.2</v>
      </c>
      <c r="I415" s="1">
        <v>43.9</v>
      </c>
      <c r="J415" s="1">
        <v>0.67234783600000003</v>
      </c>
      <c r="K415" s="1">
        <v>0.60811616199999996</v>
      </c>
      <c r="L415" s="1">
        <v>0.721105683</v>
      </c>
      <c r="M415" s="3">
        <v>0.741016169</v>
      </c>
      <c r="N415" s="1" t="s">
        <v>40</v>
      </c>
      <c r="O415" s="1">
        <v>1.0601915180000001</v>
      </c>
      <c r="P415" s="1">
        <v>34</v>
      </c>
      <c r="Q415" s="1">
        <v>73.099999999999994</v>
      </c>
      <c r="R415" s="1">
        <v>0.69007933799999999</v>
      </c>
      <c r="S415" s="1">
        <v>4.8598942918128121E-2</v>
      </c>
      <c r="T415" t="s">
        <v>562</v>
      </c>
      <c r="U415" s="1">
        <v>636</v>
      </c>
      <c r="V415">
        <f t="shared" si="24"/>
        <v>0.31149523507204596</v>
      </c>
      <c r="W415" s="1">
        <f t="shared" si="25"/>
        <v>8.8000000000000007</v>
      </c>
      <c r="X415">
        <f t="shared" si="26"/>
        <v>0.29288365299999986</v>
      </c>
      <c r="Y415">
        <f t="shared" si="27"/>
        <v>29.199999999999996</v>
      </c>
      <c r="Z415" s="1">
        <v>3</v>
      </c>
      <c r="AA415">
        <v>97</v>
      </c>
      <c r="AB415">
        <v>3.09E-2</v>
      </c>
      <c r="AC415">
        <v>4</v>
      </c>
      <c r="AD415">
        <v>106</v>
      </c>
      <c r="AE415">
        <v>3.7699999999999997E-2</v>
      </c>
      <c r="AF415" t="s">
        <v>2591</v>
      </c>
      <c r="AG415" t="s">
        <v>2589</v>
      </c>
    </row>
    <row r="416" spans="1:33">
      <c r="A416" s="2" t="s">
        <v>135</v>
      </c>
      <c r="B416" s="2" t="s">
        <v>41</v>
      </c>
      <c r="C416" s="1">
        <v>0.62083905900000003</v>
      </c>
      <c r="D416">
        <v>0.69185057000000005</v>
      </c>
      <c r="E416">
        <v>0.70435387900000002</v>
      </c>
      <c r="F416" s="1" t="s">
        <v>136</v>
      </c>
      <c r="G416" s="1">
        <v>1.353075171</v>
      </c>
      <c r="H416" s="1">
        <v>25.2</v>
      </c>
      <c r="I416" s="1">
        <v>43.9</v>
      </c>
      <c r="J416" s="1">
        <v>0.67234783600000003</v>
      </c>
      <c r="K416" s="1">
        <v>0.60402244999999999</v>
      </c>
      <c r="L416" s="1">
        <v>0.669189213</v>
      </c>
      <c r="M416" s="3">
        <v>0.69821693799999995</v>
      </c>
      <c r="N416" s="1" t="s">
        <v>42</v>
      </c>
      <c r="O416" s="1">
        <v>1.3243902439999999</v>
      </c>
      <c r="P416" s="1">
        <v>23</v>
      </c>
      <c r="Q416" s="1">
        <v>41</v>
      </c>
      <c r="R416" s="1">
        <v>0.65714286700000002</v>
      </c>
      <c r="S416" s="1">
        <v>2.8879014598455661E-2</v>
      </c>
      <c r="T416" t="s">
        <v>563</v>
      </c>
      <c r="U416" s="1">
        <v>33465</v>
      </c>
      <c r="V416">
        <f t="shared" si="24"/>
        <v>0.50273231437105759</v>
      </c>
      <c r="W416" s="1">
        <f t="shared" si="25"/>
        <v>2.1999999999999993</v>
      </c>
      <c r="X416">
        <f t="shared" si="26"/>
        <v>2.8684927000000027E-2</v>
      </c>
      <c r="Y416">
        <f t="shared" si="27"/>
        <v>2.8999999999999986</v>
      </c>
      <c r="Z416" s="1">
        <v>33</v>
      </c>
      <c r="AA416">
        <v>67</v>
      </c>
      <c r="AB416">
        <v>0.49249999999999999</v>
      </c>
      <c r="AC416">
        <v>43</v>
      </c>
      <c r="AD416">
        <v>81</v>
      </c>
      <c r="AE416">
        <v>0.53090000000000004</v>
      </c>
      <c r="AF416" t="s">
        <v>2591</v>
      </c>
      <c r="AG416" t="s">
        <v>2591</v>
      </c>
    </row>
    <row r="417" spans="1:33">
      <c r="A417" s="2" t="s">
        <v>135</v>
      </c>
      <c r="B417" s="2" t="s">
        <v>43</v>
      </c>
      <c r="C417" s="1">
        <v>0.62083905900000003</v>
      </c>
      <c r="D417">
        <v>0.69185057000000005</v>
      </c>
      <c r="E417">
        <v>0.70435387900000002</v>
      </c>
      <c r="F417" s="1" t="s">
        <v>136</v>
      </c>
      <c r="G417" s="1">
        <v>1.353075171</v>
      </c>
      <c r="H417" s="1">
        <v>25.2</v>
      </c>
      <c r="I417" s="1">
        <v>43.9</v>
      </c>
      <c r="J417" s="1">
        <v>0.67234783600000003</v>
      </c>
      <c r="K417" s="1">
        <v>0.54180634699999997</v>
      </c>
      <c r="L417" s="1">
        <v>0.59470779900000004</v>
      </c>
      <c r="M417" s="3">
        <v>0.69518155599999998</v>
      </c>
      <c r="N417" s="1" t="s">
        <v>44</v>
      </c>
      <c r="O417" s="1">
        <v>1.7403685090000001</v>
      </c>
      <c r="P417" s="1">
        <v>41.2</v>
      </c>
      <c r="Q417" s="1">
        <v>59.7</v>
      </c>
      <c r="R417" s="1">
        <v>0.61056523400000007</v>
      </c>
      <c r="S417" s="1">
        <v>0.12556679112269187</v>
      </c>
      <c r="T417" t="s">
        <v>564</v>
      </c>
      <c r="U417" s="1">
        <v>1344</v>
      </c>
      <c r="V417">
        <f t="shared" si="24"/>
        <v>0.34759991874642293</v>
      </c>
      <c r="W417" s="1">
        <f t="shared" si="25"/>
        <v>16.000000000000004</v>
      </c>
      <c r="X417">
        <f t="shared" si="26"/>
        <v>0.3872933380000001</v>
      </c>
      <c r="Y417">
        <f t="shared" si="27"/>
        <v>15.800000000000004</v>
      </c>
      <c r="Z417" s="1">
        <v>4</v>
      </c>
      <c r="AA417">
        <v>96</v>
      </c>
      <c r="AB417">
        <v>4.1700000000000001E-2</v>
      </c>
      <c r="AC417">
        <v>4</v>
      </c>
      <c r="AD417">
        <v>142</v>
      </c>
      <c r="AE417">
        <v>2.8199999999999999E-2</v>
      </c>
      <c r="AF417" t="s">
        <v>2591</v>
      </c>
      <c r="AG417" t="s">
        <v>2589</v>
      </c>
    </row>
    <row r="418" spans="1:33">
      <c r="A418" s="2" t="s">
        <v>135</v>
      </c>
      <c r="B418" s="2" t="s">
        <v>45</v>
      </c>
      <c r="C418" s="1">
        <v>0.62083905900000003</v>
      </c>
      <c r="D418">
        <v>0.69185057000000005</v>
      </c>
      <c r="E418">
        <v>0.70435387900000002</v>
      </c>
      <c r="F418" s="1" t="s">
        <v>136</v>
      </c>
      <c r="G418" s="1">
        <v>1.353075171</v>
      </c>
      <c r="H418" s="1">
        <v>25.2</v>
      </c>
      <c r="I418" s="1">
        <v>43.9</v>
      </c>
      <c r="J418" s="1">
        <v>0.67234783600000003</v>
      </c>
      <c r="K418" s="1">
        <v>0.50907007599999998</v>
      </c>
      <c r="L418" s="1">
        <v>0.68428041399999995</v>
      </c>
      <c r="M418" s="3">
        <v>0.67454742099999998</v>
      </c>
      <c r="N418" s="1" t="s">
        <v>46</v>
      </c>
      <c r="O418" s="1">
        <v>0.98140043799999999</v>
      </c>
      <c r="P418" s="1">
        <v>38.9</v>
      </c>
      <c r="Q418" s="1">
        <v>91.4</v>
      </c>
      <c r="R418" s="1">
        <v>0.62263263699999993</v>
      </c>
      <c r="S418" s="1">
        <v>0.11592255070185611</v>
      </c>
      <c r="T418" t="s">
        <v>565</v>
      </c>
      <c r="U418" s="1">
        <v>631</v>
      </c>
      <c r="V418">
        <f t="shared" si="24"/>
        <v>0.31111437324934826</v>
      </c>
      <c r="W418" s="1">
        <f t="shared" si="25"/>
        <v>13.7</v>
      </c>
      <c r="X418">
        <f t="shared" si="26"/>
        <v>0.37167473299999998</v>
      </c>
      <c r="Y418">
        <f t="shared" si="27"/>
        <v>47.500000000000007</v>
      </c>
      <c r="Z418" s="1">
        <v>1</v>
      </c>
      <c r="AA418">
        <v>99</v>
      </c>
      <c r="AB418">
        <v>1.01E-2</v>
      </c>
      <c r="AC418">
        <v>2</v>
      </c>
      <c r="AD418">
        <v>124</v>
      </c>
      <c r="AE418">
        <v>1.61E-2</v>
      </c>
      <c r="AF418" t="s">
        <v>2591</v>
      </c>
      <c r="AG418" t="s">
        <v>2589</v>
      </c>
    </row>
    <row r="419" spans="1:33">
      <c r="A419" s="2" t="s">
        <v>135</v>
      </c>
      <c r="B419" s="2" t="s">
        <v>47</v>
      </c>
      <c r="C419" s="1">
        <v>0.62083905900000003</v>
      </c>
      <c r="D419">
        <v>0.69185057000000005</v>
      </c>
      <c r="E419">
        <v>0.70435387900000002</v>
      </c>
      <c r="F419" s="1" t="s">
        <v>136</v>
      </c>
      <c r="G419" s="1">
        <v>1.353075171</v>
      </c>
      <c r="H419" s="1">
        <v>25.2</v>
      </c>
      <c r="I419" s="1">
        <v>43.9</v>
      </c>
      <c r="J419" s="1">
        <v>0.67234783600000003</v>
      </c>
      <c r="K419" s="1">
        <v>0.50612154099999995</v>
      </c>
      <c r="L419" s="1">
        <v>0.55940039100000005</v>
      </c>
      <c r="M419" s="3">
        <v>0.66789001699999995</v>
      </c>
      <c r="N419" s="1" t="s">
        <v>48</v>
      </c>
      <c r="O419" s="1">
        <v>1.242622951</v>
      </c>
      <c r="P419" s="1">
        <v>17.8</v>
      </c>
      <c r="Q419" s="1">
        <v>30.5</v>
      </c>
      <c r="R419" s="1">
        <v>0.57780398300000002</v>
      </c>
      <c r="S419" s="1">
        <v>0.17897701552201453</v>
      </c>
      <c r="T419" t="s">
        <v>566</v>
      </c>
      <c r="U419" s="1">
        <v>1167</v>
      </c>
      <c r="V419">
        <f t="shared" si="24"/>
        <v>0.3407856506717078</v>
      </c>
      <c r="W419" s="1">
        <f t="shared" si="25"/>
        <v>7.3999999999999986</v>
      </c>
      <c r="X419">
        <f t="shared" si="26"/>
        <v>0.11045221999999999</v>
      </c>
      <c r="Y419">
        <f t="shared" si="27"/>
        <v>13.399999999999999</v>
      </c>
      <c r="Z419" s="1">
        <v>1</v>
      </c>
      <c r="AA419">
        <v>99</v>
      </c>
      <c r="AB419">
        <v>1.01E-2</v>
      </c>
      <c r="AC419">
        <v>2</v>
      </c>
      <c r="AD419">
        <v>131</v>
      </c>
      <c r="AE419">
        <v>1.5299999999999999E-2</v>
      </c>
      <c r="AF419" t="s">
        <v>2591</v>
      </c>
      <c r="AG419" t="s">
        <v>2590</v>
      </c>
    </row>
    <row r="420" spans="1:33">
      <c r="A420" s="2" t="s">
        <v>135</v>
      </c>
      <c r="B420" s="2" t="s">
        <v>49</v>
      </c>
      <c r="C420" s="1">
        <v>0.62083905900000003</v>
      </c>
      <c r="D420">
        <v>0.69185057000000005</v>
      </c>
      <c r="E420">
        <v>0.70435387900000002</v>
      </c>
      <c r="F420" s="1" t="s">
        <v>136</v>
      </c>
      <c r="G420" s="1">
        <v>1.353075171</v>
      </c>
      <c r="H420" s="1">
        <v>25.2</v>
      </c>
      <c r="I420" s="1">
        <v>43.9</v>
      </c>
      <c r="J420" s="1">
        <v>0.67234783600000003</v>
      </c>
      <c r="K420" s="1">
        <v>0.50647110500000003</v>
      </c>
      <c r="L420" s="1">
        <v>0.55713136799999996</v>
      </c>
      <c r="M420" s="3">
        <v>0.63402682300000002</v>
      </c>
      <c r="N420" s="1" t="s">
        <v>50</v>
      </c>
      <c r="O420" s="1">
        <v>1.876675603</v>
      </c>
      <c r="P420" s="1">
        <v>28.8</v>
      </c>
      <c r="Q420" s="1">
        <v>37.299999999999997</v>
      </c>
      <c r="R420" s="1">
        <v>0.56587643200000004</v>
      </c>
      <c r="S420" s="1">
        <v>0.19019775786083831</v>
      </c>
      <c r="T420" t="s">
        <v>567</v>
      </c>
      <c r="U420" s="1">
        <v>797</v>
      </c>
      <c r="V420">
        <f t="shared" si="24"/>
        <v>0.32238425793290137</v>
      </c>
      <c r="W420" s="1">
        <f t="shared" si="25"/>
        <v>3.6000000000000014</v>
      </c>
      <c r="X420">
        <f t="shared" si="26"/>
        <v>0.52360043200000006</v>
      </c>
      <c r="Y420">
        <f t="shared" si="27"/>
        <v>6.6000000000000014</v>
      </c>
      <c r="Z420" s="1">
        <v>1</v>
      </c>
      <c r="AA420">
        <v>99</v>
      </c>
      <c r="AB420">
        <v>1.01E-2</v>
      </c>
      <c r="AC420">
        <v>2</v>
      </c>
      <c r="AD420">
        <v>105</v>
      </c>
      <c r="AE420">
        <v>1.9E-2</v>
      </c>
      <c r="AF420" t="s">
        <v>2591</v>
      </c>
      <c r="AG420" t="s">
        <v>2590</v>
      </c>
    </row>
    <row r="421" spans="1:33">
      <c r="A421" s="2" t="s">
        <v>135</v>
      </c>
      <c r="B421" s="2" t="s">
        <v>51</v>
      </c>
      <c r="C421" s="1">
        <v>0.62083905900000003</v>
      </c>
      <c r="D421">
        <v>0.69185057000000005</v>
      </c>
      <c r="E421">
        <v>0.70435387900000002</v>
      </c>
      <c r="F421" s="1" t="s">
        <v>136</v>
      </c>
      <c r="G421" s="1">
        <v>1.353075171</v>
      </c>
      <c r="H421" s="1">
        <v>25.2</v>
      </c>
      <c r="I421" s="1">
        <v>43.9</v>
      </c>
      <c r="J421" s="1">
        <v>0.67234783600000003</v>
      </c>
      <c r="K421" s="1">
        <v>0.60067161999999996</v>
      </c>
      <c r="L421" s="1">
        <v>0.68094129999999997</v>
      </c>
      <c r="M421" s="3">
        <v>0.73595931299999995</v>
      </c>
      <c r="N421" s="1" t="s">
        <v>52</v>
      </c>
      <c r="O421" s="1">
        <v>1.858638743</v>
      </c>
      <c r="P421" s="1">
        <v>29.4</v>
      </c>
      <c r="Q421" s="1">
        <v>38.200000000000003</v>
      </c>
      <c r="R421" s="1">
        <v>0.67252407766666666</v>
      </c>
      <c r="S421" s="1">
        <v>3.9046654479993254E-2</v>
      </c>
      <c r="T421" t="s">
        <v>568</v>
      </c>
      <c r="U421" s="1">
        <v>40966</v>
      </c>
      <c r="V421">
        <f t="shared" si="24"/>
        <v>0.51249150674050037</v>
      </c>
      <c r="W421" s="1">
        <f t="shared" si="25"/>
        <v>4.1999999999999993</v>
      </c>
      <c r="X421">
        <f t="shared" si="26"/>
        <v>0.50556357200000002</v>
      </c>
      <c r="Y421">
        <f t="shared" si="27"/>
        <v>5.6999999999999957</v>
      </c>
      <c r="Z421" s="1">
        <v>34</v>
      </c>
      <c r="AA421">
        <v>66</v>
      </c>
      <c r="AB421">
        <v>0.51519999999999999</v>
      </c>
      <c r="AC421">
        <v>40</v>
      </c>
      <c r="AD421">
        <v>76</v>
      </c>
      <c r="AE421">
        <v>0.52629999999999999</v>
      </c>
      <c r="AF421" t="s">
        <v>2591</v>
      </c>
      <c r="AG421" t="s">
        <v>2591</v>
      </c>
    </row>
    <row r="422" spans="1:33">
      <c r="A422" s="2" t="s">
        <v>135</v>
      </c>
      <c r="B422" s="2" t="s">
        <v>53</v>
      </c>
      <c r="C422" s="1">
        <v>0.62083905900000003</v>
      </c>
      <c r="D422">
        <v>0.69185057000000005</v>
      </c>
      <c r="E422">
        <v>0.70435387900000002</v>
      </c>
      <c r="F422" s="1" t="s">
        <v>136</v>
      </c>
      <c r="G422" s="1">
        <v>1.353075171</v>
      </c>
      <c r="H422" s="1">
        <v>25.2</v>
      </c>
      <c r="I422" s="1">
        <v>43.9</v>
      </c>
      <c r="J422" s="1">
        <v>0.67234783600000003</v>
      </c>
      <c r="K422" s="1">
        <v>0.54695832700000002</v>
      </c>
      <c r="L422" s="1">
        <v>0.659790137</v>
      </c>
      <c r="M422" s="3">
        <v>0.70662085500000005</v>
      </c>
      <c r="N422" s="1" t="s">
        <v>54</v>
      </c>
      <c r="O422" s="1">
        <v>2.5053995680000001</v>
      </c>
      <c r="P422" s="1">
        <v>43.9</v>
      </c>
      <c r="Q422" s="1">
        <v>46.3</v>
      </c>
      <c r="R422" s="1">
        <v>0.63778977300000006</v>
      </c>
      <c r="S422" s="1">
        <v>8.0569057988708628E-2</v>
      </c>
      <c r="T422" t="s">
        <v>569</v>
      </c>
      <c r="U422" s="1">
        <v>10897</v>
      </c>
      <c r="V422">
        <f t="shared" si="24"/>
        <v>0.44858966121078797</v>
      </c>
      <c r="W422" s="1">
        <f t="shared" si="25"/>
        <v>18.7</v>
      </c>
      <c r="X422">
        <f t="shared" si="26"/>
        <v>1.1523243970000001</v>
      </c>
      <c r="Y422">
        <f t="shared" si="27"/>
        <v>2.3999999999999986</v>
      </c>
      <c r="Z422" s="1">
        <v>25</v>
      </c>
      <c r="AA422">
        <v>75</v>
      </c>
      <c r="AB422">
        <v>0.33329999999999999</v>
      </c>
      <c r="AC422">
        <v>28</v>
      </c>
      <c r="AD422">
        <v>88</v>
      </c>
      <c r="AE422">
        <v>0.31819999999999998</v>
      </c>
      <c r="AF422" t="s">
        <v>2591</v>
      </c>
      <c r="AG422" t="s">
        <v>2593</v>
      </c>
    </row>
    <row r="423" spans="1:33">
      <c r="A423" s="2" t="s">
        <v>135</v>
      </c>
      <c r="B423" s="2" t="s">
        <v>55</v>
      </c>
      <c r="C423" s="1">
        <v>0.62083905900000003</v>
      </c>
      <c r="D423">
        <v>0.69185057000000005</v>
      </c>
      <c r="E423">
        <v>0.70435387900000002</v>
      </c>
      <c r="F423" s="1" t="s">
        <v>136</v>
      </c>
      <c r="G423" s="1">
        <v>1.353075171</v>
      </c>
      <c r="H423" s="1">
        <v>25.2</v>
      </c>
      <c r="I423" s="1">
        <v>43.9</v>
      </c>
      <c r="J423" s="1">
        <v>0.67234783600000003</v>
      </c>
      <c r="K423" s="1">
        <v>0.52971861799999997</v>
      </c>
      <c r="L423" s="1">
        <v>0.62258244500000004</v>
      </c>
      <c r="M423" s="3">
        <v>0.63939760400000001</v>
      </c>
      <c r="N423" s="1" t="s">
        <v>56</v>
      </c>
      <c r="O423" s="1">
        <v>1.0796934869999999</v>
      </c>
      <c r="P423" s="1">
        <v>55.3</v>
      </c>
      <c r="Q423" s="1">
        <v>130.5</v>
      </c>
      <c r="R423" s="1">
        <v>0.59723288899999993</v>
      </c>
      <c r="S423" s="1">
        <v>0.13160670792526399</v>
      </c>
      <c r="T423" t="s">
        <v>570</v>
      </c>
      <c r="U423" s="1">
        <v>562</v>
      </c>
      <c r="V423">
        <f t="shared" si="24"/>
        <v>0.30552625728545124</v>
      </c>
      <c r="W423" s="1">
        <f t="shared" si="25"/>
        <v>30.099999999999998</v>
      </c>
      <c r="X423">
        <f t="shared" si="26"/>
        <v>0.27338168400000007</v>
      </c>
      <c r="Y423">
        <f t="shared" si="27"/>
        <v>86.6</v>
      </c>
      <c r="Z423" s="1">
        <v>1</v>
      </c>
      <c r="AA423">
        <v>99</v>
      </c>
      <c r="AB423">
        <v>1.01E-2</v>
      </c>
      <c r="AC423">
        <v>2</v>
      </c>
      <c r="AD423">
        <v>106</v>
      </c>
      <c r="AE423">
        <v>1.89E-2</v>
      </c>
      <c r="AF423" t="s">
        <v>2591</v>
      </c>
      <c r="AG423" t="s">
        <v>2592</v>
      </c>
    </row>
    <row r="424" spans="1:33">
      <c r="A424" s="2" t="s">
        <v>135</v>
      </c>
      <c r="B424" s="2" t="s">
        <v>57</v>
      </c>
      <c r="C424" s="1">
        <v>0.62083905900000003</v>
      </c>
      <c r="D424">
        <v>0.69185057000000005</v>
      </c>
      <c r="E424">
        <v>0.70435387900000002</v>
      </c>
      <c r="F424" s="1" t="s">
        <v>136</v>
      </c>
      <c r="G424" s="1">
        <v>1.353075171</v>
      </c>
      <c r="H424" s="1">
        <v>25.2</v>
      </c>
      <c r="I424" s="1">
        <v>43.9</v>
      </c>
      <c r="J424" s="1">
        <v>0.67234783600000003</v>
      </c>
      <c r="K424" s="1">
        <v>0.528732855</v>
      </c>
      <c r="L424" s="1">
        <v>0.63387497599999998</v>
      </c>
      <c r="M424" s="3">
        <v>0.63337360200000004</v>
      </c>
      <c r="N424" s="1" t="s">
        <v>58</v>
      </c>
      <c r="O424" s="1">
        <v>1.386610879</v>
      </c>
      <c r="P424" s="1">
        <v>69</v>
      </c>
      <c r="Q424" s="1">
        <v>119.5</v>
      </c>
      <c r="R424" s="1">
        <v>0.59866047766666663</v>
      </c>
      <c r="S424" s="1">
        <v>0.12993429892810901</v>
      </c>
      <c r="T424" t="s">
        <v>571</v>
      </c>
      <c r="U424" s="1">
        <v>837</v>
      </c>
      <c r="V424">
        <f t="shared" si="24"/>
        <v>0.32474727311036222</v>
      </c>
      <c r="W424" s="1">
        <f t="shared" si="25"/>
        <v>43.8</v>
      </c>
      <c r="X424">
        <f t="shared" si="26"/>
        <v>3.3535708000000053E-2</v>
      </c>
      <c r="Y424">
        <f t="shared" si="27"/>
        <v>75.599999999999994</v>
      </c>
      <c r="Z424" s="1">
        <v>1</v>
      </c>
      <c r="AA424">
        <v>99</v>
      </c>
      <c r="AB424">
        <v>1.01E-2</v>
      </c>
      <c r="AC424">
        <v>2</v>
      </c>
      <c r="AD424">
        <v>112</v>
      </c>
      <c r="AE424">
        <v>1.7899999999999999E-2</v>
      </c>
      <c r="AF424" t="s">
        <v>2591</v>
      </c>
      <c r="AG424" t="s">
        <v>2589</v>
      </c>
    </row>
    <row r="425" spans="1:33">
      <c r="A425" s="2" t="s">
        <v>135</v>
      </c>
      <c r="B425" s="2" t="s">
        <v>59</v>
      </c>
      <c r="C425" s="1">
        <v>0.62083905900000003</v>
      </c>
      <c r="D425">
        <v>0.69185057000000005</v>
      </c>
      <c r="E425">
        <v>0.70435387900000002</v>
      </c>
      <c r="F425" s="1" t="s">
        <v>136</v>
      </c>
      <c r="G425" s="1">
        <v>1.353075171</v>
      </c>
      <c r="H425" s="1">
        <v>25.2</v>
      </c>
      <c r="I425" s="1">
        <v>43.9</v>
      </c>
      <c r="J425" s="1">
        <v>0.67234783600000003</v>
      </c>
      <c r="K425" s="1">
        <v>0.56225432799999997</v>
      </c>
      <c r="L425" s="1">
        <v>0.68100706499999997</v>
      </c>
      <c r="M425" s="3">
        <v>0.67505263699999996</v>
      </c>
      <c r="N425" s="1" t="s">
        <v>60</v>
      </c>
      <c r="O425" s="1">
        <v>1.1501154730000001</v>
      </c>
      <c r="P425" s="1">
        <v>60.5</v>
      </c>
      <c r="Q425" s="1">
        <v>129.9</v>
      </c>
      <c r="R425" s="1">
        <v>0.63943801</v>
      </c>
      <c r="S425" s="1">
        <v>6.6395143570670598E-2</v>
      </c>
      <c r="T425" t="s">
        <v>572</v>
      </c>
      <c r="U425" s="1">
        <v>1086</v>
      </c>
      <c r="V425">
        <f t="shared" si="24"/>
        <v>0.337314425028092</v>
      </c>
      <c r="W425" s="1">
        <f t="shared" si="25"/>
        <v>35.299999999999997</v>
      </c>
      <c r="X425">
        <f t="shared" si="26"/>
        <v>0.20295969799999991</v>
      </c>
      <c r="Y425">
        <f t="shared" si="27"/>
        <v>86</v>
      </c>
      <c r="Z425" s="1">
        <v>1</v>
      </c>
      <c r="AA425">
        <v>99</v>
      </c>
      <c r="AB425">
        <v>1.01E-2</v>
      </c>
      <c r="AC425">
        <v>2</v>
      </c>
      <c r="AD425">
        <v>131</v>
      </c>
      <c r="AE425">
        <v>1.5299999999999999E-2</v>
      </c>
      <c r="AF425" t="s">
        <v>2591</v>
      </c>
      <c r="AG425" t="s">
        <v>2589</v>
      </c>
    </row>
    <row r="426" spans="1:33">
      <c r="A426" s="2" t="s">
        <v>135</v>
      </c>
      <c r="B426" s="2" t="s">
        <v>61</v>
      </c>
      <c r="C426" s="1">
        <v>0.62083905900000003</v>
      </c>
      <c r="D426">
        <v>0.69185057000000005</v>
      </c>
      <c r="E426">
        <v>0.70435387900000002</v>
      </c>
      <c r="F426" s="1" t="s">
        <v>136</v>
      </c>
      <c r="G426" s="1">
        <v>1.353075171</v>
      </c>
      <c r="H426" s="1">
        <v>25.2</v>
      </c>
      <c r="I426" s="1">
        <v>43.9</v>
      </c>
      <c r="J426" s="1">
        <v>0.67234783600000003</v>
      </c>
      <c r="K426" s="1">
        <v>0.62063455999999995</v>
      </c>
      <c r="L426" s="1">
        <v>0.67798104299999995</v>
      </c>
      <c r="M426" s="3">
        <v>0.72175371600000005</v>
      </c>
      <c r="N426" s="1" t="s">
        <v>62</v>
      </c>
      <c r="O426" s="1">
        <v>7.5471698109999998</v>
      </c>
      <c r="P426" s="1">
        <v>26.4</v>
      </c>
      <c r="Q426" s="1">
        <v>10.6</v>
      </c>
      <c r="R426" s="1">
        <v>0.6734564396666668</v>
      </c>
      <c r="S426" s="1">
        <v>2.2252189255695783E-2</v>
      </c>
      <c r="T426" t="s">
        <v>573</v>
      </c>
      <c r="U426" s="1">
        <v>794</v>
      </c>
      <c r="V426">
        <f t="shared" si="24"/>
        <v>0.32220227804745516</v>
      </c>
      <c r="W426" s="1">
        <f t="shared" si="25"/>
        <v>1.1999999999999993</v>
      </c>
      <c r="X426">
        <f t="shared" si="26"/>
        <v>6.1940946399999994</v>
      </c>
      <c r="Y426">
        <f t="shared" si="27"/>
        <v>33.299999999999997</v>
      </c>
      <c r="Z426" s="1">
        <v>0</v>
      </c>
      <c r="AA426">
        <v>100</v>
      </c>
      <c r="AB426">
        <v>0</v>
      </c>
      <c r="AC426">
        <v>0</v>
      </c>
      <c r="AD426">
        <v>108</v>
      </c>
      <c r="AE426">
        <v>0</v>
      </c>
      <c r="AF426" t="s">
        <v>2591</v>
      </c>
      <c r="AG426" t="s">
        <v>2588</v>
      </c>
    </row>
    <row r="427" spans="1:33">
      <c r="A427" s="2" t="s">
        <v>135</v>
      </c>
      <c r="B427" s="2" t="s">
        <v>63</v>
      </c>
      <c r="C427" s="1">
        <v>0.62083905900000003</v>
      </c>
      <c r="D427">
        <v>0.69185057000000005</v>
      </c>
      <c r="E427">
        <v>0.70435387900000002</v>
      </c>
      <c r="F427" s="1" t="s">
        <v>136</v>
      </c>
      <c r="G427" s="1">
        <v>1.353075171</v>
      </c>
      <c r="H427" s="1">
        <v>25.2</v>
      </c>
      <c r="I427" s="1">
        <v>43.9</v>
      </c>
      <c r="J427" s="1">
        <v>0.67234783600000003</v>
      </c>
      <c r="K427" s="1">
        <v>0.44311141399999998</v>
      </c>
      <c r="L427" s="1">
        <v>0.57053969199999999</v>
      </c>
      <c r="M427" s="3">
        <v>0.59266330599999995</v>
      </c>
      <c r="N427" s="1" t="s">
        <v>64</v>
      </c>
      <c r="O427" s="1">
        <v>0.89618138400000003</v>
      </c>
      <c r="P427" s="1">
        <v>29.7</v>
      </c>
      <c r="Q427" s="1">
        <v>83.8</v>
      </c>
      <c r="R427" s="1">
        <v>0.53543813733333334</v>
      </c>
      <c r="S427" s="1">
        <v>0.24244221789004752</v>
      </c>
      <c r="T427" t="s">
        <v>574</v>
      </c>
      <c r="U427" s="1">
        <v>248</v>
      </c>
      <c r="V427">
        <f t="shared" si="24"/>
        <v>0.26605018675846848</v>
      </c>
      <c r="W427" s="1">
        <f t="shared" si="25"/>
        <v>4.5</v>
      </c>
      <c r="X427">
        <f t="shared" si="26"/>
        <v>0.45689378699999994</v>
      </c>
      <c r="Y427">
        <f t="shared" si="27"/>
        <v>39.9</v>
      </c>
      <c r="Z427" s="1">
        <v>2</v>
      </c>
      <c r="AA427">
        <v>98</v>
      </c>
      <c r="AB427">
        <v>2.0400000000000001E-2</v>
      </c>
      <c r="AC427">
        <v>5</v>
      </c>
      <c r="AD427">
        <v>110</v>
      </c>
      <c r="AE427">
        <v>4.5499999999999999E-2</v>
      </c>
      <c r="AF427" t="s">
        <v>2591</v>
      </c>
      <c r="AG427" t="s">
        <v>2590</v>
      </c>
    </row>
    <row r="428" spans="1:33">
      <c r="A428" s="2" t="s">
        <v>135</v>
      </c>
      <c r="B428" s="2" t="s">
        <v>65</v>
      </c>
      <c r="C428" s="1">
        <v>0.62083905900000003</v>
      </c>
      <c r="D428">
        <v>0.69185057000000005</v>
      </c>
      <c r="E428">
        <v>0.70435387900000002</v>
      </c>
      <c r="F428" s="1" t="s">
        <v>136</v>
      </c>
      <c r="G428" s="1">
        <v>1.353075171</v>
      </c>
      <c r="H428" s="1">
        <v>25.2</v>
      </c>
      <c r="I428" s="1">
        <v>43.9</v>
      </c>
      <c r="J428" s="1">
        <v>0.67234783600000003</v>
      </c>
      <c r="K428" s="1">
        <v>0.67377447499999998</v>
      </c>
      <c r="L428" s="1">
        <v>0.69144672900000004</v>
      </c>
      <c r="M428" s="3">
        <v>0.73046409700000003</v>
      </c>
      <c r="N428" s="1" t="s">
        <v>66</v>
      </c>
      <c r="O428" s="1">
        <v>1.8507462690000001</v>
      </c>
      <c r="P428" s="1">
        <v>34.5</v>
      </c>
      <c r="Q428" s="1">
        <v>46.9</v>
      </c>
      <c r="R428" s="1">
        <v>0.69856176700000006</v>
      </c>
      <c r="S428" s="1">
        <v>5.9025967494432972E-2</v>
      </c>
      <c r="T428" t="s">
        <v>575</v>
      </c>
      <c r="U428" s="1">
        <v>9586</v>
      </c>
      <c r="V428">
        <f t="shared" si="24"/>
        <v>0.44240415829508545</v>
      </c>
      <c r="W428" s="1">
        <f t="shared" si="25"/>
        <v>9.3000000000000007</v>
      </c>
      <c r="X428">
        <f t="shared" si="26"/>
        <v>0.49767109800000009</v>
      </c>
      <c r="Y428">
        <f t="shared" si="27"/>
        <v>3</v>
      </c>
      <c r="Z428" s="1">
        <v>11</v>
      </c>
      <c r="AA428">
        <v>89</v>
      </c>
      <c r="AB428">
        <v>0.1236</v>
      </c>
      <c r="AC428">
        <v>12</v>
      </c>
      <c r="AD428">
        <v>85</v>
      </c>
      <c r="AE428">
        <v>0.14119999999999999</v>
      </c>
      <c r="AF428" t="s">
        <v>2591</v>
      </c>
      <c r="AG428" t="s">
        <v>2593</v>
      </c>
    </row>
    <row r="429" spans="1:33">
      <c r="A429" s="2" t="s">
        <v>135</v>
      </c>
      <c r="B429" s="2" t="s">
        <v>67</v>
      </c>
      <c r="C429" s="1">
        <v>0.62083905900000003</v>
      </c>
      <c r="D429">
        <v>0.69185057000000005</v>
      </c>
      <c r="E429">
        <v>0.70435387900000002</v>
      </c>
      <c r="F429" s="1" t="s">
        <v>136</v>
      </c>
      <c r="G429" s="1">
        <v>1.353075171</v>
      </c>
      <c r="H429" s="1">
        <v>25.2</v>
      </c>
      <c r="I429" s="1">
        <v>43.9</v>
      </c>
      <c r="J429" s="1">
        <v>0.67234783600000003</v>
      </c>
      <c r="K429" s="1">
        <v>0.53971122199999999</v>
      </c>
      <c r="L429" s="1">
        <v>0.621203065</v>
      </c>
      <c r="M429" s="3">
        <v>0.67806811499999997</v>
      </c>
      <c r="N429" s="1" t="s">
        <v>68</v>
      </c>
      <c r="O429" s="1">
        <v>1.5131894480000001</v>
      </c>
      <c r="P429" s="1">
        <v>27.2</v>
      </c>
      <c r="Q429" s="1">
        <v>41.7</v>
      </c>
      <c r="R429" s="1">
        <v>0.61299413400000002</v>
      </c>
      <c r="S429" s="1">
        <v>0.11074175945905548</v>
      </c>
      <c r="T429" t="s">
        <v>576</v>
      </c>
      <c r="U429" s="1">
        <v>6135</v>
      </c>
      <c r="V429">
        <f t="shared" si="24"/>
        <v>0.42086828522922481</v>
      </c>
      <c r="W429" s="1">
        <f t="shared" si="25"/>
        <v>2</v>
      </c>
      <c r="X429">
        <f t="shared" si="26"/>
        <v>0.16011427700000014</v>
      </c>
      <c r="Y429">
        <f t="shared" si="27"/>
        <v>2.1999999999999957</v>
      </c>
      <c r="Z429" s="1">
        <v>2</v>
      </c>
      <c r="AA429">
        <v>98</v>
      </c>
      <c r="AB429">
        <v>2.0400000000000001E-2</v>
      </c>
      <c r="AC429">
        <v>3</v>
      </c>
      <c r="AD429">
        <v>105</v>
      </c>
      <c r="AE429">
        <v>2.86E-2</v>
      </c>
      <c r="AF429" t="s">
        <v>2591</v>
      </c>
      <c r="AG429" t="s">
        <v>2588</v>
      </c>
    </row>
    <row r="430" spans="1:33">
      <c r="A430" s="2" t="s">
        <v>135</v>
      </c>
      <c r="B430" s="2" t="s">
        <v>69</v>
      </c>
      <c r="C430" s="1">
        <v>0.62083905900000003</v>
      </c>
      <c r="D430">
        <v>0.69185057000000005</v>
      </c>
      <c r="E430">
        <v>0.70435387900000002</v>
      </c>
      <c r="F430" s="1" t="s">
        <v>136</v>
      </c>
      <c r="G430" s="1">
        <v>1.353075171</v>
      </c>
      <c r="H430" s="1">
        <v>25.2</v>
      </c>
      <c r="I430" s="1">
        <v>43.9</v>
      </c>
      <c r="J430" s="1">
        <v>0.67234783600000003</v>
      </c>
      <c r="K430" s="1">
        <v>0.50188385300000005</v>
      </c>
      <c r="L430" s="1">
        <v>0.64580031500000001</v>
      </c>
      <c r="M430" s="3">
        <v>0.66006355800000005</v>
      </c>
      <c r="N430" s="1" t="s">
        <v>70</v>
      </c>
      <c r="O430" s="1">
        <v>1.2401055409999999</v>
      </c>
      <c r="P430" s="1">
        <v>43.4</v>
      </c>
      <c r="Q430" s="1">
        <v>75.8</v>
      </c>
      <c r="R430" s="1">
        <v>0.60258257533333337</v>
      </c>
      <c r="S430" s="1">
        <v>0.13502814356403817</v>
      </c>
      <c r="T430" t="s">
        <v>577</v>
      </c>
      <c r="U430" s="1">
        <v>301</v>
      </c>
      <c r="V430">
        <f t="shared" si="24"/>
        <v>0.27539627728820482</v>
      </c>
      <c r="W430" s="1">
        <f t="shared" si="25"/>
        <v>18.2</v>
      </c>
      <c r="X430">
        <f t="shared" si="26"/>
        <v>0.11296963000000004</v>
      </c>
      <c r="Y430">
        <f t="shared" si="27"/>
        <v>31.9</v>
      </c>
      <c r="Z430" s="1">
        <v>2</v>
      </c>
      <c r="AA430">
        <v>98</v>
      </c>
      <c r="AB430">
        <v>2.0400000000000001E-2</v>
      </c>
      <c r="AC430">
        <v>3</v>
      </c>
      <c r="AD430">
        <v>112</v>
      </c>
      <c r="AE430">
        <v>2.6800000000000001E-2</v>
      </c>
      <c r="AF430" t="s">
        <v>2591</v>
      </c>
      <c r="AG430" t="s">
        <v>2589</v>
      </c>
    </row>
    <row r="431" spans="1:33">
      <c r="A431" s="2" t="s">
        <v>135</v>
      </c>
      <c r="B431" s="2" t="s">
        <v>71</v>
      </c>
      <c r="C431" s="1">
        <v>0.62083905900000003</v>
      </c>
      <c r="D431">
        <v>0.69185057000000005</v>
      </c>
      <c r="E431">
        <v>0.70435387900000002</v>
      </c>
      <c r="F431" s="1" t="s">
        <v>136</v>
      </c>
      <c r="G431" s="1">
        <v>1.353075171</v>
      </c>
      <c r="H431" s="1">
        <v>25.2</v>
      </c>
      <c r="I431" s="1">
        <v>43.9</v>
      </c>
      <c r="J431" s="1">
        <v>0.67234783600000003</v>
      </c>
      <c r="K431" s="1">
        <v>0.53267569100000001</v>
      </c>
      <c r="L431" s="1">
        <v>0.64507433599999997</v>
      </c>
      <c r="M431" s="3">
        <v>0.66598465100000004</v>
      </c>
      <c r="N431" s="1" t="s">
        <v>72</v>
      </c>
      <c r="O431" s="1">
        <v>0.97289666900000005</v>
      </c>
      <c r="P431" s="1">
        <v>64.8</v>
      </c>
      <c r="Q431" s="1">
        <v>177.1</v>
      </c>
      <c r="R431" s="1">
        <v>0.61457822600000001</v>
      </c>
      <c r="S431" s="1">
        <v>0.10692517562128283</v>
      </c>
      <c r="T431" t="s">
        <v>578</v>
      </c>
      <c r="U431" s="1">
        <v>2365</v>
      </c>
      <c r="V431">
        <f t="shared" si="24"/>
        <v>0.37487012723042556</v>
      </c>
      <c r="W431" s="1">
        <f t="shared" si="25"/>
        <v>39.599999999999994</v>
      </c>
      <c r="X431">
        <f t="shared" si="26"/>
        <v>0.38017850199999992</v>
      </c>
      <c r="Y431">
        <f t="shared" si="27"/>
        <v>133.19999999999999</v>
      </c>
      <c r="Z431" s="1">
        <v>4</v>
      </c>
      <c r="AA431">
        <v>96</v>
      </c>
      <c r="AB431">
        <v>4.1700000000000001E-2</v>
      </c>
      <c r="AC431">
        <v>4</v>
      </c>
      <c r="AD431">
        <v>122</v>
      </c>
      <c r="AE431">
        <v>3.2800000000000003E-2</v>
      </c>
      <c r="AF431" t="s">
        <v>2591</v>
      </c>
      <c r="AG431" t="s">
        <v>2589</v>
      </c>
    </row>
    <row r="432" spans="1:33">
      <c r="A432" s="2" t="s">
        <v>135</v>
      </c>
      <c r="B432" s="2" t="s">
        <v>73</v>
      </c>
      <c r="C432" s="1">
        <v>0.62083905900000003</v>
      </c>
      <c r="D432">
        <v>0.69185057000000005</v>
      </c>
      <c r="E432">
        <v>0.70435387900000002</v>
      </c>
      <c r="F432" s="1" t="s">
        <v>136</v>
      </c>
      <c r="G432" s="1">
        <v>1.353075171</v>
      </c>
      <c r="H432" s="1">
        <v>25.2</v>
      </c>
      <c r="I432" s="1">
        <v>43.9</v>
      </c>
      <c r="J432" s="1">
        <v>0.67234783600000003</v>
      </c>
      <c r="K432" s="1">
        <v>0.55697925299999995</v>
      </c>
      <c r="L432" s="1">
        <v>0.64461978399999997</v>
      </c>
      <c r="M432" s="3">
        <v>0.69570690000000002</v>
      </c>
      <c r="N432" s="1" t="s">
        <v>74</v>
      </c>
      <c r="O432" s="1">
        <v>1.23433584</v>
      </c>
      <c r="P432" s="1">
        <v>44</v>
      </c>
      <c r="Q432" s="1">
        <v>79.8</v>
      </c>
      <c r="R432" s="1">
        <v>0.63243531233333328</v>
      </c>
      <c r="S432" s="1">
        <v>7.9897385528951384E-2</v>
      </c>
      <c r="T432" t="s">
        <v>579</v>
      </c>
      <c r="U432" s="1">
        <v>271</v>
      </c>
      <c r="V432">
        <f t="shared" si="24"/>
        <v>0.27032992120826732</v>
      </c>
      <c r="W432" s="1">
        <f t="shared" si="25"/>
        <v>18.8</v>
      </c>
      <c r="X432">
        <f t="shared" si="26"/>
        <v>0.118739331</v>
      </c>
      <c r="Y432">
        <f t="shared" si="27"/>
        <v>35.9</v>
      </c>
      <c r="Z432" s="1">
        <v>1</v>
      </c>
      <c r="AA432">
        <v>99</v>
      </c>
      <c r="AB432">
        <v>1.01E-2</v>
      </c>
      <c r="AC432">
        <v>2</v>
      </c>
      <c r="AD432">
        <v>109</v>
      </c>
      <c r="AE432">
        <v>1.83E-2</v>
      </c>
      <c r="AF432" t="s">
        <v>2591</v>
      </c>
      <c r="AG432" t="s">
        <v>2589</v>
      </c>
    </row>
    <row r="433" spans="1:33">
      <c r="A433" s="2" t="s">
        <v>135</v>
      </c>
      <c r="B433" s="2" t="s">
        <v>75</v>
      </c>
      <c r="C433" s="1">
        <v>0.62083905900000003</v>
      </c>
      <c r="D433">
        <v>0.69185057000000005</v>
      </c>
      <c r="E433">
        <v>0.70435387900000002</v>
      </c>
      <c r="F433" s="1" t="s">
        <v>136</v>
      </c>
      <c r="G433" s="1">
        <v>1.353075171</v>
      </c>
      <c r="H433" s="1">
        <v>25.2</v>
      </c>
      <c r="I433" s="1">
        <v>43.9</v>
      </c>
      <c r="J433" s="1">
        <v>0.67234783600000003</v>
      </c>
      <c r="K433" s="1">
        <v>0.50354843500000002</v>
      </c>
      <c r="L433" s="1">
        <v>0.59724402499999996</v>
      </c>
      <c r="M433" s="3">
        <v>0.70308254199999998</v>
      </c>
      <c r="N433" s="1" t="s">
        <v>76</v>
      </c>
      <c r="O433" s="1">
        <v>1.2696850390000001</v>
      </c>
      <c r="P433" s="1">
        <v>26.6</v>
      </c>
      <c r="Q433" s="1">
        <v>50.8</v>
      </c>
      <c r="R433" s="1">
        <v>0.60129166733333339</v>
      </c>
      <c r="S433" s="1">
        <v>0.1506954051486441</v>
      </c>
      <c r="T433" t="s">
        <v>580</v>
      </c>
      <c r="U433" s="1">
        <v>1139</v>
      </c>
      <c r="V433">
        <f t="shared" si="24"/>
        <v>0.33961374711990006</v>
      </c>
      <c r="W433" s="1">
        <f t="shared" si="25"/>
        <v>1.4000000000000021</v>
      </c>
      <c r="X433">
        <f t="shared" si="26"/>
        <v>8.3390131999999895E-2</v>
      </c>
      <c r="Y433">
        <f t="shared" si="27"/>
        <v>6.8999999999999986</v>
      </c>
      <c r="Z433" s="1">
        <v>3</v>
      </c>
      <c r="AA433">
        <v>97</v>
      </c>
      <c r="AB433">
        <v>3.09E-2</v>
      </c>
      <c r="AC433">
        <v>4</v>
      </c>
      <c r="AD433">
        <v>107</v>
      </c>
      <c r="AE433">
        <v>3.7400000000000003E-2</v>
      </c>
      <c r="AF433" t="s">
        <v>2591</v>
      </c>
      <c r="AG433" t="s">
        <v>2594</v>
      </c>
    </row>
    <row r="434" spans="1:33">
      <c r="A434" s="2" t="s">
        <v>135</v>
      </c>
      <c r="B434" s="2" t="s">
        <v>77</v>
      </c>
      <c r="C434" s="1">
        <v>0.62083905900000003</v>
      </c>
      <c r="D434">
        <v>0.69185057000000005</v>
      </c>
      <c r="E434">
        <v>0.70435387900000002</v>
      </c>
      <c r="F434" s="1" t="s">
        <v>136</v>
      </c>
      <c r="G434" s="1">
        <v>1.353075171</v>
      </c>
      <c r="H434" s="1">
        <v>25.2</v>
      </c>
      <c r="I434" s="1">
        <v>43.9</v>
      </c>
      <c r="J434" s="1">
        <v>0.67234783600000003</v>
      </c>
      <c r="K434" s="1">
        <v>0.54630843299999998</v>
      </c>
      <c r="L434" s="1">
        <v>0.68935555900000001</v>
      </c>
      <c r="M434" s="3">
        <v>0.65478744899999997</v>
      </c>
      <c r="N434" s="1" t="s">
        <v>78</v>
      </c>
      <c r="O434" s="1">
        <v>1.3914285710000001</v>
      </c>
      <c r="P434" s="1">
        <v>56.5</v>
      </c>
      <c r="Q434" s="1">
        <v>105</v>
      </c>
      <c r="R434" s="1">
        <v>0.63015048033333343</v>
      </c>
      <c r="S434" s="1">
        <v>8.9542561247637473E-2</v>
      </c>
      <c r="T434" t="s">
        <v>581</v>
      </c>
      <c r="U434" s="1">
        <v>721</v>
      </c>
      <c r="V434">
        <f t="shared" si="24"/>
        <v>0.3175483627466032</v>
      </c>
      <c r="W434" s="1">
        <f t="shared" si="25"/>
        <v>31.3</v>
      </c>
      <c r="X434">
        <f t="shared" si="26"/>
        <v>3.8353400000000093E-2</v>
      </c>
      <c r="Y434">
        <f t="shared" si="27"/>
        <v>61.1</v>
      </c>
      <c r="Z434" s="1">
        <v>3</v>
      </c>
      <c r="AA434">
        <v>97</v>
      </c>
      <c r="AB434">
        <v>3.09E-2</v>
      </c>
      <c r="AC434">
        <v>4</v>
      </c>
      <c r="AD434">
        <v>96</v>
      </c>
      <c r="AE434">
        <v>4.1700000000000001E-2</v>
      </c>
      <c r="AF434" t="s">
        <v>2591</v>
      </c>
      <c r="AG434" t="s">
        <v>2590</v>
      </c>
    </row>
    <row r="435" spans="1:33">
      <c r="A435" s="2" t="s">
        <v>135</v>
      </c>
      <c r="B435" s="2" t="s">
        <v>79</v>
      </c>
      <c r="C435" s="1">
        <v>0.62083905900000003</v>
      </c>
      <c r="D435">
        <v>0.69185057000000005</v>
      </c>
      <c r="E435">
        <v>0.70435387900000002</v>
      </c>
      <c r="F435" s="1" t="s">
        <v>136</v>
      </c>
      <c r="G435" s="1">
        <v>1.353075171</v>
      </c>
      <c r="H435" s="1">
        <v>25.2</v>
      </c>
      <c r="I435" s="1">
        <v>43.9</v>
      </c>
      <c r="J435" s="1">
        <v>0.67234783600000003</v>
      </c>
      <c r="K435" s="1">
        <v>0.63652882899999996</v>
      </c>
      <c r="L435" s="1">
        <v>0.77536518600000004</v>
      </c>
      <c r="M435" s="3">
        <v>0.610415606</v>
      </c>
      <c r="N435" s="1" t="s">
        <v>80</v>
      </c>
      <c r="O435" s="1">
        <v>0.95325542600000002</v>
      </c>
      <c r="P435" s="1">
        <v>45.6</v>
      </c>
      <c r="Q435" s="1">
        <v>119.8</v>
      </c>
      <c r="R435" s="1">
        <v>0.67410320700000004</v>
      </c>
      <c r="S435" s="1">
        <v>0.12666988238134147</v>
      </c>
      <c r="T435" t="s">
        <v>582</v>
      </c>
      <c r="U435" s="1">
        <v>2223</v>
      </c>
      <c r="V435">
        <f t="shared" si="24"/>
        <v>0.37188216252211004</v>
      </c>
      <c r="W435" s="1">
        <f t="shared" si="25"/>
        <v>20.400000000000002</v>
      </c>
      <c r="X435">
        <f t="shared" si="26"/>
        <v>0.39981974499999995</v>
      </c>
      <c r="Y435">
        <f t="shared" si="27"/>
        <v>75.900000000000006</v>
      </c>
      <c r="Z435" s="1">
        <v>1</v>
      </c>
      <c r="AA435">
        <v>99</v>
      </c>
      <c r="AB435">
        <v>1.01E-2</v>
      </c>
      <c r="AC435">
        <v>2</v>
      </c>
      <c r="AD435">
        <v>89</v>
      </c>
      <c r="AE435">
        <v>2.2499999999999999E-2</v>
      </c>
      <c r="AF435" t="s">
        <v>2591</v>
      </c>
      <c r="AG435" t="s">
        <v>2590</v>
      </c>
    </row>
    <row r="436" spans="1:33">
      <c r="A436" s="2" t="s">
        <v>135</v>
      </c>
      <c r="B436" s="2" t="s">
        <v>81</v>
      </c>
      <c r="C436" s="1">
        <v>0.62083905900000003</v>
      </c>
      <c r="D436">
        <v>0.69185057000000005</v>
      </c>
      <c r="E436">
        <v>0.70435387900000002</v>
      </c>
      <c r="F436" s="1" t="s">
        <v>136</v>
      </c>
      <c r="G436" s="1">
        <v>1.353075171</v>
      </c>
      <c r="H436" s="1">
        <v>25.2</v>
      </c>
      <c r="I436" s="1">
        <v>43.9</v>
      </c>
      <c r="J436" s="1">
        <v>0.67234783600000003</v>
      </c>
      <c r="K436" s="1">
        <v>0.50183280699999999</v>
      </c>
      <c r="L436" s="1">
        <v>0.68550824600000004</v>
      </c>
      <c r="M436" s="3">
        <v>0.66941488999999998</v>
      </c>
      <c r="N436" s="1" t="s">
        <v>82</v>
      </c>
      <c r="O436" s="1">
        <v>1.4359576970000001</v>
      </c>
      <c r="P436" s="1">
        <v>51</v>
      </c>
      <c r="Q436" s="1">
        <v>85.1</v>
      </c>
      <c r="R436" s="1">
        <v>0.61891864766666671</v>
      </c>
      <c r="S436" s="1">
        <v>0.12419116732340756</v>
      </c>
      <c r="T436" t="s">
        <v>583</v>
      </c>
      <c r="U436" s="1">
        <v>2298</v>
      </c>
      <c r="V436">
        <f t="shared" si="24"/>
        <v>0.37348333603914069</v>
      </c>
      <c r="W436" s="1">
        <f t="shared" si="25"/>
        <v>25.8</v>
      </c>
      <c r="X436">
        <f t="shared" si="26"/>
        <v>8.2882526000000123E-2</v>
      </c>
      <c r="Y436">
        <f t="shared" si="27"/>
        <v>41.199999999999996</v>
      </c>
      <c r="Z436" s="1">
        <v>3</v>
      </c>
      <c r="AA436">
        <v>97</v>
      </c>
      <c r="AB436">
        <v>3.09E-2</v>
      </c>
      <c r="AC436">
        <v>3</v>
      </c>
      <c r="AD436">
        <v>99</v>
      </c>
      <c r="AE436">
        <v>3.0300000000000001E-2</v>
      </c>
      <c r="AF436" t="s">
        <v>2591</v>
      </c>
      <c r="AG436" t="s">
        <v>2589</v>
      </c>
    </row>
    <row r="437" spans="1:33">
      <c r="A437" s="2" t="s">
        <v>135</v>
      </c>
      <c r="B437" s="2" t="s">
        <v>83</v>
      </c>
      <c r="C437" s="1">
        <v>0.62083905900000003</v>
      </c>
      <c r="D437">
        <v>0.69185057000000005</v>
      </c>
      <c r="E437">
        <v>0.70435387900000002</v>
      </c>
      <c r="F437" s="1" t="s">
        <v>136</v>
      </c>
      <c r="G437" s="1">
        <v>1.353075171</v>
      </c>
      <c r="H437" s="1">
        <v>25.2</v>
      </c>
      <c r="I437" s="1">
        <v>43.9</v>
      </c>
      <c r="J437" s="1">
        <v>0.67234783600000003</v>
      </c>
      <c r="K437" s="1">
        <v>0.51815179099999997</v>
      </c>
      <c r="L437" s="1">
        <v>0.50115949400000004</v>
      </c>
      <c r="M437" s="3">
        <v>0.68053170600000001</v>
      </c>
      <c r="N437" s="1" t="s">
        <v>84</v>
      </c>
      <c r="O437" s="1">
        <v>1.760323887</v>
      </c>
      <c r="P437" s="1">
        <v>83.4</v>
      </c>
      <c r="Q437" s="1">
        <v>123.5</v>
      </c>
      <c r="R437" s="1">
        <v>0.56661433033333342</v>
      </c>
      <c r="S437" s="1">
        <v>0.21788817636986077</v>
      </c>
      <c r="T437" t="s">
        <v>584</v>
      </c>
      <c r="U437" s="1">
        <v>557</v>
      </c>
      <c r="V437">
        <f t="shared" si="24"/>
        <v>0.30509502168596986</v>
      </c>
      <c r="W437" s="1">
        <f t="shared" si="25"/>
        <v>58.2</v>
      </c>
      <c r="X437">
        <f t="shared" si="26"/>
        <v>0.40724871600000001</v>
      </c>
      <c r="Y437">
        <f t="shared" si="27"/>
        <v>79.599999999999994</v>
      </c>
      <c r="Z437" s="1">
        <v>1</v>
      </c>
      <c r="AA437">
        <v>99</v>
      </c>
      <c r="AB437">
        <v>1.01E-2</v>
      </c>
      <c r="AC437">
        <v>2</v>
      </c>
      <c r="AD437">
        <v>95</v>
      </c>
      <c r="AE437">
        <v>2.1100000000000001E-2</v>
      </c>
      <c r="AF437" t="s">
        <v>2591</v>
      </c>
      <c r="AG437" t="s">
        <v>2589</v>
      </c>
    </row>
    <row r="438" spans="1:33">
      <c r="A438" s="2" t="s">
        <v>135</v>
      </c>
      <c r="B438" s="2" t="s">
        <v>85</v>
      </c>
      <c r="C438" s="1">
        <v>0.62083905900000003</v>
      </c>
      <c r="D438">
        <v>0.69185057000000005</v>
      </c>
      <c r="E438">
        <v>0.70435387900000002</v>
      </c>
      <c r="F438" s="1" t="s">
        <v>136</v>
      </c>
      <c r="G438" s="1">
        <v>1.353075171</v>
      </c>
      <c r="H438" s="1">
        <v>25.2</v>
      </c>
      <c r="I438" s="1">
        <v>43.9</v>
      </c>
      <c r="J438" s="1">
        <v>0.67234783600000003</v>
      </c>
      <c r="K438" s="1">
        <v>0.522280945</v>
      </c>
      <c r="L438" s="1">
        <v>0.58016629799999997</v>
      </c>
      <c r="M438" s="3">
        <v>0.62446713499999995</v>
      </c>
      <c r="N438" s="1" t="s">
        <v>86</v>
      </c>
      <c r="O438" s="1">
        <v>0.57177615599999998</v>
      </c>
      <c r="P438" s="1">
        <v>19.5</v>
      </c>
      <c r="Q438" s="1">
        <v>82.2</v>
      </c>
      <c r="R438" s="1">
        <v>0.57563812599999997</v>
      </c>
      <c r="S438" s="1">
        <v>0.16902357916672026</v>
      </c>
      <c r="T438" t="s">
        <v>585</v>
      </c>
      <c r="U438" s="1">
        <v>232</v>
      </c>
      <c r="V438">
        <f t="shared" si="24"/>
        <v>0.26283199832121107</v>
      </c>
      <c r="W438" s="1">
        <f t="shared" si="25"/>
        <v>5.6999999999999993</v>
      </c>
      <c r="X438">
        <f t="shared" si="26"/>
        <v>0.78129901499999999</v>
      </c>
      <c r="Y438">
        <f t="shared" si="27"/>
        <v>38.300000000000004</v>
      </c>
      <c r="Z438" s="1">
        <v>1</v>
      </c>
      <c r="AA438">
        <v>99</v>
      </c>
      <c r="AB438">
        <v>1.01E-2</v>
      </c>
      <c r="AC438">
        <v>2</v>
      </c>
      <c r="AD438">
        <v>160</v>
      </c>
      <c r="AE438">
        <v>1.2500000000000001E-2</v>
      </c>
      <c r="AF438" t="s">
        <v>2591</v>
      </c>
      <c r="AG438" t="s">
        <v>2590</v>
      </c>
    </row>
    <row r="439" spans="1:33">
      <c r="A439" s="2" t="s">
        <v>135</v>
      </c>
      <c r="B439" s="2" t="s">
        <v>87</v>
      </c>
      <c r="C439" s="1">
        <v>0.62083905900000003</v>
      </c>
      <c r="D439">
        <v>0.69185057000000005</v>
      </c>
      <c r="E439">
        <v>0.70435387900000002</v>
      </c>
      <c r="F439" s="1" t="s">
        <v>136</v>
      </c>
      <c r="G439" s="1">
        <v>1.353075171</v>
      </c>
      <c r="H439" s="1">
        <v>25.2</v>
      </c>
      <c r="I439" s="1">
        <v>43.9</v>
      </c>
      <c r="J439" s="1">
        <v>0.67234783600000003</v>
      </c>
      <c r="K439" s="1">
        <v>0.46780425199999998</v>
      </c>
      <c r="L439" s="1">
        <v>0.54149707400000002</v>
      </c>
      <c r="M439" s="3">
        <v>0.61626236400000001</v>
      </c>
      <c r="N439" s="1" t="s">
        <v>88</v>
      </c>
      <c r="O439" s="1">
        <v>1.395454545</v>
      </c>
      <c r="P439" s="1">
        <v>65.2</v>
      </c>
      <c r="Q439" s="1">
        <v>110</v>
      </c>
      <c r="R439" s="1">
        <v>0.54185456333333337</v>
      </c>
      <c r="S439" s="1">
        <v>0.23191796163286818</v>
      </c>
      <c r="T439" t="s">
        <v>586</v>
      </c>
      <c r="U439" s="1">
        <v>632</v>
      </c>
      <c r="V439">
        <f t="shared" si="24"/>
        <v>0.31119078647582055</v>
      </c>
      <c r="W439" s="1">
        <f t="shared" si="25"/>
        <v>40</v>
      </c>
      <c r="X439">
        <f t="shared" si="26"/>
        <v>4.2379374000000025E-2</v>
      </c>
      <c r="Y439">
        <f t="shared" si="27"/>
        <v>66.099999999999994</v>
      </c>
      <c r="Z439" s="1">
        <v>1</v>
      </c>
      <c r="AA439">
        <v>99</v>
      </c>
      <c r="AB439">
        <v>1.01E-2</v>
      </c>
      <c r="AC439">
        <v>2</v>
      </c>
      <c r="AD439">
        <v>93</v>
      </c>
      <c r="AE439">
        <v>2.1499999999999998E-2</v>
      </c>
      <c r="AF439" t="s">
        <v>2591</v>
      </c>
      <c r="AG439" t="s">
        <v>2590</v>
      </c>
    </row>
    <row r="440" spans="1:33">
      <c r="A440" s="2" t="s">
        <v>135</v>
      </c>
      <c r="B440" s="2" t="s">
        <v>89</v>
      </c>
      <c r="C440" s="1">
        <v>0.62083905900000003</v>
      </c>
      <c r="D440">
        <v>0.69185057000000005</v>
      </c>
      <c r="E440">
        <v>0.70435387900000002</v>
      </c>
      <c r="F440" s="1" t="s">
        <v>136</v>
      </c>
      <c r="G440" s="1">
        <v>1.353075171</v>
      </c>
      <c r="H440" s="1">
        <v>25.2</v>
      </c>
      <c r="I440" s="1">
        <v>43.9</v>
      </c>
      <c r="J440" s="1">
        <v>0.67234783600000003</v>
      </c>
      <c r="K440" s="1">
        <v>0.51097051500000001</v>
      </c>
      <c r="L440" s="1">
        <v>0.61917891400000002</v>
      </c>
      <c r="M440" s="3">
        <v>0.60984479800000002</v>
      </c>
      <c r="N440" s="1" t="s">
        <v>90</v>
      </c>
      <c r="O440" s="1">
        <v>1.429752066</v>
      </c>
      <c r="P440" s="1">
        <v>59.8</v>
      </c>
      <c r="Q440" s="1">
        <v>108.9</v>
      </c>
      <c r="R440" s="1">
        <v>0.57999807566666661</v>
      </c>
      <c r="S440" s="1">
        <v>0.16212412817938865</v>
      </c>
      <c r="T440" t="s">
        <v>587</v>
      </c>
      <c r="U440" s="1">
        <v>6921</v>
      </c>
      <c r="V440">
        <f t="shared" si="24"/>
        <v>0.42668542769341733</v>
      </c>
      <c r="W440" s="1">
        <f t="shared" si="25"/>
        <v>34.599999999999994</v>
      </c>
      <c r="X440">
        <f t="shared" si="26"/>
        <v>7.6676895000000078E-2</v>
      </c>
      <c r="Y440">
        <f t="shared" si="27"/>
        <v>65</v>
      </c>
      <c r="Z440" s="1">
        <v>1</v>
      </c>
      <c r="AA440">
        <v>99</v>
      </c>
      <c r="AB440">
        <v>1.01E-2</v>
      </c>
      <c r="AC440">
        <v>4</v>
      </c>
      <c r="AD440">
        <v>100</v>
      </c>
      <c r="AE440">
        <v>0.04</v>
      </c>
      <c r="AF440" t="s">
        <v>2591</v>
      </c>
      <c r="AG440" t="s">
        <v>2589</v>
      </c>
    </row>
    <row r="441" spans="1:33">
      <c r="A441" s="2" t="s">
        <v>135</v>
      </c>
      <c r="B441" s="2" t="s">
        <v>91</v>
      </c>
      <c r="C441" s="1">
        <v>0.62083905900000003</v>
      </c>
      <c r="D441">
        <v>0.69185057000000005</v>
      </c>
      <c r="E441">
        <v>0.70435387900000002</v>
      </c>
      <c r="F441" s="1" t="s">
        <v>136</v>
      </c>
      <c r="G441" s="1">
        <v>1.353075171</v>
      </c>
      <c r="H441" s="1">
        <v>25.2</v>
      </c>
      <c r="I441" s="1">
        <v>43.9</v>
      </c>
      <c r="J441" s="1">
        <v>0.67234783600000003</v>
      </c>
      <c r="K441" s="1">
        <v>0.37439919700000002</v>
      </c>
      <c r="L441" s="1">
        <v>0.508839347</v>
      </c>
      <c r="M441" s="3">
        <v>0.52701193599999996</v>
      </c>
      <c r="N441" s="1" t="s">
        <v>92</v>
      </c>
      <c r="O441" s="1">
        <v>1.911504425</v>
      </c>
      <c r="P441" s="1">
        <v>24.6</v>
      </c>
      <c r="Q441" s="1">
        <v>33.9</v>
      </c>
      <c r="R441" s="1">
        <v>0.47008349333333332</v>
      </c>
      <c r="S441" s="1">
        <v>0.35450793795562613</v>
      </c>
      <c r="T441" t="s">
        <v>588</v>
      </c>
      <c r="U441" s="1">
        <v>584</v>
      </c>
      <c r="V441">
        <f t="shared" si="24"/>
        <v>0.30737920523471107</v>
      </c>
      <c r="W441" s="1">
        <f t="shared" si="25"/>
        <v>0.59999999999999787</v>
      </c>
      <c r="X441">
        <f t="shared" si="26"/>
        <v>0.55842925399999999</v>
      </c>
      <c r="Y441">
        <f t="shared" si="27"/>
        <v>10</v>
      </c>
      <c r="Z441" s="1">
        <v>1</v>
      </c>
      <c r="AA441">
        <v>99</v>
      </c>
      <c r="AB441">
        <v>1.01E-2</v>
      </c>
      <c r="AC441">
        <v>2</v>
      </c>
      <c r="AD441">
        <v>109</v>
      </c>
      <c r="AE441">
        <v>1.83E-2</v>
      </c>
      <c r="AF441" t="s">
        <v>2591</v>
      </c>
      <c r="AG441" t="s">
        <v>2590</v>
      </c>
    </row>
    <row r="442" spans="1:33">
      <c r="A442" s="2" t="s">
        <v>135</v>
      </c>
      <c r="B442" s="2" t="s">
        <v>93</v>
      </c>
      <c r="C442" s="1">
        <v>0.62083905900000003</v>
      </c>
      <c r="D442">
        <v>0.69185057000000005</v>
      </c>
      <c r="E442">
        <v>0.70435387900000002</v>
      </c>
      <c r="F442" s="1" t="s">
        <v>136</v>
      </c>
      <c r="G442" s="1">
        <v>1.353075171</v>
      </c>
      <c r="H442" s="1">
        <v>25.2</v>
      </c>
      <c r="I442" s="1">
        <v>43.9</v>
      </c>
      <c r="J442" s="1">
        <v>0.67234783600000003</v>
      </c>
      <c r="K442" s="1">
        <v>0.54134617200000001</v>
      </c>
      <c r="L442" s="1">
        <v>0.674899633</v>
      </c>
      <c r="M442" s="3">
        <v>0.719840174</v>
      </c>
      <c r="N442" s="1" t="s">
        <v>94</v>
      </c>
      <c r="O442" s="1">
        <v>1.175388967</v>
      </c>
      <c r="P442" s="1">
        <v>36.6</v>
      </c>
      <c r="Q442" s="1">
        <v>70.7</v>
      </c>
      <c r="R442" s="1">
        <v>0.64536199299999997</v>
      </c>
      <c r="S442" s="1">
        <v>8.2742242425497312E-2</v>
      </c>
      <c r="T442" t="s">
        <v>589</v>
      </c>
      <c r="U442" s="1">
        <v>299</v>
      </c>
      <c r="V442">
        <f t="shared" si="24"/>
        <v>0.27507457648049216</v>
      </c>
      <c r="W442" s="1">
        <f t="shared" si="25"/>
        <v>11.400000000000002</v>
      </c>
      <c r="X442">
        <f t="shared" si="26"/>
        <v>0.17768620400000001</v>
      </c>
      <c r="Y442">
        <f t="shared" si="27"/>
        <v>26.800000000000004</v>
      </c>
      <c r="Z442" s="1">
        <v>1</v>
      </c>
      <c r="AA442">
        <v>99</v>
      </c>
      <c r="AB442">
        <v>1.01E-2</v>
      </c>
      <c r="AC442">
        <v>2</v>
      </c>
      <c r="AD442">
        <v>100</v>
      </c>
      <c r="AE442">
        <v>0.02</v>
      </c>
      <c r="AF442" t="s">
        <v>2591</v>
      </c>
      <c r="AG442" t="s">
        <v>2589</v>
      </c>
    </row>
    <row r="443" spans="1:33">
      <c r="A443" s="2" t="s">
        <v>135</v>
      </c>
      <c r="B443" s="2" t="s">
        <v>95</v>
      </c>
      <c r="C443" s="1">
        <v>0.62083905900000003</v>
      </c>
      <c r="D443">
        <v>0.69185057000000005</v>
      </c>
      <c r="E443">
        <v>0.70435387900000002</v>
      </c>
      <c r="F443" s="1" t="s">
        <v>136</v>
      </c>
      <c r="G443" s="1">
        <v>1.353075171</v>
      </c>
      <c r="H443" s="1">
        <v>25.2</v>
      </c>
      <c r="I443" s="1">
        <v>43.9</v>
      </c>
      <c r="J443" s="1">
        <v>0.67234783600000003</v>
      </c>
      <c r="K443" s="1">
        <v>0.59462093100000002</v>
      </c>
      <c r="L443" s="1">
        <v>0.68038960500000001</v>
      </c>
      <c r="M443" s="3">
        <v>0.72533004899999998</v>
      </c>
      <c r="N443" s="1" t="s">
        <v>96</v>
      </c>
      <c r="O443" s="1">
        <v>1.9717647060000001</v>
      </c>
      <c r="P443" s="1">
        <v>34.6</v>
      </c>
      <c r="Q443" s="1">
        <v>42.5</v>
      </c>
      <c r="R443" s="1">
        <v>0.66678019499999996</v>
      </c>
      <c r="S443" s="1">
        <v>3.547877763430568E-2</v>
      </c>
      <c r="T443" t="s">
        <v>590</v>
      </c>
      <c r="U443" s="1">
        <v>11379</v>
      </c>
      <c r="V443">
        <f t="shared" si="24"/>
        <v>0.45067823304693921</v>
      </c>
      <c r="W443" s="1">
        <f t="shared" si="25"/>
        <v>9.4000000000000021</v>
      </c>
      <c r="X443">
        <f t="shared" si="26"/>
        <v>0.61868953500000012</v>
      </c>
      <c r="Y443">
        <f t="shared" si="27"/>
        <v>1.3999999999999986</v>
      </c>
      <c r="Z443" s="1">
        <v>32</v>
      </c>
      <c r="AA443">
        <v>68</v>
      </c>
      <c r="AB443">
        <v>0.47060000000000002</v>
      </c>
      <c r="AC443">
        <v>34</v>
      </c>
      <c r="AD443">
        <v>74</v>
      </c>
      <c r="AE443">
        <v>0.45950000000000002</v>
      </c>
      <c r="AF443" t="s">
        <v>2591</v>
      </c>
      <c r="AG443" t="s">
        <v>2593</v>
      </c>
    </row>
    <row r="444" spans="1:33">
      <c r="A444" s="2" t="s">
        <v>135</v>
      </c>
      <c r="B444" s="2" t="s">
        <v>97</v>
      </c>
      <c r="C444" s="1">
        <v>0.62083905900000003</v>
      </c>
      <c r="D444">
        <v>0.69185057000000005</v>
      </c>
      <c r="E444">
        <v>0.70435387900000002</v>
      </c>
      <c r="F444" s="1" t="s">
        <v>136</v>
      </c>
      <c r="G444" s="1">
        <v>1.353075171</v>
      </c>
      <c r="H444" s="1">
        <v>25.2</v>
      </c>
      <c r="I444" s="1">
        <v>43.9</v>
      </c>
      <c r="J444" s="1">
        <v>0.67234783600000003</v>
      </c>
      <c r="K444" s="1">
        <v>0.63674842300000001</v>
      </c>
      <c r="L444" s="1">
        <v>0.68532635500000005</v>
      </c>
      <c r="M444" s="3">
        <v>0.727031494</v>
      </c>
      <c r="N444" s="1" t="s">
        <v>98</v>
      </c>
      <c r="O444" s="1">
        <v>2.360103627</v>
      </c>
      <c r="P444" s="1">
        <v>36.799999999999997</v>
      </c>
      <c r="Q444" s="1">
        <v>38.6</v>
      </c>
      <c r="R444" s="1">
        <v>0.68303542400000017</v>
      </c>
      <c r="S444" s="1">
        <v>2.8459576004201903E-2</v>
      </c>
      <c r="T444" t="s">
        <v>591</v>
      </c>
      <c r="U444" s="1">
        <v>14887</v>
      </c>
      <c r="V444">
        <f t="shared" si="24"/>
        <v>0.4636452431521208</v>
      </c>
      <c r="W444" s="1">
        <f t="shared" si="25"/>
        <v>11.599999999999998</v>
      </c>
      <c r="X444">
        <f t="shared" si="26"/>
        <v>1.007028456</v>
      </c>
      <c r="Y444">
        <f t="shared" si="27"/>
        <v>5.2999999999999972</v>
      </c>
      <c r="Z444" s="1">
        <v>21</v>
      </c>
      <c r="AA444">
        <v>79</v>
      </c>
      <c r="AB444">
        <v>0.26579999999999998</v>
      </c>
      <c r="AC444">
        <v>25</v>
      </c>
      <c r="AD444">
        <v>83</v>
      </c>
      <c r="AE444">
        <v>0.30120000000000002</v>
      </c>
      <c r="AF444" t="s">
        <v>2591</v>
      </c>
      <c r="AG444" t="s">
        <v>2593</v>
      </c>
    </row>
    <row r="445" spans="1:33">
      <c r="A445" s="2" t="s">
        <v>135</v>
      </c>
      <c r="B445" s="2" t="s">
        <v>99</v>
      </c>
      <c r="C445" s="1">
        <v>0.62083905900000003</v>
      </c>
      <c r="D445">
        <v>0.69185057000000005</v>
      </c>
      <c r="E445">
        <v>0.70435387900000002</v>
      </c>
      <c r="F445" s="1" t="s">
        <v>136</v>
      </c>
      <c r="G445" s="1">
        <v>1.353075171</v>
      </c>
      <c r="H445" s="1">
        <v>25.2</v>
      </c>
      <c r="I445" s="1">
        <v>43.9</v>
      </c>
      <c r="J445" s="1">
        <v>0.67234783600000003</v>
      </c>
      <c r="K445" s="1">
        <v>0.52525630099999998</v>
      </c>
      <c r="L445" s="1">
        <v>0.68706170200000005</v>
      </c>
      <c r="M445" s="3">
        <v>0.71473597300000002</v>
      </c>
      <c r="N445" s="1" t="s">
        <v>100</v>
      </c>
      <c r="O445" s="1">
        <v>1.72605042</v>
      </c>
      <c r="P445" s="1">
        <v>46.5</v>
      </c>
      <c r="Q445" s="1">
        <v>59.5</v>
      </c>
      <c r="R445" s="1">
        <v>0.64235132533333339</v>
      </c>
      <c r="S445" s="1">
        <v>9.6264140568712464E-2</v>
      </c>
      <c r="T445" t="s">
        <v>592</v>
      </c>
      <c r="U445" s="1">
        <v>418</v>
      </c>
      <c r="V445">
        <f t="shared" si="24"/>
        <v>0.29124180908611502</v>
      </c>
      <c r="W445" s="1">
        <f t="shared" si="25"/>
        <v>21.3</v>
      </c>
      <c r="X445">
        <f t="shared" si="26"/>
        <v>0.37297524900000001</v>
      </c>
      <c r="Y445">
        <f t="shared" si="27"/>
        <v>15.600000000000001</v>
      </c>
      <c r="Z445" s="1">
        <v>0</v>
      </c>
      <c r="AA445">
        <v>100</v>
      </c>
      <c r="AB445">
        <v>0</v>
      </c>
      <c r="AC445">
        <v>0</v>
      </c>
      <c r="AD445">
        <v>110</v>
      </c>
      <c r="AE445">
        <v>0</v>
      </c>
      <c r="AF445" t="s">
        <v>2591</v>
      </c>
      <c r="AG445" t="s">
        <v>2589</v>
      </c>
    </row>
    <row r="446" spans="1:33">
      <c r="A446" s="2" t="s">
        <v>135</v>
      </c>
      <c r="B446" s="2" t="s">
        <v>148</v>
      </c>
      <c r="C446" s="1">
        <v>0.62083905900000003</v>
      </c>
      <c r="D446">
        <v>0.69185057000000005</v>
      </c>
      <c r="E446">
        <v>0.70435387900000002</v>
      </c>
      <c r="F446" s="1" t="s">
        <v>136</v>
      </c>
      <c r="G446" s="1">
        <v>1.353075171</v>
      </c>
      <c r="H446" s="1">
        <v>25.2</v>
      </c>
      <c r="I446" s="1">
        <v>43.9</v>
      </c>
      <c r="J446" s="1">
        <v>0.67234783600000003</v>
      </c>
      <c r="K446" s="1">
        <v>0.52246277500000005</v>
      </c>
      <c r="L446" s="1">
        <v>0.64036274199999998</v>
      </c>
      <c r="M446" s="3">
        <v>0.62317592099999997</v>
      </c>
      <c r="N446" s="1" t="s">
        <v>149</v>
      </c>
      <c r="O446" s="1">
        <v>1.201000834</v>
      </c>
      <c r="P446" s="1">
        <v>59.2</v>
      </c>
      <c r="Q446" s="1">
        <v>119.9</v>
      </c>
      <c r="R446" s="1">
        <v>0.59533381266666663</v>
      </c>
      <c r="S446" s="1">
        <v>0.13754544903724011</v>
      </c>
      <c r="T446" t="s">
        <v>610</v>
      </c>
      <c r="U446" s="1">
        <v>1182</v>
      </c>
      <c r="V446">
        <f t="shared" si="24"/>
        <v>0.34140194183835965</v>
      </c>
      <c r="W446" s="1">
        <f t="shared" si="25"/>
        <v>34</v>
      </c>
      <c r="X446">
        <f t="shared" si="26"/>
        <v>0.15207433699999995</v>
      </c>
      <c r="Y446">
        <f t="shared" si="27"/>
        <v>76</v>
      </c>
      <c r="Z446" s="1">
        <v>1</v>
      </c>
      <c r="AA446">
        <v>99</v>
      </c>
      <c r="AB446">
        <v>1.01E-2</v>
      </c>
      <c r="AC446">
        <v>2</v>
      </c>
      <c r="AD446">
        <v>103</v>
      </c>
      <c r="AE446">
        <v>1.9400000000000001E-2</v>
      </c>
      <c r="AF446" t="s">
        <v>2591</v>
      </c>
      <c r="AG446" t="s">
        <v>2589</v>
      </c>
    </row>
    <row r="447" spans="1:33">
      <c r="A447" s="2" t="s">
        <v>135</v>
      </c>
      <c r="B447" s="2" t="s">
        <v>101</v>
      </c>
      <c r="C447" s="1">
        <v>0.62083905900000003</v>
      </c>
      <c r="D447">
        <v>0.69185057000000005</v>
      </c>
      <c r="E447">
        <v>0.70435387900000002</v>
      </c>
      <c r="F447" s="1" t="s">
        <v>136</v>
      </c>
      <c r="G447" s="1">
        <v>1.353075171</v>
      </c>
      <c r="H447" s="1">
        <v>25.2</v>
      </c>
      <c r="I447" s="1">
        <v>43.9</v>
      </c>
      <c r="J447" s="1">
        <v>0.67234783600000003</v>
      </c>
      <c r="K447" s="1">
        <v>0.57277697599999999</v>
      </c>
      <c r="L447" s="1">
        <v>0.64568820599999999</v>
      </c>
      <c r="M447" s="3">
        <v>0.70909993500000001</v>
      </c>
      <c r="N447" s="1" t="s">
        <v>102</v>
      </c>
      <c r="O447" s="1">
        <v>1.2818181820000001</v>
      </c>
      <c r="P447" s="1">
        <v>58</v>
      </c>
      <c r="Q447" s="1">
        <v>110</v>
      </c>
      <c r="R447" s="1">
        <v>0.64252170566666666</v>
      </c>
      <c r="S447" s="1">
        <v>6.6809076628273567E-2</v>
      </c>
      <c r="T447" t="s">
        <v>593</v>
      </c>
      <c r="U447" s="1">
        <v>1169</v>
      </c>
      <c r="V447">
        <f t="shared" si="24"/>
        <v>0.34086827901798222</v>
      </c>
      <c r="W447" s="1">
        <f t="shared" si="25"/>
        <v>32.799999999999997</v>
      </c>
      <c r="X447">
        <f t="shared" si="26"/>
        <v>7.1256988999999882E-2</v>
      </c>
      <c r="Y447">
        <f t="shared" si="27"/>
        <v>66.099999999999994</v>
      </c>
      <c r="Z447" s="1">
        <v>2</v>
      </c>
      <c r="AA447">
        <v>98</v>
      </c>
      <c r="AB447">
        <v>2.0400000000000001E-2</v>
      </c>
      <c r="AC447">
        <v>3</v>
      </c>
      <c r="AD447">
        <v>100</v>
      </c>
      <c r="AE447">
        <v>0.03</v>
      </c>
      <c r="AF447" t="s">
        <v>2591</v>
      </c>
      <c r="AG447" t="s">
        <v>2589</v>
      </c>
    </row>
    <row r="448" spans="1:33">
      <c r="A448" s="2" t="s">
        <v>135</v>
      </c>
      <c r="B448" s="2" t="s">
        <v>103</v>
      </c>
      <c r="C448" s="1">
        <v>0.62083905900000003</v>
      </c>
      <c r="D448">
        <v>0.69185057000000005</v>
      </c>
      <c r="E448">
        <v>0.70435387900000002</v>
      </c>
      <c r="F448" s="1" t="s">
        <v>136</v>
      </c>
      <c r="G448" s="1">
        <v>1.353075171</v>
      </c>
      <c r="H448" s="1">
        <v>25.2</v>
      </c>
      <c r="I448" s="1">
        <v>43.9</v>
      </c>
      <c r="J448" s="1">
        <v>0.67234783600000003</v>
      </c>
      <c r="K448" s="1">
        <v>0.58538445800000005</v>
      </c>
      <c r="L448" s="1">
        <v>0.70461059999999998</v>
      </c>
      <c r="M448" s="3">
        <v>0.67846608399999997</v>
      </c>
      <c r="N448" s="1" t="s">
        <v>104</v>
      </c>
      <c r="O448" s="1">
        <v>1.1020080320000001</v>
      </c>
      <c r="P448" s="1">
        <v>58.7</v>
      </c>
      <c r="Q448" s="1">
        <v>124.5</v>
      </c>
      <c r="R448" s="1">
        <v>0.65615371400000011</v>
      </c>
      <c r="S448" s="1">
        <v>4.5716791528191525E-2</v>
      </c>
      <c r="T448" t="s">
        <v>594</v>
      </c>
      <c r="U448" s="1">
        <v>437</v>
      </c>
      <c r="V448">
        <f t="shared" si="24"/>
        <v>0.29338682633004687</v>
      </c>
      <c r="W448" s="1">
        <f t="shared" si="25"/>
        <v>33.5</v>
      </c>
      <c r="X448">
        <f t="shared" si="26"/>
        <v>0.25106713899999988</v>
      </c>
      <c r="Y448">
        <f t="shared" si="27"/>
        <v>80.599999999999994</v>
      </c>
      <c r="Z448" s="1">
        <v>0</v>
      </c>
      <c r="AA448">
        <v>100</v>
      </c>
      <c r="AB448">
        <v>0</v>
      </c>
      <c r="AC448">
        <v>1</v>
      </c>
      <c r="AD448">
        <v>103</v>
      </c>
      <c r="AE448">
        <v>9.7000000000000003E-3</v>
      </c>
      <c r="AF448" t="s">
        <v>2591</v>
      </c>
      <c r="AG448" t="s">
        <v>2589</v>
      </c>
    </row>
    <row r="449" spans="1:33">
      <c r="A449" s="2" t="s">
        <v>135</v>
      </c>
      <c r="B449" s="2" t="s">
        <v>105</v>
      </c>
      <c r="C449" s="1">
        <v>0.62083905900000003</v>
      </c>
      <c r="D449">
        <v>0.69185057000000005</v>
      </c>
      <c r="E449">
        <v>0.70435387900000002</v>
      </c>
      <c r="F449" s="1" t="s">
        <v>136</v>
      </c>
      <c r="G449" s="1">
        <v>1.353075171</v>
      </c>
      <c r="H449" s="1">
        <v>25.2</v>
      </c>
      <c r="I449" s="1">
        <v>43.9</v>
      </c>
      <c r="J449" s="1">
        <v>0.67234783600000003</v>
      </c>
      <c r="K449" s="1">
        <v>0.56210716000000005</v>
      </c>
      <c r="L449" s="1">
        <v>0.68032504299999996</v>
      </c>
      <c r="M449" s="3">
        <v>0.71115907899999997</v>
      </c>
      <c r="N449" s="1" t="s">
        <v>106</v>
      </c>
      <c r="O449" s="1">
        <v>1.0978593270000001</v>
      </c>
      <c r="P449" s="1">
        <v>43.5</v>
      </c>
      <c r="Q449" s="1">
        <v>98.1</v>
      </c>
      <c r="R449" s="1">
        <v>0.65119709399999992</v>
      </c>
      <c r="S449" s="1">
        <v>6.0237733023528771E-2</v>
      </c>
      <c r="T449" t="s">
        <v>595</v>
      </c>
      <c r="U449" s="1">
        <v>30993</v>
      </c>
      <c r="V449">
        <f t="shared" si="24"/>
        <v>0.49902929069607427</v>
      </c>
      <c r="W449" s="1">
        <f t="shared" si="25"/>
        <v>18.3</v>
      </c>
      <c r="X449">
        <f t="shared" si="26"/>
        <v>0.25521584399999986</v>
      </c>
      <c r="Y449">
        <f t="shared" si="27"/>
        <v>54.199999999999996</v>
      </c>
      <c r="Z449" s="1">
        <v>17</v>
      </c>
      <c r="AA449">
        <v>83</v>
      </c>
      <c r="AB449">
        <v>0.20480000000000001</v>
      </c>
      <c r="AC449">
        <v>19</v>
      </c>
      <c r="AD449">
        <v>103</v>
      </c>
      <c r="AE449">
        <v>0.1845</v>
      </c>
      <c r="AF449" t="s">
        <v>2591</v>
      </c>
      <c r="AG449" t="s">
        <v>2589</v>
      </c>
    </row>
    <row r="450" spans="1:33">
      <c r="A450" s="2" t="s">
        <v>135</v>
      </c>
      <c r="B450" s="2" t="s">
        <v>107</v>
      </c>
      <c r="C450" s="1">
        <v>0.62083905900000003</v>
      </c>
      <c r="D450">
        <v>0.69185057000000005</v>
      </c>
      <c r="E450">
        <v>0.70435387900000002</v>
      </c>
      <c r="F450" s="1" t="s">
        <v>136</v>
      </c>
      <c r="G450" s="1">
        <v>1.353075171</v>
      </c>
      <c r="H450" s="1">
        <v>25.2</v>
      </c>
      <c r="I450" s="1">
        <v>43.9</v>
      </c>
      <c r="J450" s="1">
        <v>0.67234783600000003</v>
      </c>
      <c r="K450" s="1">
        <v>0.61734740899999996</v>
      </c>
      <c r="L450" s="1">
        <v>0.68293216999999995</v>
      </c>
      <c r="M450" s="3">
        <v>0.69981194099999999</v>
      </c>
      <c r="N450" s="1" t="s">
        <v>108</v>
      </c>
      <c r="O450" s="1">
        <v>2</v>
      </c>
      <c r="P450" s="1">
        <v>19</v>
      </c>
      <c r="Q450" s="1">
        <v>21.1</v>
      </c>
      <c r="R450" s="1">
        <v>0.66669717333333323</v>
      </c>
      <c r="S450" s="1">
        <v>1.0599937692191712E-2</v>
      </c>
      <c r="T450" t="s">
        <v>596</v>
      </c>
      <c r="U450" s="1">
        <v>694</v>
      </c>
      <c r="V450">
        <f t="shared" ref="V450:V513" si="28">LOG10(U450) / 9</f>
        <v>0.31570660782831722</v>
      </c>
      <c r="W450" s="1">
        <f t="shared" ref="W450:W513" si="29">ABS(H450-P450)</f>
        <v>6.1999999999999993</v>
      </c>
      <c r="X450">
        <f t="shared" ref="X450:X513" si="30">ABS(G450-O450)</f>
        <v>0.64692482900000003</v>
      </c>
      <c r="Y450">
        <f t="shared" ref="Y450:Y513" si="31">ABS(I450-Q450)</f>
        <v>22.799999999999997</v>
      </c>
      <c r="Z450" s="1">
        <v>0</v>
      </c>
      <c r="AA450">
        <v>100</v>
      </c>
      <c r="AB450">
        <v>0</v>
      </c>
      <c r="AC450">
        <v>0</v>
      </c>
      <c r="AD450">
        <v>98</v>
      </c>
      <c r="AE450">
        <v>0</v>
      </c>
      <c r="AF450" t="s">
        <v>2591</v>
      </c>
      <c r="AG450" t="s">
        <v>2588</v>
      </c>
    </row>
    <row r="451" spans="1:33">
      <c r="A451" s="2" t="s">
        <v>135</v>
      </c>
      <c r="B451" s="2" t="s">
        <v>109</v>
      </c>
      <c r="C451" s="1">
        <v>0.62083905900000003</v>
      </c>
      <c r="D451">
        <v>0.69185057000000005</v>
      </c>
      <c r="E451">
        <v>0.70435387900000002</v>
      </c>
      <c r="F451" s="1" t="s">
        <v>136</v>
      </c>
      <c r="G451" s="1">
        <v>1.353075171</v>
      </c>
      <c r="H451" s="1">
        <v>25.2</v>
      </c>
      <c r="I451" s="1">
        <v>43.9</v>
      </c>
      <c r="J451" s="1">
        <v>0.67234783600000003</v>
      </c>
      <c r="K451" s="1">
        <v>0.51638908800000005</v>
      </c>
      <c r="L451" s="1">
        <v>0.68684605300000001</v>
      </c>
      <c r="M451" s="3">
        <v>0.66065444600000001</v>
      </c>
      <c r="N451" s="1" t="s">
        <v>110</v>
      </c>
      <c r="O451" s="1">
        <v>1.2897862229999999</v>
      </c>
      <c r="P451" s="1">
        <v>49.4</v>
      </c>
      <c r="Q451" s="1">
        <v>84.2</v>
      </c>
      <c r="R451" s="1">
        <v>0.62129652899999999</v>
      </c>
      <c r="S451" s="1">
        <v>0.11333349935842278</v>
      </c>
      <c r="T451" t="s">
        <v>597</v>
      </c>
      <c r="U451" s="1">
        <v>327</v>
      </c>
      <c r="V451">
        <f t="shared" si="28"/>
        <v>0.2793941947400318</v>
      </c>
      <c r="W451" s="1">
        <f t="shared" si="29"/>
        <v>24.2</v>
      </c>
      <c r="X451">
        <f t="shared" si="30"/>
        <v>6.3288948000000067E-2</v>
      </c>
      <c r="Y451">
        <f t="shared" si="31"/>
        <v>40.300000000000004</v>
      </c>
      <c r="Z451" s="1">
        <v>1</v>
      </c>
      <c r="AA451">
        <v>99</v>
      </c>
      <c r="AB451">
        <v>1.01E-2</v>
      </c>
      <c r="AC451">
        <v>2</v>
      </c>
      <c r="AD451">
        <v>117</v>
      </c>
      <c r="AE451">
        <v>1.7100000000000001E-2</v>
      </c>
      <c r="AF451" t="s">
        <v>2591</v>
      </c>
      <c r="AG451" t="s">
        <v>2589</v>
      </c>
    </row>
    <row r="452" spans="1:33">
      <c r="A452" s="2" t="s">
        <v>135</v>
      </c>
      <c r="B452" s="2" t="s">
        <v>111</v>
      </c>
      <c r="C452" s="1">
        <v>0.62083905900000003</v>
      </c>
      <c r="D452">
        <v>0.69185057000000005</v>
      </c>
      <c r="E452">
        <v>0.70435387900000002</v>
      </c>
      <c r="F452" s="1" t="s">
        <v>136</v>
      </c>
      <c r="G452" s="1">
        <v>1.353075171</v>
      </c>
      <c r="H452" s="1">
        <v>25.2</v>
      </c>
      <c r="I452" s="1">
        <v>43.9</v>
      </c>
      <c r="J452" s="1">
        <v>0.67234783600000003</v>
      </c>
      <c r="K452" s="1">
        <v>0.60132418300000001</v>
      </c>
      <c r="L452" s="1">
        <v>0.67605095299999995</v>
      </c>
      <c r="M452" s="3">
        <v>0.74222981799999999</v>
      </c>
      <c r="N452" s="1" t="s">
        <v>112</v>
      </c>
      <c r="O452" s="1">
        <v>1.561403509</v>
      </c>
      <c r="P452" s="1">
        <v>30</v>
      </c>
      <c r="Q452" s="1">
        <v>45.6</v>
      </c>
      <c r="R452" s="1">
        <v>0.67320165133333332</v>
      </c>
      <c r="S452" s="1">
        <v>4.5442766616633136E-2</v>
      </c>
      <c r="T452" t="s">
        <v>598</v>
      </c>
      <c r="U452" s="1">
        <v>14184</v>
      </c>
      <c r="V452">
        <f t="shared" si="28"/>
        <v>0.46131096917698461</v>
      </c>
      <c r="W452" s="1">
        <f t="shared" si="29"/>
        <v>4.8000000000000007</v>
      </c>
      <c r="X452">
        <f t="shared" si="30"/>
        <v>0.20832833800000006</v>
      </c>
      <c r="Y452">
        <f t="shared" si="31"/>
        <v>1.7000000000000028</v>
      </c>
      <c r="Z452" s="1">
        <v>33</v>
      </c>
      <c r="AA452">
        <v>67</v>
      </c>
      <c r="AB452">
        <v>0.49249999999999999</v>
      </c>
      <c r="AC452">
        <v>39</v>
      </c>
      <c r="AD452">
        <v>75</v>
      </c>
      <c r="AE452">
        <v>0.52</v>
      </c>
      <c r="AF452" t="s">
        <v>2591</v>
      </c>
      <c r="AG452" t="s">
        <v>2591</v>
      </c>
    </row>
    <row r="453" spans="1:33">
      <c r="A453" s="2" t="s">
        <v>135</v>
      </c>
      <c r="B453" s="2" t="s">
        <v>113</v>
      </c>
      <c r="C453" s="1">
        <v>0.62083905900000003</v>
      </c>
      <c r="D453">
        <v>0.69185057000000005</v>
      </c>
      <c r="E453">
        <v>0.70435387900000002</v>
      </c>
      <c r="F453" s="1" t="s">
        <v>136</v>
      </c>
      <c r="G453" s="1">
        <v>1.353075171</v>
      </c>
      <c r="H453" s="1">
        <v>25.2</v>
      </c>
      <c r="I453" s="1">
        <v>43.9</v>
      </c>
      <c r="J453" s="1">
        <v>0.67234783600000003</v>
      </c>
      <c r="K453" s="1">
        <v>0.57440698499999998</v>
      </c>
      <c r="L453" s="1">
        <v>0.66920790399999996</v>
      </c>
      <c r="M453" s="3">
        <v>0.71602402300000001</v>
      </c>
      <c r="N453" s="1" t="s">
        <v>114</v>
      </c>
      <c r="O453" s="1">
        <v>2.5573248409999998</v>
      </c>
      <c r="P453" s="1">
        <v>34.299999999999997</v>
      </c>
      <c r="Q453" s="1">
        <v>31.4</v>
      </c>
      <c r="R453" s="1">
        <v>0.65321297066666661</v>
      </c>
      <c r="S453" s="1">
        <v>5.2960552116738516E-2</v>
      </c>
      <c r="T453" t="s">
        <v>599</v>
      </c>
      <c r="U453" s="1">
        <v>5712</v>
      </c>
      <c r="V453">
        <f t="shared" si="28"/>
        <v>0.41742091097423528</v>
      </c>
      <c r="W453" s="1">
        <f t="shared" si="29"/>
        <v>9.0999999999999979</v>
      </c>
      <c r="X453">
        <f t="shared" si="30"/>
        <v>1.2042496699999998</v>
      </c>
      <c r="Y453">
        <f t="shared" si="31"/>
        <v>12.5</v>
      </c>
      <c r="Z453" s="1">
        <v>16</v>
      </c>
      <c r="AA453">
        <v>84</v>
      </c>
      <c r="AB453">
        <v>0.1905</v>
      </c>
      <c r="AC453">
        <v>14</v>
      </c>
      <c r="AD453">
        <v>94</v>
      </c>
      <c r="AE453">
        <v>0.1489</v>
      </c>
      <c r="AF453" t="s">
        <v>2591</v>
      </c>
      <c r="AG453" t="s">
        <v>2593</v>
      </c>
    </row>
    <row r="454" spans="1:33">
      <c r="A454" s="2" t="s">
        <v>135</v>
      </c>
      <c r="B454" s="2" t="s">
        <v>115</v>
      </c>
      <c r="C454" s="1">
        <v>0.62083905900000003</v>
      </c>
      <c r="D454">
        <v>0.69185057000000005</v>
      </c>
      <c r="E454">
        <v>0.70435387900000002</v>
      </c>
      <c r="F454" s="1" t="s">
        <v>136</v>
      </c>
      <c r="G454" s="1">
        <v>1.353075171</v>
      </c>
      <c r="H454" s="1">
        <v>25.2</v>
      </c>
      <c r="I454" s="1">
        <v>43.9</v>
      </c>
      <c r="J454" s="1">
        <v>0.67234783600000003</v>
      </c>
      <c r="K454" s="1">
        <v>0.55237211100000005</v>
      </c>
      <c r="L454" s="1">
        <v>0.65961031000000003</v>
      </c>
      <c r="M454" s="3">
        <v>0.69215541599999997</v>
      </c>
      <c r="N454" s="1" t="s">
        <v>116</v>
      </c>
      <c r="O454" s="1">
        <v>1.149700599</v>
      </c>
      <c r="P454" s="1">
        <v>66.900000000000006</v>
      </c>
      <c r="Q454" s="1">
        <v>133.6</v>
      </c>
      <c r="R454" s="1">
        <v>0.63471261233333331</v>
      </c>
      <c r="S454" s="1">
        <v>7.6654809587296424E-2</v>
      </c>
      <c r="T454" t="s">
        <v>600</v>
      </c>
      <c r="U454" s="1">
        <v>507</v>
      </c>
      <c r="V454">
        <f t="shared" si="28"/>
        <v>0.30055643992592623</v>
      </c>
      <c r="W454" s="1">
        <f t="shared" si="29"/>
        <v>41.7</v>
      </c>
      <c r="X454">
        <f t="shared" si="30"/>
        <v>0.20337457199999998</v>
      </c>
      <c r="Y454">
        <f t="shared" si="31"/>
        <v>89.699999999999989</v>
      </c>
      <c r="Z454" s="1">
        <v>1</v>
      </c>
      <c r="AA454">
        <v>99</v>
      </c>
      <c r="AB454">
        <v>1.01E-2</v>
      </c>
      <c r="AC454">
        <v>2</v>
      </c>
      <c r="AD454">
        <v>111</v>
      </c>
      <c r="AE454">
        <v>1.7999999999999999E-2</v>
      </c>
      <c r="AF454" t="s">
        <v>2591</v>
      </c>
      <c r="AG454" t="s">
        <v>2589</v>
      </c>
    </row>
    <row r="455" spans="1:33">
      <c r="A455" s="2" t="s">
        <v>135</v>
      </c>
      <c r="B455" s="2" t="s">
        <v>117</v>
      </c>
      <c r="C455" s="1">
        <v>0.62083905900000003</v>
      </c>
      <c r="D455">
        <v>0.69185057000000005</v>
      </c>
      <c r="E455">
        <v>0.70435387900000002</v>
      </c>
      <c r="F455" s="1" t="s">
        <v>136</v>
      </c>
      <c r="G455" s="1">
        <v>1.353075171</v>
      </c>
      <c r="H455" s="1">
        <v>25.2</v>
      </c>
      <c r="I455" s="1">
        <v>43.9</v>
      </c>
      <c r="J455" s="1">
        <v>0.67234783600000003</v>
      </c>
      <c r="K455" s="1">
        <v>0.52788907299999999</v>
      </c>
      <c r="L455" s="1">
        <v>0.665074418</v>
      </c>
      <c r="M455" s="3">
        <v>0.69056128699999997</v>
      </c>
      <c r="N455" s="1" t="s">
        <v>118</v>
      </c>
      <c r="O455" s="1">
        <v>1.0818253339999999</v>
      </c>
      <c r="P455" s="1">
        <v>58.4</v>
      </c>
      <c r="Q455" s="1">
        <v>127.1</v>
      </c>
      <c r="R455" s="1">
        <v>0.62784159266666661</v>
      </c>
      <c r="S455" s="1">
        <v>9.7708227941180961E-2</v>
      </c>
      <c r="T455" t="s">
        <v>601</v>
      </c>
      <c r="U455" s="1">
        <v>1747</v>
      </c>
      <c r="V455">
        <f t="shared" si="28"/>
        <v>0.36025476722032562</v>
      </c>
      <c r="W455" s="1">
        <f t="shared" si="29"/>
        <v>33.200000000000003</v>
      </c>
      <c r="X455">
        <f t="shared" si="30"/>
        <v>0.27124983700000005</v>
      </c>
      <c r="Y455">
        <f t="shared" si="31"/>
        <v>83.199999999999989</v>
      </c>
      <c r="Z455" s="1">
        <v>1</v>
      </c>
      <c r="AA455">
        <v>99</v>
      </c>
      <c r="AB455">
        <v>1.01E-2</v>
      </c>
      <c r="AC455">
        <v>2</v>
      </c>
      <c r="AD455">
        <v>123</v>
      </c>
      <c r="AE455">
        <v>1.6299999999999999E-2</v>
      </c>
      <c r="AF455" t="s">
        <v>2591</v>
      </c>
      <c r="AG455" t="s">
        <v>2589</v>
      </c>
    </row>
    <row r="456" spans="1:33">
      <c r="A456" s="2" t="s">
        <v>135</v>
      </c>
      <c r="B456" s="2" t="s">
        <v>119</v>
      </c>
      <c r="C456" s="1">
        <v>0.62083905900000003</v>
      </c>
      <c r="D456">
        <v>0.69185057000000005</v>
      </c>
      <c r="E456">
        <v>0.70435387900000002</v>
      </c>
      <c r="F456" s="1" t="s">
        <v>136</v>
      </c>
      <c r="G456" s="1">
        <v>1.353075171</v>
      </c>
      <c r="H456" s="1">
        <v>25.2</v>
      </c>
      <c r="I456" s="1">
        <v>43.9</v>
      </c>
      <c r="J456" s="1">
        <v>0.67234783600000003</v>
      </c>
      <c r="K456" s="1">
        <v>0.48582609999999998</v>
      </c>
      <c r="L456" s="1">
        <v>0.67226483999999997</v>
      </c>
      <c r="M456" s="3">
        <v>0.68571362400000002</v>
      </c>
      <c r="N456" s="1" t="s">
        <v>120</v>
      </c>
      <c r="O456" s="1">
        <v>1.1435028249999999</v>
      </c>
      <c r="P456" s="1">
        <v>42.6</v>
      </c>
      <c r="Q456" s="1">
        <v>88.5</v>
      </c>
      <c r="R456" s="1">
        <v>0.61460152133333334</v>
      </c>
      <c r="S456" s="1">
        <v>0.13769371454076479</v>
      </c>
      <c r="T456" t="s">
        <v>602</v>
      </c>
      <c r="U456" s="1">
        <v>372</v>
      </c>
      <c r="V456">
        <f t="shared" si="28"/>
        <v>0.28561588220909973</v>
      </c>
      <c r="W456" s="1">
        <f t="shared" si="29"/>
        <v>17.400000000000002</v>
      </c>
      <c r="X456">
        <f t="shared" si="30"/>
        <v>0.20957234600000008</v>
      </c>
      <c r="Y456">
        <f t="shared" si="31"/>
        <v>44.6</v>
      </c>
      <c r="Z456" s="1">
        <v>1</v>
      </c>
      <c r="AA456">
        <v>99</v>
      </c>
      <c r="AB456">
        <v>1.01E-2</v>
      </c>
      <c r="AC456">
        <v>2</v>
      </c>
      <c r="AD456">
        <v>111</v>
      </c>
      <c r="AE456">
        <v>1.7999999999999999E-2</v>
      </c>
      <c r="AF456" t="s">
        <v>2591</v>
      </c>
      <c r="AG456" t="s">
        <v>2589</v>
      </c>
    </row>
    <row r="457" spans="1:33">
      <c r="A457" s="2" t="s">
        <v>135</v>
      </c>
      <c r="B457" s="2" t="s">
        <v>121</v>
      </c>
      <c r="C457" s="1">
        <v>0.62083905900000003</v>
      </c>
      <c r="D457">
        <v>0.69185057000000005</v>
      </c>
      <c r="E457">
        <v>0.70435387900000002</v>
      </c>
      <c r="F457" s="1" t="s">
        <v>136</v>
      </c>
      <c r="G457" s="1">
        <v>1.353075171</v>
      </c>
      <c r="H457" s="1">
        <v>25.2</v>
      </c>
      <c r="I457" s="1">
        <v>43.9</v>
      </c>
      <c r="J457" s="1">
        <v>0.67234783600000003</v>
      </c>
      <c r="K457" s="1">
        <v>0.57363214500000004</v>
      </c>
      <c r="L457" s="1">
        <v>0.65876685800000001</v>
      </c>
      <c r="M457" s="3">
        <v>0.71110834000000001</v>
      </c>
      <c r="N457" s="1" t="s">
        <v>122</v>
      </c>
      <c r="O457" s="1">
        <v>2.4518664050000001</v>
      </c>
      <c r="P457" s="1">
        <v>50.1</v>
      </c>
      <c r="Q457" s="1">
        <v>50.9</v>
      </c>
      <c r="R457" s="1">
        <v>0.64783578100000005</v>
      </c>
      <c r="S457" s="1">
        <v>5.8040050590112878E-2</v>
      </c>
      <c r="T457" t="s">
        <v>603</v>
      </c>
      <c r="U457" s="1">
        <v>7341</v>
      </c>
      <c r="V457">
        <f t="shared" si="28"/>
        <v>0.42952835823016128</v>
      </c>
      <c r="W457" s="1">
        <f t="shared" si="29"/>
        <v>24.900000000000002</v>
      </c>
      <c r="X457">
        <f t="shared" si="30"/>
        <v>1.0987912340000001</v>
      </c>
      <c r="Y457">
        <f t="shared" si="31"/>
        <v>7</v>
      </c>
      <c r="Z457" s="1">
        <v>29</v>
      </c>
      <c r="AA457">
        <v>71</v>
      </c>
      <c r="AB457">
        <v>0.40849999999999997</v>
      </c>
      <c r="AC457">
        <v>36</v>
      </c>
      <c r="AD457">
        <v>84</v>
      </c>
      <c r="AE457">
        <v>0.42859999999999998</v>
      </c>
      <c r="AF457" t="s">
        <v>2591</v>
      </c>
      <c r="AG457" t="s">
        <v>2593</v>
      </c>
    </row>
    <row r="458" spans="1:33">
      <c r="A458" s="2" t="s">
        <v>135</v>
      </c>
      <c r="B458" s="2" t="s">
        <v>123</v>
      </c>
      <c r="C458" s="1">
        <v>0.62083905900000003</v>
      </c>
      <c r="D458">
        <v>0.69185057000000005</v>
      </c>
      <c r="E458">
        <v>0.70435387900000002</v>
      </c>
      <c r="F458" s="1" t="s">
        <v>136</v>
      </c>
      <c r="G458" s="1">
        <v>1.353075171</v>
      </c>
      <c r="H458" s="1">
        <v>25.2</v>
      </c>
      <c r="I458" s="1">
        <v>43.9</v>
      </c>
      <c r="J458" s="1">
        <v>0.67234783600000003</v>
      </c>
      <c r="K458" s="1">
        <v>0.59184352799999995</v>
      </c>
      <c r="L458" s="1">
        <v>0.67011857600000002</v>
      </c>
      <c r="M458" s="3">
        <v>0.74025419199999998</v>
      </c>
      <c r="N458" s="1" t="s">
        <v>124</v>
      </c>
      <c r="O458" s="1">
        <v>1.7166666669999999</v>
      </c>
      <c r="P458" s="1">
        <v>26</v>
      </c>
      <c r="Q458" s="1">
        <v>36</v>
      </c>
      <c r="R458" s="1">
        <v>0.66740543199999991</v>
      </c>
      <c r="S458" s="1">
        <v>5.1008360635154397E-2</v>
      </c>
      <c r="T458" t="s">
        <v>604</v>
      </c>
      <c r="U458" s="1">
        <v>10099</v>
      </c>
      <c r="V458">
        <f t="shared" si="28"/>
        <v>0.44491981913335138</v>
      </c>
      <c r="W458" s="1">
        <f t="shared" si="29"/>
        <v>0.80000000000000071</v>
      </c>
      <c r="X458">
        <f t="shared" si="30"/>
        <v>0.36359149599999996</v>
      </c>
      <c r="Y458">
        <f t="shared" si="31"/>
        <v>7.8999999999999986</v>
      </c>
      <c r="Z458" s="1">
        <v>23</v>
      </c>
      <c r="AA458">
        <v>77</v>
      </c>
      <c r="AB458">
        <v>0.29870000000000002</v>
      </c>
      <c r="AC458">
        <v>29</v>
      </c>
      <c r="AD458">
        <v>86</v>
      </c>
      <c r="AE458">
        <v>0.3372</v>
      </c>
      <c r="AF458" t="s">
        <v>2591</v>
      </c>
      <c r="AG458" t="s">
        <v>2591</v>
      </c>
    </row>
    <row r="459" spans="1:33">
      <c r="A459" s="2" t="s">
        <v>135</v>
      </c>
      <c r="B459" s="2" t="s">
        <v>125</v>
      </c>
      <c r="C459" s="1">
        <v>0.62083905900000003</v>
      </c>
      <c r="D459">
        <v>0.69185057000000005</v>
      </c>
      <c r="E459">
        <v>0.70435387900000002</v>
      </c>
      <c r="F459" s="1" t="s">
        <v>136</v>
      </c>
      <c r="G459" s="1">
        <v>1.353075171</v>
      </c>
      <c r="H459" s="1">
        <v>25.2</v>
      </c>
      <c r="I459" s="1">
        <v>43.9</v>
      </c>
      <c r="J459" s="1">
        <v>0.67234783600000003</v>
      </c>
      <c r="K459" s="1">
        <v>0.611478776</v>
      </c>
      <c r="L459" s="1">
        <v>0.67681801600000002</v>
      </c>
      <c r="M459" s="3">
        <v>0.73326355300000001</v>
      </c>
      <c r="N459" s="1" t="s">
        <v>126</v>
      </c>
      <c r="O459" s="1">
        <v>1.6431372550000001</v>
      </c>
      <c r="P459" s="1">
        <v>35.1</v>
      </c>
      <c r="Q459" s="1">
        <v>51</v>
      </c>
      <c r="R459" s="1">
        <v>0.67385344833333338</v>
      </c>
      <c r="S459" s="1">
        <v>3.3902239282815556E-2</v>
      </c>
      <c r="T459" t="s">
        <v>605</v>
      </c>
      <c r="U459" s="1">
        <v>166111</v>
      </c>
      <c r="V459">
        <f t="shared" si="28"/>
        <v>0.58004426585811619</v>
      </c>
      <c r="W459" s="1">
        <f t="shared" si="29"/>
        <v>9.9000000000000021</v>
      </c>
      <c r="X459">
        <f t="shared" si="30"/>
        <v>0.29006208400000011</v>
      </c>
      <c r="Y459">
        <f t="shared" si="31"/>
        <v>7.1000000000000014</v>
      </c>
      <c r="Z459" s="1">
        <v>23</v>
      </c>
      <c r="AA459">
        <v>77</v>
      </c>
      <c r="AB459">
        <v>0.29870000000000002</v>
      </c>
      <c r="AC459">
        <v>31</v>
      </c>
      <c r="AD459">
        <v>94</v>
      </c>
      <c r="AE459">
        <v>0.32979999999999998</v>
      </c>
      <c r="AF459" t="s">
        <v>2591</v>
      </c>
      <c r="AG459" t="s">
        <v>2591</v>
      </c>
    </row>
    <row r="460" spans="1:33">
      <c r="A460" s="2" t="s">
        <v>135</v>
      </c>
      <c r="B460" s="2" t="s">
        <v>127</v>
      </c>
      <c r="C460" s="1">
        <v>0.62083905900000003</v>
      </c>
      <c r="D460">
        <v>0.69185057000000005</v>
      </c>
      <c r="E460">
        <v>0.70435387900000002</v>
      </c>
      <c r="F460" s="1" t="s">
        <v>136</v>
      </c>
      <c r="G460" s="1">
        <v>1.353075171</v>
      </c>
      <c r="H460" s="1">
        <v>25.2</v>
      </c>
      <c r="I460" s="1">
        <v>43.9</v>
      </c>
      <c r="J460" s="1">
        <v>0.67234783600000003</v>
      </c>
      <c r="K460" s="1">
        <v>0.50688118500000001</v>
      </c>
      <c r="L460" s="1">
        <v>0.64616698699999997</v>
      </c>
      <c r="M460" s="3">
        <v>0.65580376299999998</v>
      </c>
      <c r="N460" s="1" t="s">
        <v>128</v>
      </c>
      <c r="O460" s="1">
        <v>1.5447714459999999</v>
      </c>
      <c r="P460" s="1">
        <v>98.4</v>
      </c>
      <c r="Q460" s="1">
        <v>159.69999999999999</v>
      </c>
      <c r="R460" s="1">
        <v>0.60295064500000006</v>
      </c>
      <c r="S460" s="1">
        <v>0.13202462105960097</v>
      </c>
      <c r="T460" t="s">
        <v>606</v>
      </c>
      <c r="U460" s="1">
        <v>7606</v>
      </c>
      <c r="V460">
        <f t="shared" si="28"/>
        <v>0.43123959123061817</v>
      </c>
      <c r="W460" s="1">
        <f t="shared" si="29"/>
        <v>73.2</v>
      </c>
      <c r="X460">
        <f t="shared" si="30"/>
        <v>0.19169627499999997</v>
      </c>
      <c r="Y460">
        <f t="shared" si="31"/>
        <v>115.79999999999998</v>
      </c>
      <c r="Z460" s="1">
        <v>5</v>
      </c>
      <c r="AA460">
        <v>95</v>
      </c>
      <c r="AB460">
        <v>5.2600000000000001E-2</v>
      </c>
      <c r="AC460">
        <v>4</v>
      </c>
      <c r="AD460">
        <v>121</v>
      </c>
      <c r="AE460">
        <v>3.3099999999999997E-2</v>
      </c>
      <c r="AF460" t="s">
        <v>2591</v>
      </c>
      <c r="AG460" t="s">
        <v>2589</v>
      </c>
    </row>
    <row r="461" spans="1:33">
      <c r="A461" s="2" t="s">
        <v>135</v>
      </c>
      <c r="B461" s="2" t="s">
        <v>129</v>
      </c>
      <c r="C461" s="1">
        <v>0.62083905900000003</v>
      </c>
      <c r="D461">
        <v>0.69185057000000005</v>
      </c>
      <c r="E461">
        <v>0.70435387900000002</v>
      </c>
      <c r="F461" s="1" t="s">
        <v>136</v>
      </c>
      <c r="G461" s="1">
        <v>1.353075171</v>
      </c>
      <c r="H461" s="1">
        <v>25.2</v>
      </c>
      <c r="I461" s="1">
        <v>43.9</v>
      </c>
      <c r="J461" s="1">
        <v>0.67234783600000003</v>
      </c>
      <c r="K461" s="1">
        <v>0.50422724299999999</v>
      </c>
      <c r="L461" s="1">
        <v>0.61050655300000001</v>
      </c>
      <c r="M461" s="3">
        <v>0.63007085299999999</v>
      </c>
      <c r="N461" s="1" t="s">
        <v>130</v>
      </c>
      <c r="O461" s="1">
        <v>1.4142988080000001</v>
      </c>
      <c r="P461" s="1">
        <v>58.7</v>
      </c>
      <c r="Q461" s="1">
        <v>109.1</v>
      </c>
      <c r="R461" s="1">
        <v>0.58160154966666655</v>
      </c>
      <c r="S461" s="1">
        <v>0.16041550013708414</v>
      </c>
      <c r="T461" t="s">
        <v>607</v>
      </c>
      <c r="U461" s="1">
        <v>1215</v>
      </c>
      <c r="V461">
        <f t="shared" si="28"/>
        <v>0.34273069754825897</v>
      </c>
      <c r="W461" s="1">
        <f t="shared" si="29"/>
        <v>33.5</v>
      </c>
      <c r="X461">
        <f t="shared" si="30"/>
        <v>6.1223637000000108E-2</v>
      </c>
      <c r="Y461">
        <f t="shared" si="31"/>
        <v>65.199999999999989</v>
      </c>
      <c r="Z461" s="1">
        <v>1</v>
      </c>
      <c r="AA461">
        <v>99</v>
      </c>
      <c r="AB461">
        <v>1.01E-2</v>
      </c>
      <c r="AC461">
        <v>2</v>
      </c>
      <c r="AD461">
        <v>106</v>
      </c>
      <c r="AE461">
        <v>1.89E-2</v>
      </c>
      <c r="AF461" t="s">
        <v>2591</v>
      </c>
      <c r="AG461" t="s">
        <v>2593</v>
      </c>
    </row>
    <row r="462" spans="1:33">
      <c r="A462" s="2" t="s">
        <v>135</v>
      </c>
      <c r="B462" s="2" t="s">
        <v>131</v>
      </c>
      <c r="C462" s="1">
        <v>0.62083905900000003</v>
      </c>
      <c r="D462">
        <v>0.69185057000000005</v>
      </c>
      <c r="E462">
        <v>0.70435387900000002</v>
      </c>
      <c r="F462" s="1" t="s">
        <v>136</v>
      </c>
      <c r="G462" s="1">
        <v>1.353075171</v>
      </c>
      <c r="H462" s="1">
        <v>25.2</v>
      </c>
      <c r="I462" s="1">
        <v>43.9</v>
      </c>
      <c r="J462" s="1">
        <v>0.67234783600000003</v>
      </c>
      <c r="K462" s="1">
        <v>0.53830564800000003</v>
      </c>
      <c r="L462" s="1">
        <v>0.65609959100000004</v>
      </c>
      <c r="M462" s="3">
        <v>0.68896664299999999</v>
      </c>
      <c r="N462" s="1" t="s">
        <v>132</v>
      </c>
      <c r="O462" s="1">
        <v>1.0676416820000001</v>
      </c>
      <c r="P462" s="1">
        <v>25</v>
      </c>
      <c r="Q462" s="1">
        <v>54.7</v>
      </c>
      <c r="R462" s="1">
        <v>0.62779062733333335</v>
      </c>
      <c r="S462" s="1">
        <v>9.1250553217353494E-2</v>
      </c>
      <c r="T462" t="s">
        <v>608</v>
      </c>
      <c r="U462" s="1">
        <v>851</v>
      </c>
      <c r="V462">
        <f t="shared" si="28"/>
        <v>0.32554772889828754</v>
      </c>
      <c r="W462" s="1">
        <f t="shared" si="29"/>
        <v>0.19999999999999929</v>
      </c>
      <c r="X462">
        <f t="shared" si="30"/>
        <v>0.28543348899999987</v>
      </c>
      <c r="Y462">
        <f t="shared" si="31"/>
        <v>10.800000000000004</v>
      </c>
      <c r="Z462" s="1">
        <v>2</v>
      </c>
      <c r="AA462">
        <v>98</v>
      </c>
      <c r="AB462">
        <v>2.0400000000000001E-2</v>
      </c>
      <c r="AC462">
        <v>2</v>
      </c>
      <c r="AD462">
        <v>102</v>
      </c>
      <c r="AE462">
        <v>1.9599999999999999E-2</v>
      </c>
      <c r="AF462" t="s">
        <v>2591</v>
      </c>
      <c r="AG462" t="s">
        <v>2589</v>
      </c>
    </row>
    <row r="463" spans="1:33">
      <c r="A463" s="2" t="s">
        <v>135</v>
      </c>
      <c r="B463" s="2" t="s">
        <v>133</v>
      </c>
      <c r="C463" s="1">
        <v>0.62083905900000003</v>
      </c>
      <c r="D463">
        <v>0.69185057000000005</v>
      </c>
      <c r="E463">
        <v>0.70435387900000002</v>
      </c>
      <c r="F463" s="1" t="s">
        <v>136</v>
      </c>
      <c r="G463" s="1">
        <v>1.353075171</v>
      </c>
      <c r="H463" s="1">
        <v>25.2</v>
      </c>
      <c r="I463" s="1">
        <v>43.9</v>
      </c>
      <c r="J463" s="1">
        <v>0.67234783600000003</v>
      </c>
      <c r="K463" s="1">
        <v>0.65296959200000004</v>
      </c>
      <c r="L463" s="1">
        <v>0.71047257900000005</v>
      </c>
      <c r="M463" s="3">
        <v>0.679994718</v>
      </c>
      <c r="N463" s="1" t="s">
        <v>134</v>
      </c>
      <c r="O463" s="1">
        <v>1.3877068560000001</v>
      </c>
      <c r="P463" s="1">
        <v>25.6</v>
      </c>
      <c r="Q463" s="1">
        <v>42.3</v>
      </c>
      <c r="R463" s="1">
        <v>0.6811456296666667</v>
      </c>
      <c r="S463" s="1">
        <v>4.4413050949963943E-2</v>
      </c>
      <c r="T463" t="s">
        <v>609</v>
      </c>
      <c r="U463" s="1">
        <v>11016</v>
      </c>
      <c r="V463">
        <f t="shared" si="28"/>
        <v>0.4491137696943186</v>
      </c>
      <c r="W463" s="1">
        <f t="shared" si="29"/>
        <v>0.40000000000000213</v>
      </c>
      <c r="X463">
        <f t="shared" si="30"/>
        <v>3.4631685000000134E-2</v>
      </c>
      <c r="Y463">
        <f t="shared" si="31"/>
        <v>1.6000000000000014</v>
      </c>
      <c r="Z463" s="1">
        <v>1</v>
      </c>
      <c r="AA463">
        <v>99</v>
      </c>
      <c r="AB463">
        <v>1.01E-2</v>
      </c>
      <c r="AC463">
        <v>2</v>
      </c>
      <c r="AD463">
        <v>154</v>
      </c>
      <c r="AE463">
        <v>1.2999999999999999E-2</v>
      </c>
      <c r="AF463" t="s">
        <v>2591</v>
      </c>
      <c r="AG463" t="s">
        <v>2591</v>
      </c>
    </row>
    <row r="464" spans="1:33">
      <c r="A464" s="2" t="s">
        <v>133</v>
      </c>
      <c r="B464" s="2" t="s">
        <v>10</v>
      </c>
      <c r="C464" s="1">
        <v>0.65296959200000004</v>
      </c>
      <c r="D464">
        <v>0.71047257900000005</v>
      </c>
      <c r="E464">
        <v>0.679994718</v>
      </c>
      <c r="F464" s="1" t="s">
        <v>134</v>
      </c>
      <c r="G464" s="1">
        <v>1.3877068560000001</v>
      </c>
      <c r="H464" s="1">
        <v>25.6</v>
      </c>
      <c r="I464" s="1">
        <v>42.3</v>
      </c>
      <c r="J464" s="1">
        <v>0.6811456296666667</v>
      </c>
      <c r="K464" s="1">
        <v>0.52456325500000001</v>
      </c>
      <c r="L464" s="1">
        <v>0.61925627999999999</v>
      </c>
      <c r="M464" s="3">
        <v>0.72111139899999999</v>
      </c>
      <c r="N464" s="1" t="s">
        <v>12</v>
      </c>
      <c r="O464" s="1">
        <v>0.61690647499999995</v>
      </c>
      <c r="P464" s="1">
        <v>30</v>
      </c>
      <c r="Q464" s="1">
        <v>111.2</v>
      </c>
      <c r="R464" s="1">
        <v>0.62164364466666666</v>
      </c>
      <c r="S464" s="1">
        <v>0.1627856936019586</v>
      </c>
      <c r="T464" t="s">
        <v>611</v>
      </c>
      <c r="U464" s="1">
        <v>209</v>
      </c>
      <c r="V464">
        <f t="shared" si="28"/>
        <v>0.25779403179011712</v>
      </c>
      <c r="W464" s="1">
        <f t="shared" si="29"/>
        <v>4.3999999999999986</v>
      </c>
      <c r="X464">
        <f t="shared" si="30"/>
        <v>0.77080038100000015</v>
      </c>
      <c r="Y464">
        <f t="shared" si="31"/>
        <v>68.900000000000006</v>
      </c>
      <c r="Z464" s="1">
        <v>1</v>
      </c>
      <c r="AA464">
        <v>99</v>
      </c>
      <c r="AB464">
        <v>1.01E-2</v>
      </c>
      <c r="AC464">
        <v>2</v>
      </c>
      <c r="AD464">
        <v>198</v>
      </c>
      <c r="AE464">
        <v>1.01E-2</v>
      </c>
      <c r="AF464" t="s">
        <v>2591</v>
      </c>
      <c r="AG464" t="s">
        <v>2588</v>
      </c>
    </row>
    <row r="465" spans="1:33">
      <c r="A465" s="2" t="s">
        <v>133</v>
      </c>
      <c r="B465" s="2" t="s">
        <v>13</v>
      </c>
      <c r="C465" s="1">
        <v>0.65296959200000004</v>
      </c>
      <c r="D465">
        <v>0.71047257900000005</v>
      </c>
      <c r="E465">
        <v>0.679994718</v>
      </c>
      <c r="F465" s="1" t="s">
        <v>134</v>
      </c>
      <c r="G465" s="1">
        <v>1.3877068560000001</v>
      </c>
      <c r="H465" s="1">
        <v>25.6</v>
      </c>
      <c r="I465" s="1">
        <v>42.3</v>
      </c>
      <c r="J465" s="1">
        <v>0.6811456296666667</v>
      </c>
      <c r="K465" s="1">
        <v>0.48695497399999998</v>
      </c>
      <c r="L465" s="1">
        <v>0.54991327199999995</v>
      </c>
      <c r="M465" s="3">
        <v>0.67282609299999996</v>
      </c>
      <c r="N465" s="1" t="s">
        <v>14</v>
      </c>
      <c r="O465" s="1">
        <v>1.6052009460000001</v>
      </c>
      <c r="P465" s="1">
        <v>26.6</v>
      </c>
      <c r="Q465" s="1">
        <v>42.3</v>
      </c>
      <c r="R465" s="1">
        <v>0.56989811299999993</v>
      </c>
      <c r="S465" s="1">
        <v>0.23106608067476467</v>
      </c>
      <c r="T465" t="s">
        <v>612</v>
      </c>
      <c r="U465" s="1">
        <v>135</v>
      </c>
      <c r="V465">
        <f t="shared" si="28"/>
        <v>0.23670375205500069</v>
      </c>
      <c r="W465" s="1">
        <f t="shared" si="29"/>
        <v>1</v>
      </c>
      <c r="X465">
        <f t="shared" si="30"/>
        <v>0.21749408999999997</v>
      </c>
      <c r="Y465">
        <f t="shared" si="31"/>
        <v>0</v>
      </c>
      <c r="Z465" s="1">
        <v>0</v>
      </c>
      <c r="AA465">
        <v>100</v>
      </c>
      <c r="AB465">
        <v>0</v>
      </c>
      <c r="AC465">
        <v>1</v>
      </c>
      <c r="AD465">
        <v>146</v>
      </c>
      <c r="AE465">
        <v>6.7999999999999996E-3</v>
      </c>
      <c r="AF465" t="s">
        <v>2591</v>
      </c>
      <c r="AG465" t="s">
        <v>2590</v>
      </c>
    </row>
    <row r="466" spans="1:33">
      <c r="A466" s="2" t="s">
        <v>133</v>
      </c>
      <c r="B466" s="2" t="s">
        <v>15</v>
      </c>
      <c r="C466" s="1">
        <v>0.65296959200000004</v>
      </c>
      <c r="D466">
        <v>0.71047257900000005</v>
      </c>
      <c r="E466">
        <v>0.679994718</v>
      </c>
      <c r="F466" s="1" t="s">
        <v>134</v>
      </c>
      <c r="G466" s="1">
        <v>1.3877068560000001</v>
      </c>
      <c r="H466" s="1">
        <v>25.6</v>
      </c>
      <c r="I466" s="1">
        <v>42.3</v>
      </c>
      <c r="J466" s="1">
        <v>0.6811456296666667</v>
      </c>
      <c r="K466" s="1">
        <v>0.54560998800000005</v>
      </c>
      <c r="L466" s="1">
        <v>0.66721428400000005</v>
      </c>
      <c r="M466" s="3">
        <v>0.72650398400000005</v>
      </c>
      <c r="N466" s="1" t="s">
        <v>16</v>
      </c>
      <c r="O466" s="1">
        <v>5.1392405060000002</v>
      </c>
      <c r="P466" s="1">
        <v>35.9</v>
      </c>
      <c r="Q466" s="1">
        <v>15.8</v>
      </c>
      <c r="R466" s="1">
        <v>0.64644275200000012</v>
      </c>
      <c r="S466" s="1">
        <v>0.12474163892302603</v>
      </c>
      <c r="T466" t="s">
        <v>613</v>
      </c>
      <c r="U466" s="1">
        <v>16085</v>
      </c>
      <c r="V466">
        <f t="shared" si="28"/>
        <v>0.46738011835977655</v>
      </c>
      <c r="W466" s="1">
        <f t="shared" si="29"/>
        <v>10.299999999999997</v>
      </c>
      <c r="X466">
        <f t="shared" si="30"/>
        <v>3.7515336499999998</v>
      </c>
      <c r="Y466">
        <f t="shared" si="31"/>
        <v>26.499999999999996</v>
      </c>
      <c r="Z466" s="1">
        <v>0</v>
      </c>
      <c r="AA466">
        <v>100</v>
      </c>
      <c r="AB466">
        <v>0</v>
      </c>
      <c r="AC466">
        <v>0</v>
      </c>
      <c r="AD466">
        <v>143</v>
      </c>
      <c r="AE466">
        <v>0</v>
      </c>
      <c r="AF466" t="s">
        <v>2591</v>
      </c>
      <c r="AG466" t="s">
        <v>2591</v>
      </c>
    </row>
    <row r="467" spans="1:33">
      <c r="A467" s="2" t="s">
        <v>133</v>
      </c>
      <c r="B467" s="2" t="s">
        <v>17</v>
      </c>
      <c r="C467" s="1">
        <v>0.65296959200000004</v>
      </c>
      <c r="D467">
        <v>0.71047257900000005</v>
      </c>
      <c r="E467">
        <v>0.679994718</v>
      </c>
      <c r="F467" s="1" t="s">
        <v>134</v>
      </c>
      <c r="G467" s="1">
        <v>1.3877068560000001</v>
      </c>
      <c r="H467" s="1">
        <v>25.6</v>
      </c>
      <c r="I467" s="1">
        <v>42.3</v>
      </c>
      <c r="J467" s="1">
        <v>0.6811456296666667</v>
      </c>
      <c r="K467" s="1">
        <v>0.659112378</v>
      </c>
      <c r="L467" s="1">
        <v>0.68333493499999998</v>
      </c>
      <c r="M467" s="3">
        <v>0.70345495199999997</v>
      </c>
      <c r="N467" s="1" t="s">
        <v>18</v>
      </c>
      <c r="O467" s="1">
        <v>1.9463955639999999</v>
      </c>
      <c r="P467" s="1">
        <v>46.3</v>
      </c>
      <c r="Q467" s="1">
        <v>54.1</v>
      </c>
      <c r="R467" s="1">
        <v>0.68196742166666668</v>
      </c>
      <c r="S467" s="1">
        <v>3.6394616649269566E-2</v>
      </c>
      <c r="T467" t="s">
        <v>614</v>
      </c>
      <c r="U467" s="1">
        <v>12699</v>
      </c>
      <c r="V467">
        <f t="shared" si="28"/>
        <v>0.45597439146596369</v>
      </c>
      <c r="W467" s="1">
        <f t="shared" si="29"/>
        <v>20.699999999999996</v>
      </c>
      <c r="X467">
        <f t="shared" si="30"/>
        <v>0.55868870799999981</v>
      </c>
      <c r="Y467">
        <f t="shared" si="31"/>
        <v>11.800000000000004</v>
      </c>
      <c r="Z467" s="1">
        <v>0</v>
      </c>
      <c r="AA467">
        <v>100</v>
      </c>
      <c r="AB467">
        <v>0</v>
      </c>
      <c r="AC467">
        <v>2</v>
      </c>
      <c r="AD467">
        <v>155</v>
      </c>
      <c r="AE467">
        <v>1.29E-2</v>
      </c>
      <c r="AF467" t="s">
        <v>2591</v>
      </c>
      <c r="AG467" t="s">
        <v>2591</v>
      </c>
    </row>
    <row r="468" spans="1:33">
      <c r="A468" s="2" t="s">
        <v>133</v>
      </c>
      <c r="B468" s="2" t="s">
        <v>19</v>
      </c>
      <c r="C468" s="1">
        <v>0.65296959200000004</v>
      </c>
      <c r="D468">
        <v>0.71047257900000005</v>
      </c>
      <c r="E468">
        <v>0.679994718</v>
      </c>
      <c r="F468" s="1" t="s">
        <v>134</v>
      </c>
      <c r="G468" s="1">
        <v>1.3877068560000001</v>
      </c>
      <c r="H468" s="1">
        <v>25.6</v>
      </c>
      <c r="I468" s="1">
        <v>42.3</v>
      </c>
      <c r="J468" s="1">
        <v>0.6811456296666667</v>
      </c>
      <c r="K468" s="1">
        <v>0.49391595300000002</v>
      </c>
      <c r="L468" s="1">
        <v>0.603599314</v>
      </c>
      <c r="M468" s="3">
        <v>0.63481471599999995</v>
      </c>
      <c r="N468" s="1" t="s">
        <v>20</v>
      </c>
      <c r="O468" s="1">
        <v>1.2140902870000001</v>
      </c>
      <c r="P468" s="1">
        <v>64.900000000000006</v>
      </c>
      <c r="Q468" s="1">
        <v>146.19999999999999</v>
      </c>
      <c r="R468" s="1">
        <v>0.57744332766666662</v>
      </c>
      <c r="S468" s="1">
        <v>0.19687861090434017</v>
      </c>
      <c r="T468" t="s">
        <v>615</v>
      </c>
      <c r="U468" s="1">
        <v>2467</v>
      </c>
      <c r="V468">
        <f t="shared" si="28"/>
        <v>0.37690768327663737</v>
      </c>
      <c r="W468" s="1">
        <f t="shared" si="29"/>
        <v>39.300000000000004</v>
      </c>
      <c r="X468">
        <f t="shared" si="30"/>
        <v>0.173616569</v>
      </c>
      <c r="Y468">
        <f t="shared" si="31"/>
        <v>103.89999999999999</v>
      </c>
      <c r="Z468" s="1">
        <v>1</v>
      </c>
      <c r="AA468">
        <v>99</v>
      </c>
      <c r="AB468">
        <v>1.01E-2</v>
      </c>
      <c r="AC468">
        <v>2</v>
      </c>
      <c r="AD468">
        <v>135</v>
      </c>
      <c r="AE468">
        <v>1.4800000000000001E-2</v>
      </c>
      <c r="AF468" t="s">
        <v>2591</v>
      </c>
      <c r="AG468" t="s">
        <v>2593</v>
      </c>
    </row>
    <row r="469" spans="1:33">
      <c r="A469" s="2" t="s">
        <v>133</v>
      </c>
      <c r="B469" s="2" t="s">
        <v>21</v>
      </c>
      <c r="C469" s="1">
        <v>0.65296959200000004</v>
      </c>
      <c r="D469">
        <v>0.71047257900000005</v>
      </c>
      <c r="E469">
        <v>0.679994718</v>
      </c>
      <c r="F469" s="1" t="s">
        <v>134</v>
      </c>
      <c r="G469" s="1">
        <v>1.3877068560000001</v>
      </c>
      <c r="H469" s="1">
        <v>25.6</v>
      </c>
      <c r="I469" s="1">
        <v>42.3</v>
      </c>
      <c r="J469" s="1">
        <v>0.6811456296666667</v>
      </c>
      <c r="K469" s="1">
        <v>0.53276376800000003</v>
      </c>
      <c r="L469" s="1">
        <v>0.65428149899999999</v>
      </c>
      <c r="M469" s="3">
        <v>0.70160154799999996</v>
      </c>
      <c r="N469" s="1" t="s">
        <v>22</v>
      </c>
      <c r="O469" s="1">
        <v>1.2440604749999999</v>
      </c>
      <c r="P469" s="1">
        <v>24.6</v>
      </c>
      <c r="Q469" s="1">
        <v>46.3</v>
      </c>
      <c r="R469" s="1">
        <v>0.62954893833333336</v>
      </c>
      <c r="S469" s="1">
        <v>0.13443858336703152</v>
      </c>
      <c r="T469" t="s">
        <v>616</v>
      </c>
      <c r="U469" s="1">
        <v>436</v>
      </c>
      <c r="V469">
        <f t="shared" si="28"/>
        <v>0.29327627658539845</v>
      </c>
      <c r="W469" s="1">
        <f t="shared" si="29"/>
        <v>1</v>
      </c>
      <c r="X469">
        <f t="shared" si="30"/>
        <v>0.14364638100000016</v>
      </c>
      <c r="Y469">
        <f t="shared" si="31"/>
        <v>4</v>
      </c>
      <c r="Z469" s="1">
        <v>1</v>
      </c>
      <c r="AA469">
        <v>99</v>
      </c>
      <c r="AB469">
        <v>1.01E-2</v>
      </c>
      <c r="AC469">
        <v>2</v>
      </c>
      <c r="AD469">
        <v>141</v>
      </c>
      <c r="AE469">
        <v>1.4200000000000001E-2</v>
      </c>
      <c r="AF469" t="s">
        <v>2591</v>
      </c>
      <c r="AG469" t="s">
        <v>2589</v>
      </c>
    </row>
    <row r="470" spans="1:33">
      <c r="A470" s="2" t="s">
        <v>133</v>
      </c>
      <c r="B470" s="2" t="s">
        <v>23</v>
      </c>
      <c r="C470" s="1">
        <v>0.65296959200000004</v>
      </c>
      <c r="D470">
        <v>0.71047257900000005</v>
      </c>
      <c r="E470">
        <v>0.679994718</v>
      </c>
      <c r="F470" s="1" t="s">
        <v>134</v>
      </c>
      <c r="G470" s="1">
        <v>1.3877068560000001</v>
      </c>
      <c r="H470" s="1">
        <v>25.6</v>
      </c>
      <c r="I470" s="1">
        <v>42.3</v>
      </c>
      <c r="J470" s="1">
        <v>0.6811456296666667</v>
      </c>
      <c r="K470" s="1">
        <v>0.49415677200000002</v>
      </c>
      <c r="L470" s="1">
        <v>0.62090818999999997</v>
      </c>
      <c r="M470" s="3">
        <v>0.63381026900000004</v>
      </c>
      <c r="N470" s="1" t="s">
        <v>24</v>
      </c>
      <c r="O470" s="1">
        <v>1.141304348</v>
      </c>
      <c r="P470" s="1">
        <v>44.4</v>
      </c>
      <c r="Q470" s="1">
        <v>101.2</v>
      </c>
      <c r="R470" s="1">
        <v>0.58295841033333329</v>
      </c>
      <c r="S470" s="1">
        <v>0.18808587108746191</v>
      </c>
      <c r="T470" t="s">
        <v>617</v>
      </c>
      <c r="U470" s="1">
        <v>157</v>
      </c>
      <c r="V470">
        <f t="shared" si="28"/>
        <v>0.24398885026769263</v>
      </c>
      <c r="W470" s="1">
        <f t="shared" si="29"/>
        <v>18.799999999999997</v>
      </c>
      <c r="X470">
        <f t="shared" si="30"/>
        <v>0.24640250800000008</v>
      </c>
      <c r="Y470">
        <f t="shared" si="31"/>
        <v>58.900000000000006</v>
      </c>
      <c r="Z470" s="1">
        <v>1</v>
      </c>
      <c r="AA470">
        <v>99</v>
      </c>
      <c r="AB470">
        <v>1.01E-2</v>
      </c>
      <c r="AC470">
        <v>2</v>
      </c>
      <c r="AD470">
        <v>137</v>
      </c>
      <c r="AE470">
        <v>1.46E-2</v>
      </c>
      <c r="AF470" t="s">
        <v>2591</v>
      </c>
      <c r="AG470" t="s">
        <v>2590</v>
      </c>
    </row>
    <row r="471" spans="1:33">
      <c r="A471" s="2" t="s">
        <v>133</v>
      </c>
      <c r="B471" s="2" t="s">
        <v>25</v>
      </c>
      <c r="C471" s="1">
        <v>0.65296959200000004</v>
      </c>
      <c r="D471">
        <v>0.71047257900000005</v>
      </c>
      <c r="E471">
        <v>0.679994718</v>
      </c>
      <c r="F471" s="1" t="s">
        <v>134</v>
      </c>
      <c r="G471" s="1">
        <v>1.3877068560000001</v>
      </c>
      <c r="H471" s="1">
        <v>25.6</v>
      </c>
      <c r="I471" s="1">
        <v>42.3</v>
      </c>
      <c r="J471" s="1">
        <v>0.6811456296666667</v>
      </c>
      <c r="K471" s="1">
        <v>0.53959274199999996</v>
      </c>
      <c r="L471" s="1">
        <v>0.64971567399999997</v>
      </c>
      <c r="M471" s="3">
        <v>0.65028459999999999</v>
      </c>
      <c r="N471" s="1" t="s">
        <v>26</v>
      </c>
      <c r="O471" s="1">
        <v>1.623046875</v>
      </c>
      <c r="P471" s="1">
        <v>34.700000000000003</v>
      </c>
      <c r="Q471" s="1">
        <v>51.2</v>
      </c>
      <c r="R471" s="1">
        <v>0.61319767199999997</v>
      </c>
      <c r="S471" s="1">
        <v>0.13201667596434732</v>
      </c>
      <c r="T471" t="s">
        <v>618</v>
      </c>
      <c r="U471" s="1">
        <v>370</v>
      </c>
      <c r="V471">
        <f t="shared" si="28"/>
        <v>0.28535574711855499</v>
      </c>
      <c r="W471" s="1">
        <f t="shared" si="29"/>
        <v>9.1000000000000014</v>
      </c>
      <c r="X471">
        <f t="shared" si="30"/>
        <v>0.2353400189999999</v>
      </c>
      <c r="Y471">
        <f t="shared" si="31"/>
        <v>8.9000000000000057</v>
      </c>
      <c r="Z471" s="1">
        <v>0</v>
      </c>
      <c r="AA471">
        <v>100</v>
      </c>
      <c r="AB471">
        <v>0</v>
      </c>
      <c r="AC471">
        <v>1</v>
      </c>
      <c r="AD471">
        <v>140</v>
      </c>
      <c r="AE471">
        <v>7.1000000000000004E-3</v>
      </c>
      <c r="AF471" t="s">
        <v>2591</v>
      </c>
      <c r="AG471" t="s">
        <v>2594</v>
      </c>
    </row>
    <row r="472" spans="1:33">
      <c r="A472" s="2" t="s">
        <v>133</v>
      </c>
      <c r="B472" s="2" t="s">
        <v>27</v>
      </c>
      <c r="C472" s="1">
        <v>0.65296959200000004</v>
      </c>
      <c r="D472">
        <v>0.71047257900000005</v>
      </c>
      <c r="E472">
        <v>0.679994718</v>
      </c>
      <c r="F472" s="1" t="s">
        <v>134</v>
      </c>
      <c r="G472" s="1">
        <v>1.3877068560000001</v>
      </c>
      <c r="H472" s="1">
        <v>25.6</v>
      </c>
      <c r="I472" s="1">
        <v>42.3</v>
      </c>
      <c r="J472" s="1">
        <v>0.6811456296666667</v>
      </c>
      <c r="K472" s="1">
        <v>0.518608662</v>
      </c>
      <c r="L472" s="1">
        <v>0.64320369700000002</v>
      </c>
      <c r="M472" s="3">
        <v>0.62228994199999998</v>
      </c>
      <c r="N472" s="1" t="s">
        <v>28</v>
      </c>
      <c r="O472" s="1">
        <v>1.8717391299999999</v>
      </c>
      <c r="P472" s="1">
        <v>33.700000000000003</v>
      </c>
      <c r="Q472" s="1">
        <v>46</v>
      </c>
      <c r="R472" s="1">
        <v>0.59470076699999996</v>
      </c>
      <c r="S472" s="1">
        <v>0.16095901083569386</v>
      </c>
      <c r="T472" t="s">
        <v>619</v>
      </c>
      <c r="U472" s="1">
        <v>131</v>
      </c>
      <c r="V472">
        <f t="shared" si="28"/>
        <v>0.23525236618397383</v>
      </c>
      <c r="W472" s="1">
        <f t="shared" si="29"/>
        <v>8.1000000000000014</v>
      </c>
      <c r="X472">
        <f t="shared" si="30"/>
        <v>0.48403227399999982</v>
      </c>
      <c r="Y472">
        <f t="shared" si="31"/>
        <v>3.7000000000000028</v>
      </c>
      <c r="Z472" s="1">
        <v>1</v>
      </c>
      <c r="AA472">
        <v>99</v>
      </c>
      <c r="AB472">
        <v>1.01E-2</v>
      </c>
      <c r="AC472">
        <v>2</v>
      </c>
      <c r="AD472">
        <v>146</v>
      </c>
      <c r="AE472">
        <v>1.37E-2</v>
      </c>
      <c r="AF472" t="s">
        <v>2591</v>
      </c>
      <c r="AG472" t="s">
        <v>2590</v>
      </c>
    </row>
    <row r="473" spans="1:33">
      <c r="A473" s="2" t="s">
        <v>133</v>
      </c>
      <c r="B473" s="2" t="s">
        <v>29</v>
      </c>
      <c r="C473" s="1">
        <v>0.65296959200000004</v>
      </c>
      <c r="D473">
        <v>0.71047257900000005</v>
      </c>
      <c r="E473">
        <v>0.679994718</v>
      </c>
      <c r="F473" s="1" t="s">
        <v>134</v>
      </c>
      <c r="G473" s="1">
        <v>1.3877068560000001</v>
      </c>
      <c r="H473" s="1">
        <v>25.6</v>
      </c>
      <c r="I473" s="1">
        <v>42.3</v>
      </c>
      <c r="J473" s="1">
        <v>0.6811456296666667</v>
      </c>
      <c r="K473" s="1">
        <v>0.59351545100000003</v>
      </c>
      <c r="L473" s="1">
        <v>0.68136602400000001</v>
      </c>
      <c r="M473" s="3">
        <v>0.73518087600000004</v>
      </c>
      <c r="N473" s="1" t="s">
        <v>30</v>
      </c>
      <c r="O473" s="1">
        <v>2.849112426</v>
      </c>
      <c r="P473" s="1">
        <v>37.9</v>
      </c>
      <c r="Q473" s="1">
        <v>33.799999999999997</v>
      </c>
      <c r="R473" s="1">
        <v>0.67002078366666673</v>
      </c>
      <c r="S473" s="1">
        <v>8.6182936018778564E-2</v>
      </c>
      <c r="T473" t="s">
        <v>620</v>
      </c>
      <c r="U473" s="1">
        <v>1484</v>
      </c>
      <c r="V473">
        <f t="shared" si="28"/>
        <v>0.3523815445492231</v>
      </c>
      <c r="W473" s="1">
        <f t="shared" si="29"/>
        <v>12.299999999999997</v>
      </c>
      <c r="X473">
        <f t="shared" si="30"/>
        <v>1.4614055699999999</v>
      </c>
      <c r="Y473">
        <f t="shared" si="31"/>
        <v>8.5</v>
      </c>
      <c r="Z473" s="1">
        <v>0</v>
      </c>
      <c r="AA473">
        <v>100</v>
      </c>
      <c r="AB473">
        <v>0</v>
      </c>
      <c r="AC473">
        <v>0</v>
      </c>
      <c r="AD473">
        <v>137</v>
      </c>
      <c r="AE473">
        <v>0</v>
      </c>
      <c r="AF473" t="s">
        <v>2591</v>
      </c>
      <c r="AG473" t="s">
        <v>2593</v>
      </c>
    </row>
    <row r="474" spans="1:33">
      <c r="A474" s="2" t="s">
        <v>133</v>
      </c>
      <c r="B474" s="2" t="s">
        <v>31</v>
      </c>
      <c r="C474" s="1">
        <v>0.65296959200000004</v>
      </c>
      <c r="D474">
        <v>0.71047257900000005</v>
      </c>
      <c r="E474">
        <v>0.679994718</v>
      </c>
      <c r="F474" s="1" t="s">
        <v>134</v>
      </c>
      <c r="G474" s="1">
        <v>1.3877068560000001</v>
      </c>
      <c r="H474" s="1">
        <v>25.6</v>
      </c>
      <c r="I474" s="1">
        <v>42.3</v>
      </c>
      <c r="J474" s="1">
        <v>0.6811456296666667</v>
      </c>
      <c r="K474" s="1">
        <v>0.47727961800000002</v>
      </c>
      <c r="L474" s="1">
        <v>0.66941086400000005</v>
      </c>
      <c r="M474" s="3">
        <v>0.69294815300000001</v>
      </c>
      <c r="N474" s="1" t="s">
        <v>32</v>
      </c>
      <c r="O474" s="1">
        <v>1.341891892</v>
      </c>
      <c r="P474" s="1">
        <v>42.1</v>
      </c>
      <c r="Q474" s="1">
        <v>74</v>
      </c>
      <c r="R474" s="1">
        <v>0.61321287833333338</v>
      </c>
      <c r="S474" s="1">
        <v>0.18088897943534629</v>
      </c>
      <c r="T474" t="s">
        <v>621</v>
      </c>
      <c r="U474" s="1">
        <v>288</v>
      </c>
      <c r="V474">
        <f t="shared" si="28"/>
        <v>0.27326583197324789</v>
      </c>
      <c r="W474" s="1">
        <f t="shared" si="29"/>
        <v>16.5</v>
      </c>
      <c r="X474">
        <f t="shared" si="30"/>
        <v>4.5814964000000069E-2</v>
      </c>
      <c r="Y474">
        <f t="shared" si="31"/>
        <v>31.700000000000003</v>
      </c>
      <c r="Z474" s="1">
        <v>1</v>
      </c>
      <c r="AA474">
        <v>99</v>
      </c>
      <c r="AB474">
        <v>1.01E-2</v>
      </c>
      <c r="AC474">
        <v>2</v>
      </c>
      <c r="AD474">
        <v>143</v>
      </c>
      <c r="AE474">
        <v>1.4E-2</v>
      </c>
      <c r="AF474" t="s">
        <v>2591</v>
      </c>
      <c r="AG474" t="s">
        <v>2589</v>
      </c>
    </row>
    <row r="475" spans="1:33">
      <c r="A475" s="2" t="s">
        <v>133</v>
      </c>
      <c r="B475" s="2" t="s">
        <v>33</v>
      </c>
      <c r="C475" s="1">
        <v>0.65296959200000004</v>
      </c>
      <c r="D475">
        <v>0.71047257900000005</v>
      </c>
      <c r="E475">
        <v>0.679994718</v>
      </c>
      <c r="F475" s="1" t="s">
        <v>134</v>
      </c>
      <c r="G475" s="1">
        <v>1.3877068560000001</v>
      </c>
      <c r="H475" s="1">
        <v>25.6</v>
      </c>
      <c r="I475" s="1">
        <v>42.3</v>
      </c>
      <c r="J475" s="1">
        <v>0.6811456296666667</v>
      </c>
      <c r="K475" s="1">
        <v>0.51347926600000005</v>
      </c>
      <c r="L475" s="1">
        <v>0.63144379399999995</v>
      </c>
      <c r="M475" s="3">
        <v>0.64189093500000005</v>
      </c>
      <c r="N475" s="1" t="s">
        <v>34</v>
      </c>
      <c r="O475" s="1">
        <v>2.3123667380000001</v>
      </c>
      <c r="P475" s="1">
        <v>79.099999999999994</v>
      </c>
      <c r="Q475" s="1">
        <v>93.8</v>
      </c>
      <c r="R475" s="1">
        <v>0.59560466500000009</v>
      </c>
      <c r="S475" s="1">
        <v>0.16478773675572342</v>
      </c>
      <c r="T475" t="s">
        <v>622</v>
      </c>
      <c r="U475" s="1">
        <v>433</v>
      </c>
      <c r="V475">
        <f t="shared" si="28"/>
        <v>0.2929430995948184</v>
      </c>
      <c r="W475" s="1">
        <f t="shared" si="29"/>
        <v>53.499999999999993</v>
      </c>
      <c r="X475">
        <f t="shared" si="30"/>
        <v>0.92465988200000004</v>
      </c>
      <c r="Y475">
        <f t="shared" si="31"/>
        <v>51.5</v>
      </c>
      <c r="Z475" s="1">
        <v>1</v>
      </c>
      <c r="AA475">
        <v>99</v>
      </c>
      <c r="AB475">
        <v>1.01E-2</v>
      </c>
      <c r="AC475">
        <v>2</v>
      </c>
      <c r="AD475">
        <v>137</v>
      </c>
      <c r="AE475">
        <v>1.46E-2</v>
      </c>
      <c r="AF475" t="s">
        <v>2591</v>
      </c>
      <c r="AG475" t="s">
        <v>2590</v>
      </c>
    </row>
    <row r="476" spans="1:33">
      <c r="A476" s="2" t="s">
        <v>133</v>
      </c>
      <c r="B476" s="2" t="s">
        <v>35</v>
      </c>
      <c r="C476" s="1">
        <v>0.65296959200000004</v>
      </c>
      <c r="D476">
        <v>0.71047257900000005</v>
      </c>
      <c r="E476">
        <v>0.679994718</v>
      </c>
      <c r="F476" s="1" t="s">
        <v>134</v>
      </c>
      <c r="G476" s="1">
        <v>1.3877068560000001</v>
      </c>
      <c r="H476" s="1">
        <v>25.6</v>
      </c>
      <c r="I476" s="1">
        <v>42.3</v>
      </c>
      <c r="J476" s="1">
        <v>0.6811456296666667</v>
      </c>
      <c r="K476" s="1">
        <v>0.52542897600000005</v>
      </c>
      <c r="L476" s="1">
        <v>0.60774736299999998</v>
      </c>
      <c r="M476" s="3">
        <v>0.62585751700000003</v>
      </c>
      <c r="N476" s="1" t="s">
        <v>36</v>
      </c>
      <c r="O476" s="1">
        <v>0.98848810399999998</v>
      </c>
      <c r="P476" s="1">
        <v>54.2</v>
      </c>
      <c r="Q476" s="1">
        <v>130.30000000000001</v>
      </c>
      <c r="R476" s="1">
        <v>0.58634461866666665</v>
      </c>
      <c r="S476" s="1">
        <v>0.17248163746909559</v>
      </c>
      <c r="T476" t="s">
        <v>623</v>
      </c>
      <c r="U476" s="1">
        <v>917</v>
      </c>
      <c r="V476">
        <f t="shared" si="28"/>
        <v>0.32915214840778012</v>
      </c>
      <c r="W476" s="1">
        <f t="shared" si="29"/>
        <v>28.6</v>
      </c>
      <c r="X476">
        <f t="shared" si="30"/>
        <v>0.39921875200000012</v>
      </c>
      <c r="Y476">
        <f t="shared" si="31"/>
        <v>88.000000000000014</v>
      </c>
      <c r="Z476" s="1">
        <v>1</v>
      </c>
      <c r="AA476">
        <v>99</v>
      </c>
      <c r="AB476">
        <v>1.01E-2</v>
      </c>
      <c r="AC476">
        <v>2</v>
      </c>
      <c r="AD476">
        <v>136</v>
      </c>
      <c r="AE476">
        <v>1.47E-2</v>
      </c>
      <c r="AF476" t="s">
        <v>2591</v>
      </c>
      <c r="AG476" t="s">
        <v>2589</v>
      </c>
    </row>
    <row r="477" spans="1:33">
      <c r="A477" s="2" t="s">
        <v>133</v>
      </c>
      <c r="B477" s="2" t="s">
        <v>37</v>
      </c>
      <c r="C477" s="1">
        <v>0.65296959200000004</v>
      </c>
      <c r="D477">
        <v>0.71047257900000005</v>
      </c>
      <c r="E477">
        <v>0.679994718</v>
      </c>
      <c r="F477" s="1" t="s">
        <v>134</v>
      </c>
      <c r="G477" s="1">
        <v>1.3877068560000001</v>
      </c>
      <c r="H477" s="1">
        <v>25.6</v>
      </c>
      <c r="I477" s="1">
        <v>42.3</v>
      </c>
      <c r="J477" s="1">
        <v>0.6811456296666667</v>
      </c>
      <c r="K477" s="1">
        <v>0.50856695500000004</v>
      </c>
      <c r="L477" s="1">
        <v>0.654733224</v>
      </c>
      <c r="M477" s="3">
        <v>0.61418267199999999</v>
      </c>
      <c r="N477" s="1" t="s">
        <v>38</v>
      </c>
      <c r="O477" s="1">
        <v>0.64065708399999999</v>
      </c>
      <c r="P477" s="1">
        <v>41.9</v>
      </c>
      <c r="Q477" s="1">
        <v>146.1</v>
      </c>
      <c r="R477" s="1">
        <v>0.59249428366666679</v>
      </c>
      <c r="S477" s="1">
        <v>0.16819697579646287</v>
      </c>
      <c r="T477" t="s">
        <v>624</v>
      </c>
      <c r="U477" s="1">
        <v>575</v>
      </c>
      <c r="V477">
        <f t="shared" si="28"/>
        <v>0.30662976052107005</v>
      </c>
      <c r="W477" s="1">
        <f t="shared" si="29"/>
        <v>16.299999999999997</v>
      </c>
      <c r="X477">
        <f t="shared" si="30"/>
        <v>0.74704977200000011</v>
      </c>
      <c r="Y477">
        <f t="shared" si="31"/>
        <v>103.8</v>
      </c>
      <c r="Z477" s="1">
        <v>1</v>
      </c>
      <c r="AA477">
        <v>99</v>
      </c>
      <c r="AB477">
        <v>1.01E-2</v>
      </c>
      <c r="AC477">
        <v>3</v>
      </c>
      <c r="AD477">
        <v>134</v>
      </c>
      <c r="AE477">
        <v>2.24E-2</v>
      </c>
      <c r="AF477" t="s">
        <v>2591</v>
      </c>
      <c r="AG477" t="s">
        <v>2590</v>
      </c>
    </row>
    <row r="478" spans="1:33">
      <c r="A478" s="2" t="s">
        <v>133</v>
      </c>
      <c r="B478" s="2" t="s">
        <v>39</v>
      </c>
      <c r="C478" s="1">
        <v>0.65296959200000004</v>
      </c>
      <c r="D478">
        <v>0.71047257900000005</v>
      </c>
      <c r="E478">
        <v>0.679994718</v>
      </c>
      <c r="F478" s="1" t="s">
        <v>134</v>
      </c>
      <c r="G478" s="1">
        <v>1.3877068560000001</v>
      </c>
      <c r="H478" s="1">
        <v>25.6</v>
      </c>
      <c r="I478" s="1">
        <v>42.3</v>
      </c>
      <c r="J478" s="1">
        <v>0.6811456296666667</v>
      </c>
      <c r="K478" s="1">
        <v>0.60811616199999996</v>
      </c>
      <c r="L478" s="1">
        <v>0.721105683</v>
      </c>
      <c r="M478" s="3">
        <v>0.741016169</v>
      </c>
      <c r="N478" s="1" t="s">
        <v>40</v>
      </c>
      <c r="O478" s="1">
        <v>1.0601915180000001</v>
      </c>
      <c r="P478" s="1">
        <v>34</v>
      </c>
      <c r="Q478" s="1">
        <v>73.099999999999994</v>
      </c>
      <c r="R478" s="1">
        <v>0.69007933799999999</v>
      </c>
      <c r="S478" s="1">
        <v>7.6475555346693119E-2</v>
      </c>
      <c r="T478" t="s">
        <v>625</v>
      </c>
      <c r="U478" s="1">
        <v>390</v>
      </c>
      <c r="V478">
        <f t="shared" si="28"/>
        <v>0.28789606744738877</v>
      </c>
      <c r="W478" s="1">
        <f t="shared" si="29"/>
        <v>8.3999999999999986</v>
      </c>
      <c r="X478">
        <f t="shared" si="30"/>
        <v>0.32751533799999999</v>
      </c>
      <c r="Y478">
        <f t="shared" si="31"/>
        <v>30.799999999999997</v>
      </c>
      <c r="Z478" s="1">
        <v>1</v>
      </c>
      <c r="AA478">
        <v>99</v>
      </c>
      <c r="AB478">
        <v>1.01E-2</v>
      </c>
      <c r="AC478">
        <v>2</v>
      </c>
      <c r="AD478">
        <v>138</v>
      </c>
      <c r="AE478">
        <v>1.4500000000000001E-2</v>
      </c>
      <c r="AF478" t="s">
        <v>2591</v>
      </c>
      <c r="AG478" t="s">
        <v>2589</v>
      </c>
    </row>
    <row r="479" spans="1:33">
      <c r="A479" s="2" t="s">
        <v>133</v>
      </c>
      <c r="B479" s="2" t="s">
        <v>41</v>
      </c>
      <c r="C479" s="1">
        <v>0.65296959200000004</v>
      </c>
      <c r="D479">
        <v>0.71047257900000005</v>
      </c>
      <c r="E479">
        <v>0.679994718</v>
      </c>
      <c r="F479" s="1" t="s">
        <v>134</v>
      </c>
      <c r="G479" s="1">
        <v>1.3877068560000001</v>
      </c>
      <c r="H479" s="1">
        <v>25.6</v>
      </c>
      <c r="I479" s="1">
        <v>42.3</v>
      </c>
      <c r="J479" s="1">
        <v>0.6811456296666667</v>
      </c>
      <c r="K479" s="1">
        <v>0.60402244999999999</v>
      </c>
      <c r="L479" s="1">
        <v>0.669189213</v>
      </c>
      <c r="M479" s="3">
        <v>0.69821693799999995</v>
      </c>
      <c r="N479" s="1" t="s">
        <v>42</v>
      </c>
      <c r="O479" s="1">
        <v>1.3243902439999999</v>
      </c>
      <c r="P479" s="1">
        <v>23</v>
      </c>
      <c r="Q479" s="1">
        <v>41</v>
      </c>
      <c r="R479" s="1">
        <v>0.65714286700000002</v>
      </c>
      <c r="S479" s="1">
        <v>6.6574682274769634E-2</v>
      </c>
      <c r="T479" t="s">
        <v>626</v>
      </c>
      <c r="U479" s="1">
        <v>24611</v>
      </c>
      <c r="V479">
        <f t="shared" si="28"/>
        <v>0.48790325115754474</v>
      </c>
      <c r="W479" s="1">
        <f t="shared" si="29"/>
        <v>2.6000000000000014</v>
      </c>
      <c r="X479">
        <f t="shared" si="30"/>
        <v>6.3316612000000161E-2</v>
      </c>
      <c r="Y479">
        <f t="shared" si="31"/>
        <v>1.2999999999999972</v>
      </c>
      <c r="Z479" s="1">
        <v>0</v>
      </c>
      <c r="AA479">
        <v>100</v>
      </c>
      <c r="AB479">
        <v>0</v>
      </c>
      <c r="AC479">
        <v>1</v>
      </c>
      <c r="AD479">
        <v>153</v>
      </c>
      <c r="AE479">
        <v>6.4999999999999997E-3</v>
      </c>
      <c r="AF479" t="s">
        <v>2591</v>
      </c>
      <c r="AG479" t="s">
        <v>2591</v>
      </c>
    </row>
    <row r="480" spans="1:33">
      <c r="A480" s="2" t="s">
        <v>133</v>
      </c>
      <c r="B480" s="2" t="s">
        <v>43</v>
      </c>
      <c r="C480" s="1">
        <v>0.65296959200000004</v>
      </c>
      <c r="D480">
        <v>0.71047257900000005</v>
      </c>
      <c r="E480">
        <v>0.679994718</v>
      </c>
      <c r="F480" s="1" t="s">
        <v>134</v>
      </c>
      <c r="G480" s="1">
        <v>1.3877068560000001</v>
      </c>
      <c r="H480" s="1">
        <v>25.6</v>
      </c>
      <c r="I480" s="1">
        <v>42.3</v>
      </c>
      <c r="J480" s="1">
        <v>0.6811456296666667</v>
      </c>
      <c r="K480" s="1">
        <v>0.54180634699999997</v>
      </c>
      <c r="L480" s="1">
        <v>0.59470779900000004</v>
      </c>
      <c r="M480" s="3">
        <v>0.69518155599999998</v>
      </c>
      <c r="N480" s="1" t="s">
        <v>44</v>
      </c>
      <c r="O480" s="1">
        <v>1.7403685090000001</v>
      </c>
      <c r="P480" s="1">
        <v>41.2</v>
      </c>
      <c r="Q480" s="1">
        <v>59.7</v>
      </c>
      <c r="R480" s="1">
        <v>0.61056523400000007</v>
      </c>
      <c r="S480" s="1">
        <v>0.16121225566257885</v>
      </c>
      <c r="T480" t="s">
        <v>627</v>
      </c>
      <c r="U480" s="1">
        <v>53076</v>
      </c>
      <c r="V480">
        <f t="shared" si="28"/>
        <v>0.52498868726858094</v>
      </c>
      <c r="W480" s="1">
        <f t="shared" si="29"/>
        <v>15.600000000000001</v>
      </c>
      <c r="X480">
        <f t="shared" si="30"/>
        <v>0.35266165299999996</v>
      </c>
      <c r="Y480">
        <f t="shared" si="31"/>
        <v>17.400000000000006</v>
      </c>
      <c r="Z480" s="1">
        <v>18</v>
      </c>
      <c r="AA480">
        <v>82</v>
      </c>
      <c r="AB480">
        <v>0.2195</v>
      </c>
      <c r="AC480">
        <v>50</v>
      </c>
      <c r="AD480">
        <v>126</v>
      </c>
      <c r="AE480">
        <v>0.39679999999999999</v>
      </c>
      <c r="AF480" t="s">
        <v>2591</v>
      </c>
      <c r="AG480" t="s">
        <v>2589</v>
      </c>
    </row>
    <row r="481" spans="1:33">
      <c r="A481" s="2" t="s">
        <v>133</v>
      </c>
      <c r="B481" s="2" t="s">
        <v>45</v>
      </c>
      <c r="C481" s="1">
        <v>0.65296959200000004</v>
      </c>
      <c r="D481">
        <v>0.71047257900000005</v>
      </c>
      <c r="E481">
        <v>0.679994718</v>
      </c>
      <c r="F481" s="1" t="s">
        <v>134</v>
      </c>
      <c r="G481" s="1">
        <v>1.3877068560000001</v>
      </c>
      <c r="H481" s="1">
        <v>25.6</v>
      </c>
      <c r="I481" s="1">
        <v>42.3</v>
      </c>
      <c r="J481" s="1">
        <v>0.6811456296666667</v>
      </c>
      <c r="K481" s="1">
        <v>0.50907007599999998</v>
      </c>
      <c r="L481" s="1">
        <v>0.68428041399999995</v>
      </c>
      <c r="M481" s="3">
        <v>0.67454742099999998</v>
      </c>
      <c r="N481" s="1" t="s">
        <v>46</v>
      </c>
      <c r="O481" s="1">
        <v>0.98140043799999999</v>
      </c>
      <c r="P481" s="1">
        <v>38.9</v>
      </c>
      <c r="Q481" s="1">
        <v>91.4</v>
      </c>
      <c r="R481" s="1">
        <v>0.62263263699999993</v>
      </c>
      <c r="S481" s="1">
        <v>0.14636520507630121</v>
      </c>
      <c r="T481" t="s">
        <v>628</v>
      </c>
      <c r="U481" s="1">
        <v>370</v>
      </c>
      <c r="V481">
        <f t="shared" si="28"/>
        <v>0.28535574711855499</v>
      </c>
      <c r="W481" s="1">
        <f t="shared" si="29"/>
        <v>13.299999999999997</v>
      </c>
      <c r="X481">
        <f t="shared" si="30"/>
        <v>0.40630641800000011</v>
      </c>
      <c r="Y481">
        <f t="shared" si="31"/>
        <v>49.100000000000009</v>
      </c>
      <c r="Z481" s="1">
        <v>1</v>
      </c>
      <c r="AA481">
        <v>99</v>
      </c>
      <c r="AB481">
        <v>1.01E-2</v>
      </c>
      <c r="AC481">
        <v>2</v>
      </c>
      <c r="AD481">
        <v>154</v>
      </c>
      <c r="AE481">
        <v>1.2999999999999999E-2</v>
      </c>
      <c r="AF481" t="s">
        <v>2591</v>
      </c>
      <c r="AG481" t="s">
        <v>2589</v>
      </c>
    </row>
    <row r="482" spans="1:33">
      <c r="A482" s="2" t="s">
        <v>133</v>
      </c>
      <c r="B482" s="2" t="s">
        <v>47</v>
      </c>
      <c r="C482" s="1">
        <v>0.65296959200000004</v>
      </c>
      <c r="D482">
        <v>0.71047257900000005</v>
      </c>
      <c r="E482">
        <v>0.679994718</v>
      </c>
      <c r="F482" s="1" t="s">
        <v>134</v>
      </c>
      <c r="G482" s="1">
        <v>1.3877068560000001</v>
      </c>
      <c r="H482" s="1">
        <v>25.6</v>
      </c>
      <c r="I482" s="1">
        <v>42.3</v>
      </c>
      <c r="J482" s="1">
        <v>0.6811456296666667</v>
      </c>
      <c r="K482" s="1">
        <v>0.50612154099999995</v>
      </c>
      <c r="L482" s="1">
        <v>0.55940039100000005</v>
      </c>
      <c r="M482" s="3">
        <v>0.66789001699999995</v>
      </c>
      <c r="N482" s="1" t="s">
        <v>48</v>
      </c>
      <c r="O482" s="1">
        <v>1.242622951</v>
      </c>
      <c r="P482" s="1">
        <v>17.8</v>
      </c>
      <c r="Q482" s="1">
        <v>30.5</v>
      </c>
      <c r="R482" s="1">
        <v>0.57780398300000002</v>
      </c>
      <c r="S482" s="1">
        <v>0.21103004491281657</v>
      </c>
      <c r="T482" t="s">
        <v>629</v>
      </c>
      <c r="U482" s="1">
        <v>650</v>
      </c>
      <c r="V482">
        <f t="shared" si="28"/>
        <v>0.31254592851587287</v>
      </c>
      <c r="W482" s="1">
        <f t="shared" si="29"/>
        <v>7.8000000000000007</v>
      </c>
      <c r="X482">
        <f t="shared" si="30"/>
        <v>0.14508390500000012</v>
      </c>
      <c r="Y482">
        <f t="shared" si="31"/>
        <v>11.799999999999997</v>
      </c>
      <c r="Z482" s="1">
        <v>1</v>
      </c>
      <c r="AA482">
        <v>99</v>
      </c>
      <c r="AB482">
        <v>1.01E-2</v>
      </c>
      <c r="AC482">
        <v>2</v>
      </c>
      <c r="AD482">
        <v>161</v>
      </c>
      <c r="AE482">
        <v>1.24E-2</v>
      </c>
      <c r="AF482" t="s">
        <v>2591</v>
      </c>
      <c r="AG482" t="s">
        <v>2590</v>
      </c>
    </row>
    <row r="483" spans="1:33">
      <c r="A483" s="2" t="s">
        <v>133</v>
      </c>
      <c r="B483" s="2" t="s">
        <v>49</v>
      </c>
      <c r="C483" s="1">
        <v>0.65296959200000004</v>
      </c>
      <c r="D483">
        <v>0.71047257900000005</v>
      </c>
      <c r="E483">
        <v>0.679994718</v>
      </c>
      <c r="F483" s="1" t="s">
        <v>134</v>
      </c>
      <c r="G483" s="1">
        <v>1.3877068560000001</v>
      </c>
      <c r="H483" s="1">
        <v>25.6</v>
      </c>
      <c r="I483" s="1">
        <v>42.3</v>
      </c>
      <c r="J483" s="1">
        <v>0.6811456296666667</v>
      </c>
      <c r="K483" s="1">
        <v>0.50647110500000003</v>
      </c>
      <c r="L483" s="1">
        <v>0.55713136799999996</v>
      </c>
      <c r="M483" s="3">
        <v>0.63402682300000002</v>
      </c>
      <c r="N483" s="1" t="s">
        <v>50</v>
      </c>
      <c r="O483" s="1">
        <v>1.876675603</v>
      </c>
      <c r="P483" s="1">
        <v>28.8</v>
      </c>
      <c r="Q483" s="1">
        <v>37.299999999999997</v>
      </c>
      <c r="R483" s="1">
        <v>0.56587643200000004</v>
      </c>
      <c r="S483" s="1">
        <v>0.21699857385468399</v>
      </c>
      <c r="T483" t="s">
        <v>630</v>
      </c>
      <c r="U483" s="1">
        <v>437</v>
      </c>
      <c r="V483">
        <f t="shared" si="28"/>
        <v>0.29338682633004687</v>
      </c>
      <c r="W483" s="1">
        <f t="shared" si="29"/>
        <v>3.1999999999999993</v>
      </c>
      <c r="X483">
        <f t="shared" si="30"/>
        <v>0.48896874699999993</v>
      </c>
      <c r="Y483">
        <f t="shared" si="31"/>
        <v>5</v>
      </c>
      <c r="Z483" s="1">
        <v>1</v>
      </c>
      <c r="AA483">
        <v>99</v>
      </c>
      <c r="AB483">
        <v>1.01E-2</v>
      </c>
      <c r="AC483">
        <v>2</v>
      </c>
      <c r="AD483">
        <v>135</v>
      </c>
      <c r="AE483">
        <v>1.4800000000000001E-2</v>
      </c>
      <c r="AF483" t="s">
        <v>2591</v>
      </c>
      <c r="AG483" t="s">
        <v>2590</v>
      </c>
    </row>
    <row r="484" spans="1:33">
      <c r="A484" s="2" t="s">
        <v>133</v>
      </c>
      <c r="B484" s="2" t="s">
        <v>51</v>
      </c>
      <c r="C484" s="1">
        <v>0.65296959200000004</v>
      </c>
      <c r="D484">
        <v>0.71047257900000005</v>
      </c>
      <c r="E484">
        <v>0.679994718</v>
      </c>
      <c r="F484" s="1" t="s">
        <v>134</v>
      </c>
      <c r="G484" s="1">
        <v>1.3877068560000001</v>
      </c>
      <c r="H484" s="1">
        <v>25.6</v>
      </c>
      <c r="I484" s="1">
        <v>42.3</v>
      </c>
      <c r="J484" s="1">
        <v>0.6811456296666667</v>
      </c>
      <c r="K484" s="1">
        <v>0.60067161999999996</v>
      </c>
      <c r="L484" s="1">
        <v>0.68094129999999997</v>
      </c>
      <c r="M484" s="3">
        <v>0.73595931299999995</v>
      </c>
      <c r="N484" s="1" t="s">
        <v>52</v>
      </c>
      <c r="O484" s="1">
        <v>1.858638743</v>
      </c>
      <c r="P484" s="1">
        <v>29.4</v>
      </c>
      <c r="Q484" s="1">
        <v>38.200000000000003</v>
      </c>
      <c r="R484" s="1">
        <v>0.67252407766666666</v>
      </c>
      <c r="S484" s="1">
        <v>8.2092692782017196E-2</v>
      </c>
      <c r="T484" t="s">
        <v>631</v>
      </c>
      <c r="U484" s="1">
        <v>2382</v>
      </c>
      <c r="V484">
        <f t="shared" si="28"/>
        <v>0.37521575079408431</v>
      </c>
      <c r="W484" s="1">
        <f t="shared" si="29"/>
        <v>3.7999999999999972</v>
      </c>
      <c r="X484">
        <f t="shared" si="30"/>
        <v>0.47093188699999988</v>
      </c>
      <c r="Y484">
        <f t="shared" si="31"/>
        <v>4.0999999999999943</v>
      </c>
      <c r="Z484" s="1">
        <v>1</v>
      </c>
      <c r="AA484">
        <v>99</v>
      </c>
      <c r="AB484">
        <v>1.01E-2</v>
      </c>
      <c r="AC484">
        <v>2</v>
      </c>
      <c r="AD484">
        <v>144</v>
      </c>
      <c r="AE484">
        <v>1.3899999999999999E-2</v>
      </c>
      <c r="AF484" t="s">
        <v>2591</v>
      </c>
      <c r="AG484" t="s">
        <v>2591</v>
      </c>
    </row>
    <row r="485" spans="1:33">
      <c r="A485" s="2" t="s">
        <v>133</v>
      </c>
      <c r="B485" s="2" t="s">
        <v>53</v>
      </c>
      <c r="C485" s="1">
        <v>0.65296959200000004</v>
      </c>
      <c r="D485">
        <v>0.71047257900000005</v>
      </c>
      <c r="E485">
        <v>0.679994718</v>
      </c>
      <c r="F485" s="1" t="s">
        <v>134</v>
      </c>
      <c r="G485" s="1">
        <v>1.3877068560000001</v>
      </c>
      <c r="H485" s="1">
        <v>25.6</v>
      </c>
      <c r="I485" s="1">
        <v>42.3</v>
      </c>
      <c r="J485" s="1">
        <v>0.6811456296666667</v>
      </c>
      <c r="K485" s="1">
        <v>0.54695832700000002</v>
      </c>
      <c r="L485" s="1">
        <v>0.659790137</v>
      </c>
      <c r="M485" s="3">
        <v>0.70662085500000005</v>
      </c>
      <c r="N485" s="1" t="s">
        <v>54</v>
      </c>
      <c r="O485" s="1">
        <v>2.5053995680000001</v>
      </c>
      <c r="P485" s="1">
        <v>43.9</v>
      </c>
      <c r="Q485" s="1">
        <v>46.3</v>
      </c>
      <c r="R485" s="1">
        <v>0.63778977300000006</v>
      </c>
      <c r="S485" s="1">
        <v>0.12048256888665003</v>
      </c>
      <c r="T485" t="s">
        <v>632</v>
      </c>
      <c r="U485" s="1">
        <v>2897</v>
      </c>
      <c r="V485">
        <f t="shared" si="28"/>
        <v>0.38466094391152911</v>
      </c>
      <c r="W485" s="1">
        <f t="shared" si="29"/>
        <v>18.299999999999997</v>
      </c>
      <c r="X485">
        <f t="shared" si="30"/>
        <v>1.117692712</v>
      </c>
      <c r="Y485">
        <f t="shared" si="31"/>
        <v>4</v>
      </c>
      <c r="Z485" s="1">
        <v>1</v>
      </c>
      <c r="AA485">
        <v>99</v>
      </c>
      <c r="AB485">
        <v>1.01E-2</v>
      </c>
      <c r="AC485">
        <v>2</v>
      </c>
      <c r="AD485">
        <v>144</v>
      </c>
      <c r="AE485">
        <v>1.3899999999999999E-2</v>
      </c>
      <c r="AF485" t="s">
        <v>2591</v>
      </c>
      <c r="AG485" t="s">
        <v>2593</v>
      </c>
    </row>
    <row r="486" spans="1:33">
      <c r="A486" s="2" t="s">
        <v>133</v>
      </c>
      <c r="B486" s="2" t="s">
        <v>55</v>
      </c>
      <c r="C486" s="1">
        <v>0.65296959200000004</v>
      </c>
      <c r="D486">
        <v>0.71047257900000005</v>
      </c>
      <c r="E486">
        <v>0.679994718</v>
      </c>
      <c r="F486" s="1" t="s">
        <v>134</v>
      </c>
      <c r="G486" s="1">
        <v>1.3877068560000001</v>
      </c>
      <c r="H486" s="1">
        <v>25.6</v>
      </c>
      <c r="I486" s="1">
        <v>42.3</v>
      </c>
      <c r="J486" s="1">
        <v>0.6811456296666667</v>
      </c>
      <c r="K486" s="1">
        <v>0.52971861799999997</v>
      </c>
      <c r="L486" s="1">
        <v>0.62258244500000004</v>
      </c>
      <c r="M486" s="3">
        <v>0.63939760400000001</v>
      </c>
      <c r="N486" s="1" t="s">
        <v>56</v>
      </c>
      <c r="O486" s="1">
        <v>1.0796934869999999</v>
      </c>
      <c r="P486" s="1">
        <v>55.3</v>
      </c>
      <c r="Q486" s="1">
        <v>130.5</v>
      </c>
      <c r="R486" s="1">
        <v>0.59723288899999993</v>
      </c>
      <c r="S486" s="1">
        <v>0.15672780197404557</v>
      </c>
      <c r="T486" t="s">
        <v>633</v>
      </c>
      <c r="U486" s="1">
        <v>2012</v>
      </c>
      <c r="V486">
        <f t="shared" si="28"/>
        <v>0.36706977515376554</v>
      </c>
      <c r="W486" s="1">
        <f t="shared" si="29"/>
        <v>29.699999999999996</v>
      </c>
      <c r="X486">
        <f t="shared" si="30"/>
        <v>0.3080133690000002</v>
      </c>
      <c r="Y486">
        <f t="shared" si="31"/>
        <v>88.2</v>
      </c>
      <c r="Z486" s="1">
        <v>1</v>
      </c>
      <c r="AA486">
        <v>99</v>
      </c>
      <c r="AB486">
        <v>1.01E-2</v>
      </c>
      <c r="AC486">
        <v>2</v>
      </c>
      <c r="AD486">
        <v>136</v>
      </c>
      <c r="AE486">
        <v>1.47E-2</v>
      </c>
      <c r="AF486" t="s">
        <v>2591</v>
      </c>
      <c r="AG486" t="s">
        <v>2592</v>
      </c>
    </row>
    <row r="487" spans="1:33">
      <c r="A487" s="2" t="s">
        <v>133</v>
      </c>
      <c r="B487" s="2" t="s">
        <v>57</v>
      </c>
      <c r="C487" s="1">
        <v>0.65296959200000004</v>
      </c>
      <c r="D487">
        <v>0.71047257900000005</v>
      </c>
      <c r="E487">
        <v>0.679994718</v>
      </c>
      <c r="F487" s="1" t="s">
        <v>134</v>
      </c>
      <c r="G487" s="1">
        <v>1.3877068560000001</v>
      </c>
      <c r="H487" s="1">
        <v>25.6</v>
      </c>
      <c r="I487" s="1">
        <v>42.3</v>
      </c>
      <c r="J487" s="1">
        <v>0.6811456296666667</v>
      </c>
      <c r="K487" s="1">
        <v>0.528732855</v>
      </c>
      <c r="L487" s="1">
        <v>0.63387497599999998</v>
      </c>
      <c r="M487" s="3">
        <v>0.63337360200000004</v>
      </c>
      <c r="N487" s="1" t="s">
        <v>58</v>
      </c>
      <c r="O487" s="1">
        <v>1.386610879</v>
      </c>
      <c r="P487" s="1">
        <v>69</v>
      </c>
      <c r="Q487" s="1">
        <v>119.5</v>
      </c>
      <c r="R487" s="1">
        <v>0.59866047766666663</v>
      </c>
      <c r="S487" s="1">
        <v>0.15321712718504499</v>
      </c>
      <c r="T487" t="s">
        <v>634</v>
      </c>
      <c r="U487" s="1">
        <v>980</v>
      </c>
      <c r="V487">
        <f t="shared" si="28"/>
        <v>0.33235845285472165</v>
      </c>
      <c r="W487" s="1">
        <f t="shared" si="29"/>
        <v>43.4</v>
      </c>
      <c r="X487">
        <f t="shared" si="30"/>
        <v>1.0959770000000812E-3</v>
      </c>
      <c r="Y487">
        <f t="shared" si="31"/>
        <v>77.2</v>
      </c>
      <c r="Z487" s="1">
        <v>1</v>
      </c>
      <c r="AA487">
        <v>99</v>
      </c>
      <c r="AB487">
        <v>1.01E-2</v>
      </c>
      <c r="AC487">
        <v>2</v>
      </c>
      <c r="AD487">
        <v>142</v>
      </c>
      <c r="AE487">
        <v>1.41E-2</v>
      </c>
      <c r="AF487" t="s">
        <v>2591</v>
      </c>
      <c r="AG487" t="s">
        <v>2589</v>
      </c>
    </row>
    <row r="488" spans="1:33">
      <c r="A488" s="2" t="s">
        <v>133</v>
      </c>
      <c r="B488" s="2" t="s">
        <v>59</v>
      </c>
      <c r="C488" s="1">
        <v>0.65296959200000004</v>
      </c>
      <c r="D488">
        <v>0.71047257900000005</v>
      </c>
      <c r="E488">
        <v>0.679994718</v>
      </c>
      <c r="F488" s="1" t="s">
        <v>134</v>
      </c>
      <c r="G488" s="1">
        <v>1.3877068560000001</v>
      </c>
      <c r="H488" s="1">
        <v>25.6</v>
      </c>
      <c r="I488" s="1">
        <v>42.3</v>
      </c>
      <c r="J488" s="1">
        <v>0.6811456296666667</v>
      </c>
      <c r="K488" s="1">
        <v>0.56225432799999997</v>
      </c>
      <c r="L488" s="1">
        <v>0.68100706499999997</v>
      </c>
      <c r="M488" s="3">
        <v>0.67505263699999996</v>
      </c>
      <c r="N488" s="1" t="s">
        <v>60</v>
      </c>
      <c r="O488" s="1">
        <v>1.1501154730000001</v>
      </c>
      <c r="P488" s="1">
        <v>60.5</v>
      </c>
      <c r="Q488" s="1">
        <v>129.9</v>
      </c>
      <c r="R488" s="1">
        <v>0.63943801</v>
      </c>
      <c r="S488" s="1">
        <v>9.5508637318749728E-2</v>
      </c>
      <c r="T488" t="s">
        <v>635</v>
      </c>
      <c r="U488" s="1">
        <v>2052</v>
      </c>
      <c r="V488">
        <f t="shared" si="28"/>
        <v>0.36801970627108654</v>
      </c>
      <c r="W488" s="1">
        <f t="shared" si="29"/>
        <v>34.9</v>
      </c>
      <c r="X488">
        <f t="shared" si="30"/>
        <v>0.23759138300000004</v>
      </c>
      <c r="Y488">
        <f t="shared" si="31"/>
        <v>87.600000000000009</v>
      </c>
      <c r="Z488" s="1">
        <v>1</v>
      </c>
      <c r="AA488">
        <v>99</v>
      </c>
      <c r="AB488">
        <v>1.01E-2</v>
      </c>
      <c r="AC488">
        <v>2</v>
      </c>
      <c r="AD488">
        <v>161</v>
      </c>
      <c r="AE488">
        <v>1.24E-2</v>
      </c>
      <c r="AF488" t="s">
        <v>2591</v>
      </c>
      <c r="AG488" t="s">
        <v>2589</v>
      </c>
    </row>
    <row r="489" spans="1:33">
      <c r="A489" s="2" t="s">
        <v>133</v>
      </c>
      <c r="B489" s="2" t="s">
        <v>61</v>
      </c>
      <c r="C489" s="1">
        <v>0.65296959200000004</v>
      </c>
      <c r="D489">
        <v>0.71047257900000005</v>
      </c>
      <c r="E489">
        <v>0.679994718</v>
      </c>
      <c r="F489" s="1" t="s">
        <v>134</v>
      </c>
      <c r="G489" s="1">
        <v>1.3877068560000001</v>
      </c>
      <c r="H489" s="1">
        <v>25.6</v>
      </c>
      <c r="I489" s="1">
        <v>42.3</v>
      </c>
      <c r="J489" s="1">
        <v>0.6811456296666667</v>
      </c>
      <c r="K489" s="1">
        <v>0.62063455999999995</v>
      </c>
      <c r="L489" s="1">
        <v>0.67798104299999995</v>
      </c>
      <c r="M489" s="3">
        <v>0.72175371600000005</v>
      </c>
      <c r="N489" s="1" t="s">
        <v>62</v>
      </c>
      <c r="O489" s="1">
        <v>7.5471698109999998</v>
      </c>
      <c r="P489" s="1">
        <v>26.4</v>
      </c>
      <c r="Q489" s="1">
        <v>10.6</v>
      </c>
      <c r="R489" s="1">
        <v>0.6734564396666668</v>
      </c>
      <c r="S489" s="1">
        <v>6.2008613273031199E-2</v>
      </c>
      <c r="T489" t="s">
        <v>636</v>
      </c>
      <c r="U489" s="1">
        <v>1206</v>
      </c>
      <c r="V489">
        <f t="shared" si="28"/>
        <v>0.34237192308934805</v>
      </c>
      <c r="W489" s="1">
        <f t="shared" si="29"/>
        <v>0.79999999999999716</v>
      </c>
      <c r="X489">
        <f t="shared" si="30"/>
        <v>6.1594629549999995</v>
      </c>
      <c r="Y489">
        <f t="shared" si="31"/>
        <v>31.699999999999996</v>
      </c>
      <c r="Z489" s="1">
        <v>0</v>
      </c>
      <c r="AA489">
        <v>100</v>
      </c>
      <c r="AB489">
        <v>0</v>
      </c>
      <c r="AC489">
        <v>0</v>
      </c>
      <c r="AD489">
        <v>138</v>
      </c>
      <c r="AE489">
        <v>0</v>
      </c>
      <c r="AF489" t="s">
        <v>2591</v>
      </c>
      <c r="AG489" t="s">
        <v>2588</v>
      </c>
    </row>
    <row r="490" spans="1:33">
      <c r="A490" s="2" t="s">
        <v>133</v>
      </c>
      <c r="B490" s="2" t="s">
        <v>63</v>
      </c>
      <c r="C490" s="1">
        <v>0.65296959200000004</v>
      </c>
      <c r="D490">
        <v>0.71047257900000005</v>
      </c>
      <c r="E490">
        <v>0.679994718</v>
      </c>
      <c r="F490" s="1" t="s">
        <v>134</v>
      </c>
      <c r="G490" s="1">
        <v>1.3877068560000001</v>
      </c>
      <c r="H490" s="1">
        <v>25.6</v>
      </c>
      <c r="I490" s="1">
        <v>42.3</v>
      </c>
      <c r="J490" s="1">
        <v>0.6811456296666667</v>
      </c>
      <c r="K490" s="1">
        <v>0.44311141399999998</v>
      </c>
      <c r="L490" s="1">
        <v>0.57053969199999999</v>
      </c>
      <c r="M490" s="3">
        <v>0.59266330599999995</v>
      </c>
      <c r="N490" s="1" t="s">
        <v>64</v>
      </c>
      <c r="O490" s="1">
        <v>0.89618138400000003</v>
      </c>
      <c r="P490" s="1">
        <v>29.7</v>
      </c>
      <c r="Q490" s="1">
        <v>83.8</v>
      </c>
      <c r="R490" s="1">
        <v>0.53543813733333334</v>
      </c>
      <c r="S490" s="1">
        <v>0.26692404024281563</v>
      </c>
      <c r="T490" t="s">
        <v>637</v>
      </c>
      <c r="U490" s="1">
        <v>175</v>
      </c>
      <c r="V490">
        <f t="shared" si="28"/>
        <v>0.24922644985403272</v>
      </c>
      <c r="W490" s="1">
        <f t="shared" si="29"/>
        <v>4.0999999999999979</v>
      </c>
      <c r="X490">
        <f t="shared" si="30"/>
        <v>0.49152547200000007</v>
      </c>
      <c r="Y490">
        <f t="shared" si="31"/>
        <v>41.5</v>
      </c>
      <c r="Z490" s="1">
        <v>1</v>
      </c>
      <c r="AA490">
        <v>99</v>
      </c>
      <c r="AB490">
        <v>1.01E-2</v>
      </c>
      <c r="AC490">
        <v>2</v>
      </c>
      <c r="AD490">
        <v>143</v>
      </c>
      <c r="AE490">
        <v>1.4E-2</v>
      </c>
      <c r="AF490" t="s">
        <v>2591</v>
      </c>
      <c r="AG490" t="s">
        <v>2590</v>
      </c>
    </row>
    <row r="491" spans="1:33">
      <c r="A491" s="2" t="s">
        <v>133</v>
      </c>
      <c r="B491" s="2" t="s">
        <v>65</v>
      </c>
      <c r="C491" s="1">
        <v>0.65296959200000004</v>
      </c>
      <c r="D491">
        <v>0.71047257900000005</v>
      </c>
      <c r="E491">
        <v>0.679994718</v>
      </c>
      <c r="F491" s="1" t="s">
        <v>134</v>
      </c>
      <c r="G491" s="1">
        <v>1.3877068560000001</v>
      </c>
      <c r="H491" s="1">
        <v>25.6</v>
      </c>
      <c r="I491" s="1">
        <v>42.3</v>
      </c>
      <c r="J491" s="1">
        <v>0.6811456296666667</v>
      </c>
      <c r="K491" s="1">
        <v>0.67377447499999998</v>
      </c>
      <c r="L491" s="1">
        <v>0.69144672900000004</v>
      </c>
      <c r="M491" s="3">
        <v>0.73046409700000003</v>
      </c>
      <c r="N491" s="1" t="s">
        <v>66</v>
      </c>
      <c r="O491" s="1">
        <v>1.8507462690000001</v>
      </c>
      <c r="P491" s="1">
        <v>34.5</v>
      </c>
      <c r="Q491" s="1">
        <v>46.9</v>
      </c>
      <c r="R491" s="1">
        <v>0.69856176700000006</v>
      </c>
      <c r="S491" s="1">
        <v>5.7809898300479924E-2</v>
      </c>
      <c r="T491" t="s">
        <v>638</v>
      </c>
      <c r="U491" s="1">
        <v>1164</v>
      </c>
      <c r="V491">
        <f t="shared" si="28"/>
        <v>0.34066144225709666</v>
      </c>
      <c r="W491" s="1">
        <f t="shared" si="29"/>
        <v>8.8999999999999986</v>
      </c>
      <c r="X491">
        <f t="shared" si="30"/>
        <v>0.46303941299999996</v>
      </c>
      <c r="Y491">
        <f t="shared" si="31"/>
        <v>4.6000000000000014</v>
      </c>
      <c r="Z491" s="1">
        <v>0</v>
      </c>
      <c r="AA491">
        <v>100</v>
      </c>
      <c r="AB491">
        <v>0</v>
      </c>
      <c r="AC491">
        <v>0</v>
      </c>
      <c r="AD491">
        <v>127</v>
      </c>
      <c r="AE491">
        <v>0</v>
      </c>
      <c r="AF491" t="s">
        <v>2591</v>
      </c>
      <c r="AG491" t="s">
        <v>2593</v>
      </c>
    </row>
    <row r="492" spans="1:33">
      <c r="A492" s="2" t="s">
        <v>133</v>
      </c>
      <c r="B492" s="2" t="s">
        <v>67</v>
      </c>
      <c r="C492" s="1">
        <v>0.65296959200000004</v>
      </c>
      <c r="D492">
        <v>0.71047257900000005</v>
      </c>
      <c r="E492">
        <v>0.679994718</v>
      </c>
      <c r="F492" s="1" t="s">
        <v>134</v>
      </c>
      <c r="G492" s="1">
        <v>1.3877068560000001</v>
      </c>
      <c r="H492" s="1">
        <v>25.6</v>
      </c>
      <c r="I492" s="1">
        <v>42.3</v>
      </c>
      <c r="J492" s="1">
        <v>0.6811456296666667</v>
      </c>
      <c r="K492" s="1">
        <v>0.53971122199999999</v>
      </c>
      <c r="L492" s="1">
        <v>0.621203065</v>
      </c>
      <c r="M492" s="3">
        <v>0.67806811499999997</v>
      </c>
      <c r="N492" s="1" t="s">
        <v>68</v>
      </c>
      <c r="O492" s="1">
        <v>1.5131894480000001</v>
      </c>
      <c r="P492" s="1">
        <v>27.2</v>
      </c>
      <c r="Q492" s="1">
        <v>41.7</v>
      </c>
      <c r="R492" s="1">
        <v>0.61299413400000002</v>
      </c>
      <c r="S492" s="1">
        <v>0.14422280091571071</v>
      </c>
      <c r="T492" t="s">
        <v>639</v>
      </c>
      <c r="U492" s="1">
        <v>1613</v>
      </c>
      <c r="V492">
        <f t="shared" si="28"/>
        <v>0.35640381859877351</v>
      </c>
      <c r="W492" s="1">
        <f t="shared" si="29"/>
        <v>1.5999999999999979</v>
      </c>
      <c r="X492">
        <f t="shared" si="30"/>
        <v>0.125482592</v>
      </c>
      <c r="Y492">
        <f t="shared" si="31"/>
        <v>0.59999999999999432</v>
      </c>
      <c r="Z492" s="1">
        <v>1</v>
      </c>
      <c r="AA492">
        <v>99</v>
      </c>
      <c r="AB492">
        <v>1.01E-2</v>
      </c>
      <c r="AC492">
        <v>2</v>
      </c>
      <c r="AD492">
        <v>136</v>
      </c>
      <c r="AE492">
        <v>1.47E-2</v>
      </c>
      <c r="AF492" t="s">
        <v>2591</v>
      </c>
      <c r="AG492" t="s">
        <v>2588</v>
      </c>
    </row>
    <row r="493" spans="1:33">
      <c r="A493" s="2" t="s">
        <v>133</v>
      </c>
      <c r="B493" s="2" t="s">
        <v>69</v>
      </c>
      <c r="C493" s="1">
        <v>0.65296959200000004</v>
      </c>
      <c r="D493">
        <v>0.71047257900000005</v>
      </c>
      <c r="E493">
        <v>0.679994718</v>
      </c>
      <c r="F493" s="1" t="s">
        <v>134</v>
      </c>
      <c r="G493" s="1">
        <v>1.3877068560000001</v>
      </c>
      <c r="H493" s="1">
        <v>25.6</v>
      </c>
      <c r="I493" s="1">
        <v>42.3</v>
      </c>
      <c r="J493" s="1">
        <v>0.6811456296666667</v>
      </c>
      <c r="K493" s="1">
        <v>0.50188385300000005</v>
      </c>
      <c r="L493" s="1">
        <v>0.64580031500000001</v>
      </c>
      <c r="M493" s="3">
        <v>0.66006355800000005</v>
      </c>
      <c r="N493" s="1" t="s">
        <v>70</v>
      </c>
      <c r="O493" s="1">
        <v>1.2401055409999999</v>
      </c>
      <c r="P493" s="1">
        <v>43.4</v>
      </c>
      <c r="Q493" s="1">
        <v>75.8</v>
      </c>
      <c r="R493" s="1">
        <v>0.60258257533333337</v>
      </c>
      <c r="S493" s="1">
        <v>0.16554954967926497</v>
      </c>
      <c r="T493" t="s">
        <v>640</v>
      </c>
      <c r="U493" s="1">
        <v>358</v>
      </c>
      <c r="V493">
        <f t="shared" si="28"/>
        <v>0.28376478073820827</v>
      </c>
      <c r="W493" s="1">
        <f t="shared" si="29"/>
        <v>17.799999999999997</v>
      </c>
      <c r="X493">
        <f t="shared" si="30"/>
        <v>0.14760131500000018</v>
      </c>
      <c r="Y493">
        <f t="shared" si="31"/>
        <v>33.5</v>
      </c>
      <c r="Z493" s="1">
        <v>1</v>
      </c>
      <c r="AA493">
        <v>99</v>
      </c>
      <c r="AB493">
        <v>1.01E-2</v>
      </c>
      <c r="AC493">
        <v>2</v>
      </c>
      <c r="AD493">
        <v>143</v>
      </c>
      <c r="AE493">
        <v>1.4E-2</v>
      </c>
      <c r="AF493" t="s">
        <v>2591</v>
      </c>
      <c r="AG493" t="s">
        <v>2589</v>
      </c>
    </row>
    <row r="494" spans="1:33">
      <c r="A494" s="2" t="s">
        <v>133</v>
      </c>
      <c r="B494" s="2" t="s">
        <v>71</v>
      </c>
      <c r="C494" s="1">
        <v>0.65296959200000004</v>
      </c>
      <c r="D494">
        <v>0.71047257900000005</v>
      </c>
      <c r="E494">
        <v>0.679994718</v>
      </c>
      <c r="F494" s="1" t="s">
        <v>134</v>
      </c>
      <c r="G494" s="1">
        <v>1.3877068560000001</v>
      </c>
      <c r="H494" s="1">
        <v>25.6</v>
      </c>
      <c r="I494" s="1">
        <v>42.3</v>
      </c>
      <c r="J494" s="1">
        <v>0.6811456296666667</v>
      </c>
      <c r="K494" s="1">
        <v>0.53267569100000001</v>
      </c>
      <c r="L494" s="1">
        <v>0.64507433599999997</v>
      </c>
      <c r="M494" s="3">
        <v>0.66598465100000004</v>
      </c>
      <c r="N494" s="1" t="s">
        <v>72</v>
      </c>
      <c r="O494" s="1">
        <v>0.97289666900000005</v>
      </c>
      <c r="P494" s="1">
        <v>64.8</v>
      </c>
      <c r="Q494" s="1">
        <v>177.1</v>
      </c>
      <c r="R494" s="1">
        <v>0.61457822600000001</v>
      </c>
      <c r="S494" s="1">
        <v>0.13763660407983538</v>
      </c>
      <c r="T494" t="s">
        <v>641</v>
      </c>
      <c r="U494" s="1">
        <v>10773</v>
      </c>
      <c r="V494">
        <f t="shared" si="28"/>
        <v>0.44803740664952613</v>
      </c>
      <c r="W494" s="1">
        <f t="shared" si="29"/>
        <v>39.199999999999996</v>
      </c>
      <c r="X494">
        <f t="shared" si="30"/>
        <v>0.41481018700000005</v>
      </c>
      <c r="Y494">
        <f t="shared" si="31"/>
        <v>134.80000000000001</v>
      </c>
      <c r="Z494" s="1">
        <v>1</v>
      </c>
      <c r="AA494">
        <v>99</v>
      </c>
      <c r="AB494">
        <v>1.01E-2</v>
      </c>
      <c r="AC494">
        <v>2</v>
      </c>
      <c r="AD494">
        <v>154</v>
      </c>
      <c r="AE494">
        <v>1.2999999999999999E-2</v>
      </c>
      <c r="AF494" t="s">
        <v>2591</v>
      </c>
      <c r="AG494" t="s">
        <v>2589</v>
      </c>
    </row>
    <row r="495" spans="1:33">
      <c r="A495" s="2" t="s">
        <v>133</v>
      </c>
      <c r="B495" s="2" t="s">
        <v>73</v>
      </c>
      <c r="C495" s="1">
        <v>0.65296959200000004</v>
      </c>
      <c r="D495">
        <v>0.71047257900000005</v>
      </c>
      <c r="E495">
        <v>0.679994718</v>
      </c>
      <c r="F495" s="1" t="s">
        <v>134</v>
      </c>
      <c r="G495" s="1">
        <v>1.3877068560000001</v>
      </c>
      <c r="H495" s="1">
        <v>25.6</v>
      </c>
      <c r="I495" s="1">
        <v>42.3</v>
      </c>
      <c r="J495" s="1">
        <v>0.6811456296666667</v>
      </c>
      <c r="K495" s="1">
        <v>0.55697925299999995</v>
      </c>
      <c r="L495" s="1">
        <v>0.64461978399999997</v>
      </c>
      <c r="M495" s="3">
        <v>0.69570690000000002</v>
      </c>
      <c r="N495" s="1" t="s">
        <v>74</v>
      </c>
      <c r="O495" s="1">
        <v>1.23433584</v>
      </c>
      <c r="P495" s="1">
        <v>44</v>
      </c>
      <c r="Q495" s="1">
        <v>79.8</v>
      </c>
      <c r="R495" s="1">
        <v>0.63243531233333328</v>
      </c>
      <c r="S495" s="1">
        <v>0.11746322170725651</v>
      </c>
      <c r="T495" t="s">
        <v>642</v>
      </c>
      <c r="U495" s="1">
        <v>302</v>
      </c>
      <c r="V495">
        <f t="shared" si="28"/>
        <v>0.27555632699523896</v>
      </c>
      <c r="W495" s="1">
        <f t="shared" si="29"/>
        <v>18.399999999999999</v>
      </c>
      <c r="X495">
        <f t="shared" si="30"/>
        <v>0.15337101600000014</v>
      </c>
      <c r="Y495">
        <f t="shared" si="31"/>
        <v>37.5</v>
      </c>
      <c r="Z495" s="1">
        <v>1</v>
      </c>
      <c r="AA495">
        <v>99</v>
      </c>
      <c r="AB495">
        <v>1.01E-2</v>
      </c>
      <c r="AC495">
        <v>2</v>
      </c>
      <c r="AD495">
        <v>139</v>
      </c>
      <c r="AE495">
        <v>1.44E-2</v>
      </c>
      <c r="AF495" t="s">
        <v>2591</v>
      </c>
      <c r="AG495" t="s">
        <v>2589</v>
      </c>
    </row>
    <row r="496" spans="1:33">
      <c r="A496" s="2" t="s">
        <v>133</v>
      </c>
      <c r="B496" s="2" t="s">
        <v>75</v>
      </c>
      <c r="C496" s="1">
        <v>0.65296959200000004</v>
      </c>
      <c r="D496">
        <v>0.71047257900000005</v>
      </c>
      <c r="E496">
        <v>0.679994718</v>
      </c>
      <c r="F496" s="1" t="s">
        <v>134</v>
      </c>
      <c r="G496" s="1">
        <v>1.3877068560000001</v>
      </c>
      <c r="H496" s="1">
        <v>25.6</v>
      </c>
      <c r="I496" s="1">
        <v>42.3</v>
      </c>
      <c r="J496" s="1">
        <v>0.6811456296666667</v>
      </c>
      <c r="K496" s="1">
        <v>0.50354843500000002</v>
      </c>
      <c r="L496" s="1">
        <v>0.59724402499999996</v>
      </c>
      <c r="M496" s="3">
        <v>0.70308254199999998</v>
      </c>
      <c r="N496" s="1" t="s">
        <v>76</v>
      </c>
      <c r="O496" s="1">
        <v>1.2696850390000001</v>
      </c>
      <c r="P496" s="1">
        <v>26.6</v>
      </c>
      <c r="Q496" s="1">
        <v>50.8</v>
      </c>
      <c r="R496" s="1">
        <v>0.60129166733333339</v>
      </c>
      <c r="S496" s="1">
        <v>0.18889265527596505</v>
      </c>
      <c r="T496" t="s">
        <v>643</v>
      </c>
      <c r="U496" s="1">
        <v>633</v>
      </c>
      <c r="V496">
        <f t="shared" si="28"/>
        <v>0.31126707889081723</v>
      </c>
      <c r="W496" s="1">
        <f t="shared" si="29"/>
        <v>1</v>
      </c>
      <c r="X496">
        <f t="shared" si="30"/>
        <v>0.11802181700000003</v>
      </c>
      <c r="Y496">
        <f t="shared" si="31"/>
        <v>8.5</v>
      </c>
      <c r="Z496" s="1">
        <v>1</v>
      </c>
      <c r="AA496">
        <v>99</v>
      </c>
      <c r="AB496">
        <v>1.01E-2</v>
      </c>
      <c r="AC496">
        <v>2</v>
      </c>
      <c r="AD496">
        <v>139</v>
      </c>
      <c r="AE496">
        <v>1.44E-2</v>
      </c>
      <c r="AF496" t="s">
        <v>2591</v>
      </c>
      <c r="AG496" t="s">
        <v>2594</v>
      </c>
    </row>
    <row r="497" spans="1:33">
      <c r="A497" s="2" t="s">
        <v>133</v>
      </c>
      <c r="B497" s="2" t="s">
        <v>77</v>
      </c>
      <c r="C497" s="1">
        <v>0.65296959200000004</v>
      </c>
      <c r="D497">
        <v>0.71047257900000005</v>
      </c>
      <c r="E497">
        <v>0.679994718</v>
      </c>
      <c r="F497" s="1" t="s">
        <v>134</v>
      </c>
      <c r="G497" s="1">
        <v>1.3877068560000001</v>
      </c>
      <c r="H497" s="1">
        <v>25.6</v>
      </c>
      <c r="I497" s="1">
        <v>42.3</v>
      </c>
      <c r="J497" s="1">
        <v>0.6811456296666667</v>
      </c>
      <c r="K497" s="1">
        <v>0.54630843299999998</v>
      </c>
      <c r="L497" s="1">
        <v>0.68935555900000001</v>
      </c>
      <c r="M497" s="3">
        <v>0.65478744899999997</v>
      </c>
      <c r="N497" s="1" t="s">
        <v>78</v>
      </c>
      <c r="O497" s="1">
        <v>1.3914285710000001</v>
      </c>
      <c r="P497" s="1">
        <v>56.5</v>
      </c>
      <c r="Q497" s="1">
        <v>105</v>
      </c>
      <c r="R497" s="1">
        <v>0.63015048033333343</v>
      </c>
      <c r="S497" s="1">
        <v>0.11161513241197207</v>
      </c>
      <c r="T497" t="s">
        <v>644</v>
      </c>
      <c r="U497" s="1">
        <v>426</v>
      </c>
      <c r="V497">
        <f t="shared" si="28"/>
        <v>0.2921566221225243</v>
      </c>
      <c r="W497" s="1">
        <f t="shared" si="29"/>
        <v>30.9</v>
      </c>
      <c r="X497">
        <f t="shared" si="30"/>
        <v>3.7217149999999588E-3</v>
      </c>
      <c r="Y497">
        <f t="shared" si="31"/>
        <v>62.7</v>
      </c>
      <c r="Z497" s="1">
        <v>1</v>
      </c>
      <c r="AA497">
        <v>99</v>
      </c>
      <c r="AB497">
        <v>1.01E-2</v>
      </c>
      <c r="AC497">
        <v>2</v>
      </c>
      <c r="AD497">
        <v>128</v>
      </c>
      <c r="AE497">
        <v>1.5599999999999999E-2</v>
      </c>
      <c r="AF497" t="s">
        <v>2591</v>
      </c>
      <c r="AG497" t="s">
        <v>2590</v>
      </c>
    </row>
    <row r="498" spans="1:33">
      <c r="A498" s="2" t="s">
        <v>133</v>
      </c>
      <c r="B498" s="2" t="s">
        <v>79</v>
      </c>
      <c r="C498" s="1">
        <v>0.65296959200000004</v>
      </c>
      <c r="D498">
        <v>0.71047257900000005</v>
      </c>
      <c r="E498">
        <v>0.679994718</v>
      </c>
      <c r="F498" s="1" t="s">
        <v>134</v>
      </c>
      <c r="G498" s="1">
        <v>1.3877068560000001</v>
      </c>
      <c r="H498" s="1">
        <v>25.6</v>
      </c>
      <c r="I498" s="1">
        <v>42.3</v>
      </c>
      <c r="J498" s="1">
        <v>0.6811456296666667</v>
      </c>
      <c r="K498" s="1">
        <v>0.63652882899999996</v>
      </c>
      <c r="L498" s="1">
        <v>0.77536518600000004</v>
      </c>
      <c r="M498" s="3">
        <v>0.610415606</v>
      </c>
      <c r="N498" s="1" t="s">
        <v>80</v>
      </c>
      <c r="O498" s="1">
        <v>0.95325542600000002</v>
      </c>
      <c r="P498" s="1">
        <v>45.6</v>
      </c>
      <c r="Q498" s="1">
        <v>119.8</v>
      </c>
      <c r="R498" s="1">
        <v>0.67410320700000004</v>
      </c>
      <c r="S498" s="1">
        <v>9.6553622189885571E-2</v>
      </c>
      <c r="T498" t="s">
        <v>645</v>
      </c>
      <c r="U498" s="1">
        <v>3062</v>
      </c>
      <c r="V498">
        <f t="shared" si="28"/>
        <v>0.38733390959580466</v>
      </c>
      <c r="W498" s="1">
        <f t="shared" si="29"/>
        <v>20</v>
      </c>
      <c r="X498">
        <f t="shared" si="30"/>
        <v>0.43445143000000008</v>
      </c>
      <c r="Y498">
        <f t="shared" si="31"/>
        <v>77.5</v>
      </c>
      <c r="Z498" s="1">
        <v>0</v>
      </c>
      <c r="AA498">
        <v>100</v>
      </c>
      <c r="AB498">
        <v>0</v>
      </c>
      <c r="AC498">
        <v>1</v>
      </c>
      <c r="AD498">
        <v>120</v>
      </c>
      <c r="AE498">
        <v>8.3000000000000001E-3</v>
      </c>
      <c r="AF498" t="s">
        <v>2591</v>
      </c>
      <c r="AG498" t="s">
        <v>2590</v>
      </c>
    </row>
    <row r="499" spans="1:33">
      <c r="A499" s="2" t="s">
        <v>133</v>
      </c>
      <c r="B499" s="2" t="s">
        <v>81</v>
      </c>
      <c r="C499" s="1">
        <v>0.65296959200000004</v>
      </c>
      <c r="D499">
        <v>0.71047257900000005</v>
      </c>
      <c r="E499">
        <v>0.679994718</v>
      </c>
      <c r="F499" s="1" t="s">
        <v>134</v>
      </c>
      <c r="G499" s="1">
        <v>1.3877068560000001</v>
      </c>
      <c r="H499" s="1">
        <v>25.6</v>
      </c>
      <c r="I499" s="1">
        <v>42.3</v>
      </c>
      <c r="J499" s="1">
        <v>0.6811456296666667</v>
      </c>
      <c r="K499" s="1">
        <v>0.50183280699999999</v>
      </c>
      <c r="L499" s="1">
        <v>0.68550824600000004</v>
      </c>
      <c r="M499" s="3">
        <v>0.66941488999999998</v>
      </c>
      <c r="N499" s="1" t="s">
        <v>82</v>
      </c>
      <c r="O499" s="1">
        <v>1.4359576970000001</v>
      </c>
      <c r="P499" s="1">
        <v>51</v>
      </c>
      <c r="Q499" s="1">
        <v>85.1</v>
      </c>
      <c r="R499" s="1">
        <v>0.61891864766666671</v>
      </c>
      <c r="S499" s="1">
        <v>0.15354959610100155</v>
      </c>
      <c r="T499" t="s">
        <v>646</v>
      </c>
      <c r="U499" s="1">
        <v>2990</v>
      </c>
      <c r="V499">
        <f t="shared" si="28"/>
        <v>0.38618568759160327</v>
      </c>
      <c r="W499" s="1">
        <f t="shared" si="29"/>
        <v>25.4</v>
      </c>
      <c r="X499">
        <f t="shared" si="30"/>
        <v>4.8250840999999989E-2</v>
      </c>
      <c r="Y499">
        <f t="shared" si="31"/>
        <v>42.8</v>
      </c>
      <c r="Z499" s="1">
        <v>0</v>
      </c>
      <c r="AA499">
        <v>100</v>
      </c>
      <c r="AB499">
        <v>0</v>
      </c>
      <c r="AC499">
        <v>0</v>
      </c>
      <c r="AD499">
        <v>132</v>
      </c>
      <c r="AE499">
        <v>0</v>
      </c>
      <c r="AF499" t="s">
        <v>2591</v>
      </c>
      <c r="AG499" t="s">
        <v>2589</v>
      </c>
    </row>
    <row r="500" spans="1:33">
      <c r="A500" s="2" t="s">
        <v>133</v>
      </c>
      <c r="B500" s="2" t="s">
        <v>83</v>
      </c>
      <c r="C500" s="1">
        <v>0.65296959200000004</v>
      </c>
      <c r="D500">
        <v>0.71047257900000005</v>
      </c>
      <c r="E500">
        <v>0.679994718</v>
      </c>
      <c r="F500" s="1" t="s">
        <v>134</v>
      </c>
      <c r="G500" s="1">
        <v>1.3877068560000001</v>
      </c>
      <c r="H500" s="1">
        <v>25.6</v>
      </c>
      <c r="I500" s="1">
        <v>42.3</v>
      </c>
      <c r="J500" s="1">
        <v>0.6811456296666667</v>
      </c>
      <c r="K500" s="1">
        <v>0.51815179099999997</v>
      </c>
      <c r="L500" s="1">
        <v>0.50115949400000004</v>
      </c>
      <c r="M500" s="3">
        <v>0.68053170600000001</v>
      </c>
      <c r="N500" s="1" t="s">
        <v>84</v>
      </c>
      <c r="O500" s="1">
        <v>1.760323887</v>
      </c>
      <c r="P500" s="1">
        <v>83.4</v>
      </c>
      <c r="Q500" s="1">
        <v>123.5</v>
      </c>
      <c r="R500" s="1">
        <v>0.56661433033333342</v>
      </c>
      <c r="S500" s="1">
        <v>0.24897408574951127</v>
      </c>
      <c r="T500" t="s">
        <v>647</v>
      </c>
      <c r="U500" s="1">
        <v>1182</v>
      </c>
      <c r="V500">
        <f t="shared" si="28"/>
        <v>0.34140194183835965</v>
      </c>
      <c r="W500" s="1">
        <f t="shared" si="29"/>
        <v>57.800000000000004</v>
      </c>
      <c r="X500">
        <f t="shared" si="30"/>
        <v>0.37261703099999988</v>
      </c>
      <c r="Y500">
        <f t="shared" si="31"/>
        <v>81.2</v>
      </c>
      <c r="Z500" s="1">
        <v>1</v>
      </c>
      <c r="AA500">
        <v>99</v>
      </c>
      <c r="AB500">
        <v>1.01E-2</v>
      </c>
      <c r="AC500">
        <v>2</v>
      </c>
      <c r="AD500">
        <v>125</v>
      </c>
      <c r="AE500">
        <v>1.6E-2</v>
      </c>
      <c r="AF500" t="s">
        <v>2591</v>
      </c>
      <c r="AG500" t="s">
        <v>2589</v>
      </c>
    </row>
    <row r="501" spans="1:33">
      <c r="A501" s="2" t="s">
        <v>133</v>
      </c>
      <c r="B501" s="2" t="s">
        <v>85</v>
      </c>
      <c r="C501" s="1">
        <v>0.65296959200000004</v>
      </c>
      <c r="D501">
        <v>0.71047257900000005</v>
      </c>
      <c r="E501">
        <v>0.679994718</v>
      </c>
      <c r="F501" s="1" t="s">
        <v>134</v>
      </c>
      <c r="G501" s="1">
        <v>1.3877068560000001</v>
      </c>
      <c r="H501" s="1">
        <v>25.6</v>
      </c>
      <c r="I501" s="1">
        <v>42.3</v>
      </c>
      <c r="J501" s="1">
        <v>0.6811456296666667</v>
      </c>
      <c r="K501" s="1">
        <v>0.522280945</v>
      </c>
      <c r="L501" s="1">
        <v>0.58016629799999997</v>
      </c>
      <c r="M501" s="3">
        <v>0.62446713499999995</v>
      </c>
      <c r="N501" s="1" t="s">
        <v>86</v>
      </c>
      <c r="O501" s="1">
        <v>0.57177615599999998</v>
      </c>
      <c r="P501" s="1">
        <v>19.5</v>
      </c>
      <c r="Q501" s="1">
        <v>82.2</v>
      </c>
      <c r="R501" s="1">
        <v>0.57563812599999997</v>
      </c>
      <c r="S501" s="1">
        <v>0.19272405609202889</v>
      </c>
      <c r="T501" t="s">
        <v>648</v>
      </c>
      <c r="U501" s="1">
        <v>186</v>
      </c>
      <c r="V501">
        <f t="shared" si="28"/>
        <v>0.25216810491310182</v>
      </c>
      <c r="W501" s="1">
        <f t="shared" si="29"/>
        <v>6.1000000000000014</v>
      </c>
      <c r="X501">
        <f t="shared" si="30"/>
        <v>0.81593070000000012</v>
      </c>
      <c r="Y501">
        <f t="shared" si="31"/>
        <v>39.900000000000006</v>
      </c>
      <c r="Z501" s="1">
        <v>1</v>
      </c>
      <c r="AA501">
        <v>99</v>
      </c>
      <c r="AB501">
        <v>1.01E-2</v>
      </c>
      <c r="AC501">
        <v>2</v>
      </c>
      <c r="AD501">
        <v>190</v>
      </c>
      <c r="AE501">
        <v>1.0500000000000001E-2</v>
      </c>
      <c r="AF501" t="s">
        <v>2591</v>
      </c>
      <c r="AG501" t="s">
        <v>2590</v>
      </c>
    </row>
    <row r="502" spans="1:33">
      <c r="A502" s="2" t="s">
        <v>133</v>
      </c>
      <c r="B502" s="2" t="s">
        <v>87</v>
      </c>
      <c r="C502" s="1">
        <v>0.65296959200000004</v>
      </c>
      <c r="D502">
        <v>0.71047257900000005</v>
      </c>
      <c r="E502">
        <v>0.679994718</v>
      </c>
      <c r="F502" s="1" t="s">
        <v>134</v>
      </c>
      <c r="G502" s="1">
        <v>1.3877068560000001</v>
      </c>
      <c r="H502" s="1">
        <v>25.6</v>
      </c>
      <c r="I502" s="1">
        <v>42.3</v>
      </c>
      <c r="J502" s="1">
        <v>0.6811456296666667</v>
      </c>
      <c r="K502" s="1">
        <v>0.46780425199999998</v>
      </c>
      <c r="L502" s="1">
        <v>0.54149707400000002</v>
      </c>
      <c r="M502" s="3">
        <v>0.61626236400000001</v>
      </c>
      <c r="N502" s="1" t="s">
        <v>88</v>
      </c>
      <c r="O502" s="1">
        <v>1.395454545</v>
      </c>
      <c r="P502" s="1">
        <v>65.2</v>
      </c>
      <c r="Q502" s="1">
        <v>110</v>
      </c>
      <c r="R502" s="1">
        <v>0.54185456333333337</v>
      </c>
      <c r="S502" s="1">
        <v>0.25865176854934119</v>
      </c>
      <c r="T502" t="s">
        <v>649</v>
      </c>
      <c r="U502" s="1">
        <v>1302</v>
      </c>
      <c r="V502">
        <f t="shared" si="28"/>
        <v>0.34606788713690811</v>
      </c>
      <c r="W502" s="1">
        <f t="shared" si="29"/>
        <v>39.6</v>
      </c>
      <c r="X502">
        <f t="shared" si="30"/>
        <v>7.747688999999891E-3</v>
      </c>
      <c r="Y502">
        <f t="shared" si="31"/>
        <v>67.7</v>
      </c>
      <c r="Z502" s="1">
        <v>1</v>
      </c>
      <c r="AA502">
        <v>99</v>
      </c>
      <c r="AB502">
        <v>1.01E-2</v>
      </c>
      <c r="AC502">
        <v>2</v>
      </c>
      <c r="AD502">
        <v>123</v>
      </c>
      <c r="AE502">
        <v>1.6299999999999999E-2</v>
      </c>
      <c r="AF502" t="s">
        <v>2591</v>
      </c>
      <c r="AG502" t="s">
        <v>2590</v>
      </c>
    </row>
    <row r="503" spans="1:33">
      <c r="A503" s="2" t="s">
        <v>133</v>
      </c>
      <c r="B503" s="2" t="s">
        <v>89</v>
      </c>
      <c r="C503" s="1">
        <v>0.65296959200000004</v>
      </c>
      <c r="D503">
        <v>0.71047257900000005</v>
      </c>
      <c r="E503">
        <v>0.679994718</v>
      </c>
      <c r="F503" s="1" t="s">
        <v>134</v>
      </c>
      <c r="G503" s="1">
        <v>1.3877068560000001</v>
      </c>
      <c r="H503" s="1">
        <v>25.6</v>
      </c>
      <c r="I503" s="1">
        <v>42.3</v>
      </c>
      <c r="J503" s="1">
        <v>0.6811456296666667</v>
      </c>
      <c r="K503" s="1">
        <v>0.51097051500000001</v>
      </c>
      <c r="L503" s="1">
        <v>0.61917891400000002</v>
      </c>
      <c r="M503" s="3">
        <v>0.60984479800000002</v>
      </c>
      <c r="N503" s="1" t="s">
        <v>90</v>
      </c>
      <c r="O503" s="1">
        <v>1.429752066</v>
      </c>
      <c r="P503" s="1">
        <v>59.8</v>
      </c>
      <c r="Q503" s="1">
        <v>108.9</v>
      </c>
      <c r="R503" s="1">
        <v>0.57999807566666661</v>
      </c>
      <c r="S503" s="1">
        <v>0.1828094155507056</v>
      </c>
      <c r="T503" t="s">
        <v>650</v>
      </c>
      <c r="U503" s="1">
        <v>17934</v>
      </c>
      <c r="V503">
        <f t="shared" si="28"/>
        <v>0.47263079615810266</v>
      </c>
      <c r="W503" s="1">
        <f t="shared" si="29"/>
        <v>34.199999999999996</v>
      </c>
      <c r="X503">
        <f t="shared" si="30"/>
        <v>4.2045209999999944E-2</v>
      </c>
      <c r="Y503">
        <f t="shared" si="31"/>
        <v>66.600000000000009</v>
      </c>
      <c r="Z503" s="1">
        <v>1</v>
      </c>
      <c r="AA503">
        <v>99</v>
      </c>
      <c r="AB503">
        <v>1.01E-2</v>
      </c>
      <c r="AC503">
        <v>2</v>
      </c>
      <c r="AD503">
        <v>132</v>
      </c>
      <c r="AE503">
        <v>1.52E-2</v>
      </c>
      <c r="AF503" t="s">
        <v>2591</v>
      </c>
      <c r="AG503" t="s">
        <v>2589</v>
      </c>
    </row>
    <row r="504" spans="1:33">
      <c r="A504" s="2" t="s">
        <v>133</v>
      </c>
      <c r="B504" s="2" t="s">
        <v>91</v>
      </c>
      <c r="C504" s="1">
        <v>0.65296959200000004</v>
      </c>
      <c r="D504">
        <v>0.71047257900000005</v>
      </c>
      <c r="E504">
        <v>0.679994718</v>
      </c>
      <c r="F504" s="1" t="s">
        <v>134</v>
      </c>
      <c r="G504" s="1">
        <v>1.3877068560000001</v>
      </c>
      <c r="H504" s="1">
        <v>25.6</v>
      </c>
      <c r="I504" s="1">
        <v>42.3</v>
      </c>
      <c r="J504" s="1">
        <v>0.6811456296666667</v>
      </c>
      <c r="K504" s="1">
        <v>0.37439919700000002</v>
      </c>
      <c r="L504" s="1">
        <v>0.508839347</v>
      </c>
      <c r="M504" s="3">
        <v>0.52701193599999996</v>
      </c>
      <c r="N504" s="1" t="s">
        <v>92</v>
      </c>
      <c r="O504" s="1">
        <v>1.911504425</v>
      </c>
      <c r="P504" s="1">
        <v>24.6</v>
      </c>
      <c r="Q504" s="1">
        <v>33.9</v>
      </c>
      <c r="R504" s="1">
        <v>0.47008349333333332</v>
      </c>
      <c r="S504" s="1">
        <v>0.37637900686101161</v>
      </c>
      <c r="T504" t="s">
        <v>651</v>
      </c>
      <c r="U504" s="1">
        <v>454</v>
      </c>
      <c r="V504">
        <f t="shared" si="28"/>
        <v>0.29522842809523375</v>
      </c>
      <c r="W504" s="1">
        <f t="shared" si="29"/>
        <v>1</v>
      </c>
      <c r="X504">
        <f t="shared" si="30"/>
        <v>0.52379756899999985</v>
      </c>
      <c r="Y504">
        <f t="shared" si="31"/>
        <v>8.3999999999999986</v>
      </c>
      <c r="Z504" s="1">
        <v>1</v>
      </c>
      <c r="AA504">
        <v>99</v>
      </c>
      <c r="AB504">
        <v>1.01E-2</v>
      </c>
      <c r="AC504">
        <v>2</v>
      </c>
      <c r="AD504">
        <v>139</v>
      </c>
      <c r="AE504">
        <v>1.44E-2</v>
      </c>
      <c r="AF504" t="s">
        <v>2591</v>
      </c>
      <c r="AG504" t="s">
        <v>2590</v>
      </c>
    </row>
    <row r="505" spans="1:33">
      <c r="A505" s="2" t="s">
        <v>133</v>
      </c>
      <c r="B505" s="2" t="s">
        <v>93</v>
      </c>
      <c r="C505" s="1">
        <v>0.65296959200000004</v>
      </c>
      <c r="D505">
        <v>0.71047257900000005</v>
      </c>
      <c r="E505">
        <v>0.679994718</v>
      </c>
      <c r="F505" s="1" t="s">
        <v>134</v>
      </c>
      <c r="G505" s="1">
        <v>1.3877068560000001</v>
      </c>
      <c r="H505" s="1">
        <v>25.6</v>
      </c>
      <c r="I505" s="1">
        <v>42.3</v>
      </c>
      <c r="J505" s="1">
        <v>0.6811456296666667</v>
      </c>
      <c r="K505" s="1">
        <v>0.54134617200000001</v>
      </c>
      <c r="L505" s="1">
        <v>0.674899633</v>
      </c>
      <c r="M505" s="3">
        <v>0.719840174</v>
      </c>
      <c r="N505" s="1" t="s">
        <v>94</v>
      </c>
      <c r="O505" s="1">
        <v>1.175388967</v>
      </c>
      <c r="P505" s="1">
        <v>36.6</v>
      </c>
      <c r="Q505" s="1">
        <v>70.7</v>
      </c>
      <c r="R505" s="1">
        <v>0.64536199299999997</v>
      </c>
      <c r="S505" s="1">
        <v>0.12374523321511524</v>
      </c>
      <c r="T505" t="s">
        <v>652</v>
      </c>
      <c r="U505" s="1">
        <v>366</v>
      </c>
      <c r="V505">
        <f t="shared" si="28"/>
        <v>0.28483123171049007</v>
      </c>
      <c r="W505" s="1">
        <f t="shared" si="29"/>
        <v>11</v>
      </c>
      <c r="X505">
        <f t="shared" si="30"/>
        <v>0.21231788900000015</v>
      </c>
      <c r="Y505">
        <f t="shared" si="31"/>
        <v>28.400000000000006</v>
      </c>
      <c r="Z505" s="1">
        <v>1</v>
      </c>
      <c r="AA505">
        <v>99</v>
      </c>
      <c r="AB505">
        <v>1.01E-2</v>
      </c>
      <c r="AC505">
        <v>2</v>
      </c>
      <c r="AD505">
        <v>130</v>
      </c>
      <c r="AE505">
        <v>1.54E-2</v>
      </c>
      <c r="AF505" t="s">
        <v>2591</v>
      </c>
      <c r="AG505" t="s">
        <v>2589</v>
      </c>
    </row>
    <row r="506" spans="1:33">
      <c r="A506" s="2" t="s">
        <v>133</v>
      </c>
      <c r="B506" s="2" t="s">
        <v>95</v>
      </c>
      <c r="C506" s="1">
        <v>0.65296959200000004</v>
      </c>
      <c r="D506">
        <v>0.71047257900000005</v>
      </c>
      <c r="E506">
        <v>0.679994718</v>
      </c>
      <c r="F506" s="1" t="s">
        <v>134</v>
      </c>
      <c r="G506" s="1">
        <v>1.3877068560000001</v>
      </c>
      <c r="H506" s="1">
        <v>25.6</v>
      </c>
      <c r="I506" s="1">
        <v>42.3</v>
      </c>
      <c r="J506" s="1">
        <v>0.6811456296666667</v>
      </c>
      <c r="K506" s="1">
        <v>0.59462093100000002</v>
      </c>
      <c r="L506" s="1">
        <v>0.68038960500000001</v>
      </c>
      <c r="M506" s="3">
        <v>0.72533004899999998</v>
      </c>
      <c r="N506" s="1" t="s">
        <v>96</v>
      </c>
      <c r="O506" s="1">
        <v>1.9717647060000001</v>
      </c>
      <c r="P506" s="1">
        <v>34.6</v>
      </c>
      <c r="Q506" s="1">
        <v>42.5</v>
      </c>
      <c r="R506" s="1">
        <v>0.66678019499999996</v>
      </c>
      <c r="S506" s="1">
        <v>7.9779971183606982E-2</v>
      </c>
      <c r="T506" t="s">
        <v>653</v>
      </c>
      <c r="U506" s="1">
        <v>1506</v>
      </c>
      <c r="V506">
        <f t="shared" si="28"/>
        <v>0.35309166354052018</v>
      </c>
      <c r="W506" s="1">
        <f t="shared" si="29"/>
        <v>9</v>
      </c>
      <c r="X506">
        <f t="shared" si="30"/>
        <v>0.58405784999999999</v>
      </c>
      <c r="Y506">
        <f t="shared" si="31"/>
        <v>0.20000000000000284</v>
      </c>
      <c r="Z506" s="1">
        <v>0</v>
      </c>
      <c r="AA506">
        <v>100</v>
      </c>
      <c r="AB506">
        <v>0</v>
      </c>
      <c r="AC506">
        <v>0</v>
      </c>
      <c r="AD506">
        <v>138</v>
      </c>
      <c r="AE506">
        <v>0</v>
      </c>
      <c r="AF506" t="s">
        <v>2591</v>
      </c>
      <c r="AG506" t="s">
        <v>2593</v>
      </c>
    </row>
    <row r="507" spans="1:33">
      <c r="A507" s="2" t="s">
        <v>133</v>
      </c>
      <c r="B507" s="2" t="s">
        <v>97</v>
      </c>
      <c r="C507" s="1">
        <v>0.65296959200000004</v>
      </c>
      <c r="D507">
        <v>0.71047257900000005</v>
      </c>
      <c r="E507">
        <v>0.679994718</v>
      </c>
      <c r="F507" s="1" t="s">
        <v>134</v>
      </c>
      <c r="G507" s="1">
        <v>1.3877068560000001</v>
      </c>
      <c r="H507" s="1">
        <v>25.6</v>
      </c>
      <c r="I507" s="1">
        <v>42.3</v>
      </c>
      <c r="J507" s="1">
        <v>0.6811456296666667</v>
      </c>
      <c r="K507" s="1">
        <v>0.63674842300000001</v>
      </c>
      <c r="L507" s="1">
        <v>0.68532635500000005</v>
      </c>
      <c r="M507" s="3">
        <v>0.727031494</v>
      </c>
      <c r="N507" s="1" t="s">
        <v>98</v>
      </c>
      <c r="O507" s="1">
        <v>2.360103627</v>
      </c>
      <c r="P507" s="1">
        <v>36.799999999999997</v>
      </c>
      <c r="Q507" s="1">
        <v>38.6</v>
      </c>
      <c r="R507" s="1">
        <v>0.68303542400000017</v>
      </c>
      <c r="S507" s="1">
        <v>5.574869686063446E-2</v>
      </c>
      <c r="T507" t="s">
        <v>654</v>
      </c>
      <c r="U507" s="1">
        <v>1088</v>
      </c>
      <c r="V507">
        <f t="shared" si="28"/>
        <v>0.3374032105957957</v>
      </c>
      <c r="W507" s="1">
        <f t="shared" si="29"/>
        <v>11.199999999999996</v>
      </c>
      <c r="X507">
        <f t="shared" si="30"/>
        <v>0.97239677099999988</v>
      </c>
      <c r="Y507">
        <f t="shared" si="31"/>
        <v>3.6999999999999957</v>
      </c>
      <c r="Z507" s="1">
        <v>0</v>
      </c>
      <c r="AA507">
        <v>100</v>
      </c>
      <c r="AB507">
        <v>0</v>
      </c>
      <c r="AC507">
        <v>0</v>
      </c>
      <c r="AD507">
        <v>138</v>
      </c>
      <c r="AE507">
        <v>0</v>
      </c>
      <c r="AF507" t="s">
        <v>2591</v>
      </c>
      <c r="AG507" t="s">
        <v>2593</v>
      </c>
    </row>
    <row r="508" spans="1:33">
      <c r="A508" s="2" t="s">
        <v>133</v>
      </c>
      <c r="B508" s="2" t="s">
        <v>99</v>
      </c>
      <c r="C508" s="1">
        <v>0.65296959200000004</v>
      </c>
      <c r="D508">
        <v>0.71047257900000005</v>
      </c>
      <c r="E508">
        <v>0.679994718</v>
      </c>
      <c r="F508" s="1" t="s">
        <v>134</v>
      </c>
      <c r="G508" s="1">
        <v>1.3877068560000001</v>
      </c>
      <c r="H508" s="1">
        <v>25.6</v>
      </c>
      <c r="I508" s="1">
        <v>42.3</v>
      </c>
      <c r="J508" s="1">
        <v>0.6811456296666667</v>
      </c>
      <c r="K508" s="1">
        <v>0.52525630099999998</v>
      </c>
      <c r="L508" s="1">
        <v>0.68706170200000005</v>
      </c>
      <c r="M508" s="3">
        <v>0.71473597300000002</v>
      </c>
      <c r="N508" s="1" t="s">
        <v>100</v>
      </c>
      <c r="O508" s="1">
        <v>1.72605042</v>
      </c>
      <c r="P508" s="1">
        <v>46.5</v>
      </c>
      <c r="Q508" s="1">
        <v>59.5</v>
      </c>
      <c r="R508" s="1">
        <v>0.64235132533333339</v>
      </c>
      <c r="S508" s="1">
        <v>0.13440873728643854</v>
      </c>
      <c r="T508" t="s">
        <v>655</v>
      </c>
      <c r="U508" s="1">
        <v>686</v>
      </c>
      <c r="V508">
        <f t="shared" si="28"/>
        <v>0.31514712396741684</v>
      </c>
      <c r="W508" s="1">
        <f t="shared" si="29"/>
        <v>20.9</v>
      </c>
      <c r="X508">
        <f t="shared" si="30"/>
        <v>0.33834356399999987</v>
      </c>
      <c r="Y508">
        <f t="shared" si="31"/>
        <v>17.200000000000003</v>
      </c>
      <c r="Z508" s="1">
        <v>0</v>
      </c>
      <c r="AA508">
        <v>100</v>
      </c>
      <c r="AB508">
        <v>0</v>
      </c>
      <c r="AC508">
        <v>0</v>
      </c>
      <c r="AD508">
        <v>140</v>
      </c>
      <c r="AE508">
        <v>0</v>
      </c>
      <c r="AF508" t="s">
        <v>2591</v>
      </c>
      <c r="AG508" t="s">
        <v>2589</v>
      </c>
    </row>
    <row r="509" spans="1:33">
      <c r="A509" s="2" t="s">
        <v>133</v>
      </c>
      <c r="B509" s="2" t="s">
        <v>148</v>
      </c>
      <c r="C509" s="1">
        <v>0.65296959200000004</v>
      </c>
      <c r="D509">
        <v>0.71047257900000005</v>
      </c>
      <c r="E509">
        <v>0.679994718</v>
      </c>
      <c r="F509" s="1" t="s">
        <v>134</v>
      </c>
      <c r="G509" s="1">
        <v>1.3877068560000001</v>
      </c>
      <c r="H509" s="1">
        <v>25.6</v>
      </c>
      <c r="I509" s="1">
        <v>42.3</v>
      </c>
      <c r="J509" s="1">
        <v>0.6811456296666667</v>
      </c>
      <c r="K509" s="1">
        <v>0.52246277500000005</v>
      </c>
      <c r="L509" s="1">
        <v>0.64036274199999998</v>
      </c>
      <c r="M509" s="3">
        <v>0.62317592099999997</v>
      </c>
      <c r="N509" s="1" t="s">
        <v>149</v>
      </c>
      <c r="O509" s="1">
        <v>1.201000834</v>
      </c>
      <c r="P509" s="1">
        <v>59.2</v>
      </c>
      <c r="Q509" s="1">
        <v>119.9</v>
      </c>
      <c r="R509" s="1">
        <v>0.59533381266666663</v>
      </c>
      <c r="S509" s="1">
        <v>0.15866881930664664</v>
      </c>
      <c r="T509" t="s">
        <v>672</v>
      </c>
      <c r="U509" s="1">
        <v>2193</v>
      </c>
      <c r="V509">
        <f t="shared" si="28"/>
        <v>0.37122651463083589</v>
      </c>
      <c r="W509" s="1">
        <f t="shared" si="29"/>
        <v>33.6</v>
      </c>
      <c r="X509">
        <f t="shared" si="30"/>
        <v>0.18670602200000008</v>
      </c>
      <c r="Y509">
        <f t="shared" si="31"/>
        <v>77.600000000000009</v>
      </c>
      <c r="Z509" s="1">
        <v>1</v>
      </c>
      <c r="AA509">
        <v>99</v>
      </c>
      <c r="AB509">
        <v>1.01E-2</v>
      </c>
      <c r="AC509">
        <v>2</v>
      </c>
      <c r="AD509">
        <v>133</v>
      </c>
      <c r="AE509">
        <v>1.4999999999999999E-2</v>
      </c>
      <c r="AF509" t="s">
        <v>2591</v>
      </c>
      <c r="AG509" t="s">
        <v>2589</v>
      </c>
    </row>
    <row r="510" spans="1:33">
      <c r="A510" s="2" t="s">
        <v>133</v>
      </c>
      <c r="B510" s="2" t="s">
        <v>101</v>
      </c>
      <c r="C510" s="1">
        <v>0.65296959200000004</v>
      </c>
      <c r="D510">
        <v>0.71047257900000005</v>
      </c>
      <c r="E510">
        <v>0.679994718</v>
      </c>
      <c r="F510" s="1" t="s">
        <v>134</v>
      </c>
      <c r="G510" s="1">
        <v>1.3877068560000001</v>
      </c>
      <c r="H510" s="1">
        <v>25.6</v>
      </c>
      <c r="I510" s="1">
        <v>42.3</v>
      </c>
      <c r="J510" s="1">
        <v>0.6811456296666667</v>
      </c>
      <c r="K510" s="1">
        <v>0.57277697599999999</v>
      </c>
      <c r="L510" s="1">
        <v>0.64568820599999999</v>
      </c>
      <c r="M510" s="3">
        <v>0.70909993500000001</v>
      </c>
      <c r="N510" s="1" t="s">
        <v>102</v>
      </c>
      <c r="O510" s="1">
        <v>1.2818181820000001</v>
      </c>
      <c r="P510" s="1">
        <v>58</v>
      </c>
      <c r="Q510" s="1">
        <v>110</v>
      </c>
      <c r="R510" s="1">
        <v>0.64252170566666666</v>
      </c>
      <c r="S510" s="1">
        <v>0.10712135315866624</v>
      </c>
      <c r="T510" t="s">
        <v>656</v>
      </c>
      <c r="U510" s="1">
        <v>1940</v>
      </c>
      <c r="V510">
        <f t="shared" si="28"/>
        <v>0.36531130332558065</v>
      </c>
      <c r="W510" s="1">
        <f t="shared" si="29"/>
        <v>32.4</v>
      </c>
      <c r="X510">
        <f t="shared" si="30"/>
        <v>0.10588867400000002</v>
      </c>
      <c r="Y510">
        <f t="shared" si="31"/>
        <v>67.7</v>
      </c>
      <c r="Z510" s="1">
        <v>1</v>
      </c>
      <c r="AA510">
        <v>99</v>
      </c>
      <c r="AB510">
        <v>1.01E-2</v>
      </c>
      <c r="AC510">
        <v>2</v>
      </c>
      <c r="AD510">
        <v>131</v>
      </c>
      <c r="AE510">
        <v>1.5299999999999999E-2</v>
      </c>
      <c r="AF510" t="s">
        <v>2591</v>
      </c>
      <c r="AG510" t="s">
        <v>2589</v>
      </c>
    </row>
    <row r="511" spans="1:33">
      <c r="A511" s="2" t="s">
        <v>133</v>
      </c>
      <c r="B511" s="2" t="s">
        <v>103</v>
      </c>
      <c r="C511" s="1">
        <v>0.65296959200000004</v>
      </c>
      <c r="D511">
        <v>0.71047257900000005</v>
      </c>
      <c r="E511">
        <v>0.679994718</v>
      </c>
      <c r="F511" s="1" t="s">
        <v>134</v>
      </c>
      <c r="G511" s="1">
        <v>1.3877068560000001</v>
      </c>
      <c r="H511" s="1">
        <v>25.6</v>
      </c>
      <c r="I511" s="1">
        <v>42.3</v>
      </c>
      <c r="J511" s="1">
        <v>0.6811456296666667</v>
      </c>
      <c r="K511" s="1">
        <v>0.58538445800000005</v>
      </c>
      <c r="L511" s="1">
        <v>0.70461059999999998</v>
      </c>
      <c r="M511" s="3">
        <v>0.67846608399999997</v>
      </c>
      <c r="N511" s="1" t="s">
        <v>104</v>
      </c>
      <c r="O511" s="1">
        <v>1.1020080320000001</v>
      </c>
      <c r="P511" s="1">
        <v>58.7</v>
      </c>
      <c r="Q511" s="1">
        <v>124.5</v>
      </c>
      <c r="R511" s="1">
        <v>0.65615371400000011</v>
      </c>
      <c r="S511" s="1">
        <v>6.7856096686298967E-2</v>
      </c>
      <c r="T511" t="s">
        <v>657</v>
      </c>
      <c r="U511" s="1">
        <v>620</v>
      </c>
      <c r="V511">
        <f t="shared" si="28"/>
        <v>0.31026574327758377</v>
      </c>
      <c r="W511" s="1">
        <f t="shared" si="29"/>
        <v>33.1</v>
      </c>
      <c r="X511">
        <f t="shared" si="30"/>
        <v>0.28569882400000002</v>
      </c>
      <c r="Y511">
        <f t="shared" si="31"/>
        <v>82.2</v>
      </c>
      <c r="Z511" s="1">
        <v>0</v>
      </c>
      <c r="AA511">
        <v>100</v>
      </c>
      <c r="AB511">
        <v>0</v>
      </c>
      <c r="AC511">
        <v>1</v>
      </c>
      <c r="AD511">
        <v>133</v>
      </c>
      <c r="AE511">
        <v>7.4999999999999997E-3</v>
      </c>
      <c r="AF511" t="s">
        <v>2591</v>
      </c>
      <c r="AG511" t="s">
        <v>2589</v>
      </c>
    </row>
    <row r="512" spans="1:33">
      <c r="A512" s="2" t="s">
        <v>133</v>
      </c>
      <c r="B512" s="2" t="s">
        <v>105</v>
      </c>
      <c r="C512" s="1">
        <v>0.65296959200000004</v>
      </c>
      <c r="D512">
        <v>0.71047257900000005</v>
      </c>
      <c r="E512">
        <v>0.679994718</v>
      </c>
      <c r="F512" s="1" t="s">
        <v>134</v>
      </c>
      <c r="G512" s="1">
        <v>1.3877068560000001</v>
      </c>
      <c r="H512" s="1">
        <v>25.6</v>
      </c>
      <c r="I512" s="1">
        <v>42.3</v>
      </c>
      <c r="J512" s="1">
        <v>0.6811456296666667</v>
      </c>
      <c r="K512" s="1">
        <v>0.56210716000000005</v>
      </c>
      <c r="L512" s="1">
        <v>0.68032504299999996</v>
      </c>
      <c r="M512" s="3">
        <v>0.71115907899999997</v>
      </c>
      <c r="N512" s="1" t="s">
        <v>106</v>
      </c>
      <c r="O512" s="1">
        <v>1.0978593270000001</v>
      </c>
      <c r="P512" s="1">
        <v>43.5</v>
      </c>
      <c r="Q512" s="1">
        <v>98.1</v>
      </c>
      <c r="R512" s="1">
        <v>0.65119709399999992</v>
      </c>
      <c r="S512" s="1">
        <v>0.10067806549772519</v>
      </c>
      <c r="T512" t="s">
        <v>658</v>
      </c>
      <c r="U512" s="1">
        <v>4643</v>
      </c>
      <c r="V512">
        <f t="shared" si="28"/>
        <v>0.40742207596290819</v>
      </c>
      <c r="W512" s="1">
        <f t="shared" si="29"/>
        <v>17.899999999999999</v>
      </c>
      <c r="X512">
        <f t="shared" si="30"/>
        <v>0.28984752899999999</v>
      </c>
      <c r="Y512">
        <f t="shared" si="31"/>
        <v>55.8</v>
      </c>
      <c r="Z512" s="1">
        <v>0</v>
      </c>
      <c r="AA512">
        <v>100</v>
      </c>
      <c r="AB512">
        <v>0</v>
      </c>
      <c r="AC512">
        <v>0</v>
      </c>
      <c r="AD512">
        <v>152</v>
      </c>
      <c r="AE512">
        <v>0</v>
      </c>
      <c r="AF512" t="s">
        <v>2591</v>
      </c>
      <c r="AG512" t="s">
        <v>2589</v>
      </c>
    </row>
    <row r="513" spans="1:33">
      <c r="A513" s="2" t="s">
        <v>133</v>
      </c>
      <c r="B513" s="2" t="s">
        <v>107</v>
      </c>
      <c r="C513" s="1">
        <v>0.65296959200000004</v>
      </c>
      <c r="D513">
        <v>0.71047257900000005</v>
      </c>
      <c r="E513">
        <v>0.679994718</v>
      </c>
      <c r="F513" s="1" t="s">
        <v>134</v>
      </c>
      <c r="G513" s="1">
        <v>1.3877068560000001</v>
      </c>
      <c r="H513" s="1">
        <v>25.6</v>
      </c>
      <c r="I513" s="1">
        <v>42.3</v>
      </c>
      <c r="J513" s="1">
        <v>0.6811456296666667</v>
      </c>
      <c r="K513" s="1">
        <v>0.61734740899999996</v>
      </c>
      <c r="L513" s="1">
        <v>0.68293216999999995</v>
      </c>
      <c r="M513" s="3">
        <v>0.69981194099999999</v>
      </c>
      <c r="N513" s="1" t="s">
        <v>108</v>
      </c>
      <c r="O513" s="1">
        <v>2</v>
      </c>
      <c r="P513" s="1">
        <v>19</v>
      </c>
      <c r="Q513" s="1">
        <v>21.1</v>
      </c>
      <c r="R513" s="1">
        <v>0.66669717333333323</v>
      </c>
      <c r="S513" s="1">
        <v>4.9194881613888554E-2</v>
      </c>
      <c r="T513" t="s">
        <v>659</v>
      </c>
      <c r="U513" s="1">
        <v>597</v>
      </c>
      <c r="V513">
        <f t="shared" si="28"/>
        <v>0.30844159234770768</v>
      </c>
      <c r="W513" s="1">
        <f t="shared" si="29"/>
        <v>6.6000000000000014</v>
      </c>
      <c r="X513">
        <f t="shared" si="30"/>
        <v>0.6122931439999999</v>
      </c>
      <c r="Y513">
        <f t="shared" si="31"/>
        <v>21.199999999999996</v>
      </c>
      <c r="Z513" s="1">
        <v>0</v>
      </c>
      <c r="AA513">
        <v>100</v>
      </c>
      <c r="AB513">
        <v>0</v>
      </c>
      <c r="AC513">
        <v>1</v>
      </c>
      <c r="AD513">
        <v>127</v>
      </c>
      <c r="AE513">
        <v>7.9000000000000008E-3</v>
      </c>
      <c r="AF513" t="s">
        <v>2591</v>
      </c>
      <c r="AG513" t="s">
        <v>2588</v>
      </c>
    </row>
    <row r="514" spans="1:33">
      <c r="A514" s="2" t="s">
        <v>133</v>
      </c>
      <c r="B514" s="2" t="s">
        <v>109</v>
      </c>
      <c r="C514" s="1">
        <v>0.65296959200000004</v>
      </c>
      <c r="D514">
        <v>0.71047257900000005</v>
      </c>
      <c r="E514">
        <v>0.679994718</v>
      </c>
      <c r="F514" s="1" t="s">
        <v>134</v>
      </c>
      <c r="G514" s="1">
        <v>1.3877068560000001</v>
      </c>
      <c r="H514" s="1">
        <v>25.6</v>
      </c>
      <c r="I514" s="1">
        <v>42.3</v>
      </c>
      <c r="J514" s="1">
        <v>0.6811456296666667</v>
      </c>
      <c r="K514" s="1">
        <v>0.51638908800000005</v>
      </c>
      <c r="L514" s="1">
        <v>0.68684605300000001</v>
      </c>
      <c r="M514" s="3">
        <v>0.66065444600000001</v>
      </c>
      <c r="N514" s="1" t="s">
        <v>110</v>
      </c>
      <c r="O514" s="1">
        <v>1.2897862229999999</v>
      </c>
      <c r="P514" s="1">
        <v>49.4</v>
      </c>
      <c r="Q514" s="1">
        <v>84.2</v>
      </c>
      <c r="R514" s="1">
        <v>0.62129652899999999</v>
      </c>
      <c r="S514" s="1">
        <v>0.13995175213178532</v>
      </c>
      <c r="T514" t="s">
        <v>660</v>
      </c>
      <c r="U514" s="1">
        <v>689</v>
      </c>
      <c r="V514">
        <f t="shared" ref="V514:V577" si="32">LOG10(U514) / 9</f>
        <v>0.31535769132306951</v>
      </c>
      <c r="W514" s="1">
        <f t="shared" ref="W514:W577" si="33">ABS(H514-P514)</f>
        <v>23.799999999999997</v>
      </c>
      <c r="X514">
        <f t="shared" ref="X514:X577" si="34">ABS(G514-O514)</f>
        <v>9.7920633000000201E-2</v>
      </c>
      <c r="Y514">
        <f t="shared" ref="Y514:Y577" si="35">ABS(I514-Q514)</f>
        <v>41.900000000000006</v>
      </c>
      <c r="Z514" s="1">
        <v>1</v>
      </c>
      <c r="AA514">
        <v>99</v>
      </c>
      <c r="AB514">
        <v>1.01E-2</v>
      </c>
      <c r="AC514">
        <v>2</v>
      </c>
      <c r="AD514">
        <v>147</v>
      </c>
      <c r="AE514">
        <v>1.3599999999999999E-2</v>
      </c>
      <c r="AF514" t="s">
        <v>2591</v>
      </c>
      <c r="AG514" t="s">
        <v>2589</v>
      </c>
    </row>
    <row r="515" spans="1:33">
      <c r="A515" s="2" t="s">
        <v>133</v>
      </c>
      <c r="B515" s="2" t="s">
        <v>111</v>
      </c>
      <c r="C515" s="1">
        <v>0.65296959200000004</v>
      </c>
      <c r="D515">
        <v>0.71047257900000005</v>
      </c>
      <c r="E515">
        <v>0.679994718</v>
      </c>
      <c r="F515" s="1" t="s">
        <v>134</v>
      </c>
      <c r="G515" s="1">
        <v>1.3877068560000001</v>
      </c>
      <c r="H515" s="1">
        <v>25.6</v>
      </c>
      <c r="I515" s="1">
        <v>42.3</v>
      </c>
      <c r="J515" s="1">
        <v>0.6811456296666667</v>
      </c>
      <c r="K515" s="1">
        <v>0.60132418300000001</v>
      </c>
      <c r="L515" s="1">
        <v>0.67605095299999995</v>
      </c>
      <c r="M515" s="3">
        <v>0.74222981799999999</v>
      </c>
      <c r="N515" s="1" t="s">
        <v>112</v>
      </c>
      <c r="O515" s="1">
        <v>1.561403509</v>
      </c>
      <c r="P515" s="1">
        <v>30</v>
      </c>
      <c r="Q515" s="1">
        <v>45.6</v>
      </c>
      <c r="R515" s="1">
        <v>0.67320165133333332</v>
      </c>
      <c r="S515" s="1">
        <v>8.789371012348475E-2</v>
      </c>
      <c r="T515" t="s">
        <v>661</v>
      </c>
      <c r="U515" s="1">
        <v>2046</v>
      </c>
      <c r="V515">
        <f t="shared" si="32"/>
        <v>0.36787840326401572</v>
      </c>
      <c r="W515" s="1">
        <f t="shared" si="33"/>
        <v>4.3999999999999986</v>
      </c>
      <c r="X515">
        <f t="shared" si="34"/>
        <v>0.17369665299999992</v>
      </c>
      <c r="Y515">
        <f t="shared" si="35"/>
        <v>3.3000000000000043</v>
      </c>
      <c r="Z515" s="1">
        <v>1</v>
      </c>
      <c r="AA515">
        <v>99</v>
      </c>
      <c r="AB515">
        <v>1.01E-2</v>
      </c>
      <c r="AC515">
        <v>2</v>
      </c>
      <c r="AD515">
        <v>142</v>
      </c>
      <c r="AE515">
        <v>1.41E-2</v>
      </c>
      <c r="AF515" t="s">
        <v>2591</v>
      </c>
      <c r="AG515" t="s">
        <v>2591</v>
      </c>
    </row>
    <row r="516" spans="1:33">
      <c r="A516" s="2" t="s">
        <v>133</v>
      </c>
      <c r="B516" s="2" t="s">
        <v>113</v>
      </c>
      <c r="C516" s="1">
        <v>0.65296959200000004</v>
      </c>
      <c r="D516">
        <v>0.71047257900000005</v>
      </c>
      <c r="E516">
        <v>0.679994718</v>
      </c>
      <c r="F516" s="1" t="s">
        <v>134</v>
      </c>
      <c r="G516" s="1">
        <v>1.3877068560000001</v>
      </c>
      <c r="H516" s="1">
        <v>25.6</v>
      </c>
      <c r="I516" s="1">
        <v>42.3</v>
      </c>
      <c r="J516" s="1">
        <v>0.6811456296666667</v>
      </c>
      <c r="K516" s="1">
        <v>0.57440698499999998</v>
      </c>
      <c r="L516" s="1">
        <v>0.66920790399999996</v>
      </c>
      <c r="M516" s="3">
        <v>0.71602402300000001</v>
      </c>
      <c r="N516" s="1" t="s">
        <v>114</v>
      </c>
      <c r="O516" s="1">
        <v>2.5573248409999998</v>
      </c>
      <c r="P516" s="1">
        <v>34.299999999999997</v>
      </c>
      <c r="Q516" s="1">
        <v>31.4</v>
      </c>
      <c r="R516" s="1">
        <v>0.65321297066666661</v>
      </c>
      <c r="S516" s="1">
        <v>9.5775609840267353E-2</v>
      </c>
      <c r="T516" t="s">
        <v>662</v>
      </c>
      <c r="U516" s="1">
        <v>3989</v>
      </c>
      <c r="V516">
        <f t="shared" si="32"/>
        <v>0.40009600403442663</v>
      </c>
      <c r="W516" s="1">
        <f t="shared" si="33"/>
        <v>8.6999999999999957</v>
      </c>
      <c r="X516">
        <f t="shared" si="34"/>
        <v>1.1696179849999997</v>
      </c>
      <c r="Y516">
        <f t="shared" si="35"/>
        <v>10.899999999999999</v>
      </c>
      <c r="Z516" s="1">
        <v>0</v>
      </c>
      <c r="AA516">
        <v>100</v>
      </c>
      <c r="AB516">
        <v>0</v>
      </c>
      <c r="AC516">
        <v>0</v>
      </c>
      <c r="AD516">
        <v>138</v>
      </c>
      <c r="AE516">
        <v>0</v>
      </c>
      <c r="AF516" t="s">
        <v>2591</v>
      </c>
      <c r="AG516" t="s">
        <v>2593</v>
      </c>
    </row>
    <row r="517" spans="1:33">
      <c r="A517" s="2" t="s">
        <v>133</v>
      </c>
      <c r="B517" s="2" t="s">
        <v>115</v>
      </c>
      <c r="C517" s="1">
        <v>0.65296959200000004</v>
      </c>
      <c r="D517">
        <v>0.71047257900000005</v>
      </c>
      <c r="E517">
        <v>0.679994718</v>
      </c>
      <c r="F517" s="1" t="s">
        <v>134</v>
      </c>
      <c r="G517" s="1">
        <v>1.3877068560000001</v>
      </c>
      <c r="H517" s="1">
        <v>25.6</v>
      </c>
      <c r="I517" s="1">
        <v>42.3</v>
      </c>
      <c r="J517" s="1">
        <v>0.6811456296666667</v>
      </c>
      <c r="K517" s="1">
        <v>0.55237211100000005</v>
      </c>
      <c r="L517" s="1">
        <v>0.65961031000000003</v>
      </c>
      <c r="M517" s="3">
        <v>0.69215541599999997</v>
      </c>
      <c r="N517" s="1" t="s">
        <v>116</v>
      </c>
      <c r="O517" s="1">
        <v>1.149700599</v>
      </c>
      <c r="P517" s="1">
        <v>66.900000000000006</v>
      </c>
      <c r="Q517" s="1">
        <v>133.6</v>
      </c>
      <c r="R517" s="1">
        <v>0.63471261233333331</v>
      </c>
      <c r="S517" s="1">
        <v>0.11337859660103809</v>
      </c>
      <c r="T517" t="s">
        <v>663</v>
      </c>
      <c r="U517" s="1">
        <v>909</v>
      </c>
      <c r="V517">
        <f t="shared" si="32"/>
        <v>0.3287293203579964</v>
      </c>
      <c r="W517" s="1">
        <f t="shared" si="33"/>
        <v>41.300000000000004</v>
      </c>
      <c r="X517">
        <f t="shared" si="34"/>
        <v>0.23800625700000011</v>
      </c>
      <c r="Y517">
        <f t="shared" si="35"/>
        <v>91.3</v>
      </c>
      <c r="Z517" s="1">
        <v>1</v>
      </c>
      <c r="AA517">
        <v>99</v>
      </c>
      <c r="AB517">
        <v>1.01E-2</v>
      </c>
      <c r="AC517">
        <v>2</v>
      </c>
      <c r="AD517">
        <v>141</v>
      </c>
      <c r="AE517">
        <v>1.4200000000000001E-2</v>
      </c>
      <c r="AF517" t="s">
        <v>2591</v>
      </c>
      <c r="AG517" t="s">
        <v>2589</v>
      </c>
    </row>
    <row r="518" spans="1:33">
      <c r="A518" s="2" t="s">
        <v>133</v>
      </c>
      <c r="B518" s="2" t="s">
        <v>117</v>
      </c>
      <c r="C518" s="1">
        <v>0.65296959200000004</v>
      </c>
      <c r="D518">
        <v>0.71047257900000005</v>
      </c>
      <c r="E518">
        <v>0.679994718</v>
      </c>
      <c r="F518" s="1" t="s">
        <v>134</v>
      </c>
      <c r="G518" s="1">
        <v>1.3877068560000001</v>
      </c>
      <c r="H518" s="1">
        <v>25.6</v>
      </c>
      <c r="I518" s="1">
        <v>42.3</v>
      </c>
      <c r="J518" s="1">
        <v>0.6811456296666667</v>
      </c>
      <c r="K518" s="1">
        <v>0.52788907299999999</v>
      </c>
      <c r="L518" s="1">
        <v>0.665074418</v>
      </c>
      <c r="M518" s="3">
        <v>0.69056128699999997</v>
      </c>
      <c r="N518" s="1" t="s">
        <v>118</v>
      </c>
      <c r="O518" s="1">
        <v>1.0818253339999999</v>
      </c>
      <c r="P518" s="1">
        <v>58.4</v>
      </c>
      <c r="Q518" s="1">
        <v>127.1</v>
      </c>
      <c r="R518" s="1">
        <v>0.62784159266666661</v>
      </c>
      <c r="S518" s="1">
        <v>0.13348326350491682</v>
      </c>
      <c r="T518" t="s">
        <v>664</v>
      </c>
      <c r="U518" s="1">
        <v>1618</v>
      </c>
      <c r="V518">
        <f t="shared" si="32"/>
        <v>0.35655316858625041</v>
      </c>
      <c r="W518" s="1">
        <f t="shared" si="33"/>
        <v>32.799999999999997</v>
      </c>
      <c r="X518">
        <f t="shared" si="34"/>
        <v>0.30588152200000018</v>
      </c>
      <c r="Y518">
        <f t="shared" si="35"/>
        <v>84.8</v>
      </c>
      <c r="Z518" s="1">
        <v>1</v>
      </c>
      <c r="AA518">
        <v>99</v>
      </c>
      <c r="AB518">
        <v>1.01E-2</v>
      </c>
      <c r="AC518">
        <v>2</v>
      </c>
      <c r="AD518">
        <v>153</v>
      </c>
      <c r="AE518">
        <v>1.3100000000000001E-2</v>
      </c>
      <c r="AF518" t="s">
        <v>2591</v>
      </c>
      <c r="AG518" t="s">
        <v>2589</v>
      </c>
    </row>
    <row r="519" spans="1:33">
      <c r="A519" s="2" t="s">
        <v>133</v>
      </c>
      <c r="B519" s="2" t="s">
        <v>119</v>
      </c>
      <c r="C519" s="1">
        <v>0.65296959200000004</v>
      </c>
      <c r="D519">
        <v>0.71047257900000005</v>
      </c>
      <c r="E519">
        <v>0.679994718</v>
      </c>
      <c r="F519" s="1" t="s">
        <v>134</v>
      </c>
      <c r="G519" s="1">
        <v>1.3877068560000001</v>
      </c>
      <c r="H519" s="1">
        <v>25.6</v>
      </c>
      <c r="I519" s="1">
        <v>42.3</v>
      </c>
      <c r="J519" s="1">
        <v>0.6811456296666667</v>
      </c>
      <c r="K519" s="1">
        <v>0.48582609999999998</v>
      </c>
      <c r="L519" s="1">
        <v>0.67226483999999997</v>
      </c>
      <c r="M519" s="3">
        <v>0.68571362400000002</v>
      </c>
      <c r="N519" s="1" t="s">
        <v>120</v>
      </c>
      <c r="O519" s="1">
        <v>1.1435028249999999</v>
      </c>
      <c r="P519" s="1">
        <v>42.6</v>
      </c>
      <c r="Q519" s="1">
        <v>88.5</v>
      </c>
      <c r="R519" s="1">
        <v>0.61460152133333334</v>
      </c>
      <c r="S519" s="1">
        <v>0.17155023789923185</v>
      </c>
      <c r="T519" t="s">
        <v>665</v>
      </c>
      <c r="U519" s="1">
        <v>369</v>
      </c>
      <c r="V519">
        <f t="shared" si="32"/>
        <v>0.28522515179545116</v>
      </c>
      <c r="W519" s="1">
        <f t="shared" si="33"/>
        <v>17</v>
      </c>
      <c r="X519">
        <f t="shared" si="34"/>
        <v>0.24420403100000021</v>
      </c>
      <c r="Y519">
        <f t="shared" si="35"/>
        <v>46.2</v>
      </c>
      <c r="Z519" s="1">
        <v>1</v>
      </c>
      <c r="AA519">
        <v>99</v>
      </c>
      <c r="AB519">
        <v>1.01E-2</v>
      </c>
      <c r="AC519">
        <v>2</v>
      </c>
      <c r="AD519">
        <v>141</v>
      </c>
      <c r="AE519">
        <v>1.4200000000000001E-2</v>
      </c>
      <c r="AF519" t="s">
        <v>2591</v>
      </c>
      <c r="AG519" t="s">
        <v>2589</v>
      </c>
    </row>
    <row r="520" spans="1:33">
      <c r="A520" s="2" t="s">
        <v>133</v>
      </c>
      <c r="B520" s="2" t="s">
        <v>121</v>
      </c>
      <c r="C520" s="1">
        <v>0.65296959200000004</v>
      </c>
      <c r="D520">
        <v>0.71047257900000005</v>
      </c>
      <c r="E520">
        <v>0.679994718</v>
      </c>
      <c r="F520" s="1" t="s">
        <v>134</v>
      </c>
      <c r="G520" s="1">
        <v>1.3877068560000001</v>
      </c>
      <c r="H520" s="1">
        <v>25.6</v>
      </c>
      <c r="I520" s="1">
        <v>42.3</v>
      </c>
      <c r="J520" s="1">
        <v>0.6811456296666667</v>
      </c>
      <c r="K520" s="1">
        <v>0.57363214500000004</v>
      </c>
      <c r="L520" s="1">
        <v>0.65876685800000001</v>
      </c>
      <c r="M520" s="3">
        <v>0.71110834000000001</v>
      </c>
      <c r="N520" s="1" t="s">
        <v>122</v>
      </c>
      <c r="O520" s="1">
        <v>2.4518664050000001</v>
      </c>
      <c r="P520" s="1">
        <v>50.1</v>
      </c>
      <c r="Q520" s="1">
        <v>50.9</v>
      </c>
      <c r="R520" s="1">
        <v>0.64783578100000005</v>
      </c>
      <c r="S520" s="1">
        <v>9.9679333638254916E-2</v>
      </c>
      <c r="T520" t="s">
        <v>666</v>
      </c>
      <c r="U520" s="1">
        <v>2081</v>
      </c>
      <c r="V520">
        <f t="shared" si="32"/>
        <v>0.36869689780129189</v>
      </c>
      <c r="W520" s="1">
        <f t="shared" si="33"/>
        <v>24.5</v>
      </c>
      <c r="X520">
        <f t="shared" si="34"/>
        <v>1.064159549</v>
      </c>
      <c r="Y520">
        <f t="shared" si="35"/>
        <v>8.6000000000000014</v>
      </c>
      <c r="Z520" s="1">
        <v>1</v>
      </c>
      <c r="AA520">
        <v>99</v>
      </c>
      <c r="AB520">
        <v>1.01E-2</v>
      </c>
      <c r="AC520">
        <v>2</v>
      </c>
      <c r="AD520">
        <v>148</v>
      </c>
      <c r="AE520">
        <v>1.35E-2</v>
      </c>
      <c r="AF520" t="s">
        <v>2591</v>
      </c>
      <c r="AG520" t="s">
        <v>2593</v>
      </c>
    </row>
    <row r="521" spans="1:33">
      <c r="A521" s="2" t="s">
        <v>133</v>
      </c>
      <c r="B521" s="2" t="s">
        <v>123</v>
      </c>
      <c r="C521" s="1">
        <v>0.65296959200000004</v>
      </c>
      <c r="D521">
        <v>0.71047257900000005</v>
      </c>
      <c r="E521">
        <v>0.679994718</v>
      </c>
      <c r="F521" s="1" t="s">
        <v>134</v>
      </c>
      <c r="G521" s="1">
        <v>1.3877068560000001</v>
      </c>
      <c r="H521" s="1">
        <v>25.6</v>
      </c>
      <c r="I521" s="1">
        <v>42.3</v>
      </c>
      <c r="J521" s="1">
        <v>0.6811456296666667</v>
      </c>
      <c r="K521" s="1">
        <v>0.59184352799999995</v>
      </c>
      <c r="L521" s="1">
        <v>0.67011857600000002</v>
      </c>
      <c r="M521" s="3">
        <v>0.74025419199999998</v>
      </c>
      <c r="N521" s="1" t="s">
        <v>124</v>
      </c>
      <c r="O521" s="1">
        <v>1.7166666669999999</v>
      </c>
      <c r="P521" s="1">
        <v>26</v>
      </c>
      <c r="Q521" s="1">
        <v>36</v>
      </c>
      <c r="R521" s="1">
        <v>0.66740543199999991</v>
      </c>
      <c r="S521" s="1">
        <v>9.4847485285656313E-2</v>
      </c>
      <c r="T521" t="s">
        <v>667</v>
      </c>
      <c r="U521" s="1">
        <v>3331</v>
      </c>
      <c r="V521">
        <f t="shared" si="32"/>
        <v>0.39139718141013075</v>
      </c>
      <c r="W521" s="1">
        <f t="shared" si="33"/>
        <v>0.39999999999999858</v>
      </c>
      <c r="X521">
        <f t="shared" si="34"/>
        <v>0.32895981099999982</v>
      </c>
      <c r="Y521">
        <f t="shared" si="35"/>
        <v>6.2999999999999972</v>
      </c>
      <c r="Z521" s="1">
        <v>0</v>
      </c>
      <c r="AA521">
        <v>100</v>
      </c>
      <c r="AB521">
        <v>0</v>
      </c>
      <c r="AC521">
        <v>0</v>
      </c>
      <c r="AD521">
        <v>145</v>
      </c>
      <c r="AE521">
        <v>0</v>
      </c>
      <c r="AF521" t="s">
        <v>2591</v>
      </c>
      <c r="AG521" t="s">
        <v>2591</v>
      </c>
    </row>
    <row r="522" spans="1:33">
      <c r="A522" s="2" t="s">
        <v>133</v>
      </c>
      <c r="B522" s="2" t="s">
        <v>125</v>
      </c>
      <c r="C522" s="1">
        <v>0.65296959200000004</v>
      </c>
      <c r="D522">
        <v>0.71047257900000005</v>
      </c>
      <c r="E522">
        <v>0.679994718</v>
      </c>
      <c r="F522" s="1" t="s">
        <v>134</v>
      </c>
      <c r="G522" s="1">
        <v>1.3877068560000001</v>
      </c>
      <c r="H522" s="1">
        <v>25.6</v>
      </c>
      <c r="I522" s="1">
        <v>42.3</v>
      </c>
      <c r="J522" s="1">
        <v>0.6811456296666667</v>
      </c>
      <c r="K522" s="1">
        <v>0.611478776</v>
      </c>
      <c r="L522" s="1">
        <v>0.67681801600000002</v>
      </c>
      <c r="M522" s="3">
        <v>0.73326355300000001</v>
      </c>
      <c r="N522" s="1" t="s">
        <v>126</v>
      </c>
      <c r="O522" s="1">
        <v>1.6431372550000001</v>
      </c>
      <c r="P522" s="1">
        <v>35.1</v>
      </c>
      <c r="Q522" s="1">
        <v>51</v>
      </c>
      <c r="R522" s="1">
        <v>0.67385344833333338</v>
      </c>
      <c r="S522" s="1">
        <v>7.544326481087664E-2</v>
      </c>
      <c r="T522" t="s">
        <v>668</v>
      </c>
      <c r="U522" s="1">
        <v>3011</v>
      </c>
      <c r="V522">
        <f t="shared" si="32"/>
        <v>0.38652341727919548</v>
      </c>
      <c r="W522" s="1">
        <f t="shared" si="33"/>
        <v>9.5</v>
      </c>
      <c r="X522">
        <f t="shared" si="34"/>
        <v>0.25543039899999997</v>
      </c>
      <c r="Y522">
        <f t="shared" si="35"/>
        <v>8.7000000000000028</v>
      </c>
      <c r="Z522" s="1">
        <v>1</v>
      </c>
      <c r="AA522">
        <v>99</v>
      </c>
      <c r="AB522">
        <v>1.01E-2</v>
      </c>
      <c r="AC522">
        <v>2</v>
      </c>
      <c r="AD522">
        <v>153</v>
      </c>
      <c r="AE522">
        <v>1.3100000000000001E-2</v>
      </c>
      <c r="AF522" t="s">
        <v>2591</v>
      </c>
      <c r="AG522" t="s">
        <v>2591</v>
      </c>
    </row>
    <row r="523" spans="1:33">
      <c r="A523" s="2" t="s">
        <v>133</v>
      </c>
      <c r="B523" s="2" t="s">
        <v>127</v>
      </c>
      <c r="C523" s="1">
        <v>0.65296959200000004</v>
      </c>
      <c r="D523">
        <v>0.71047257900000005</v>
      </c>
      <c r="E523">
        <v>0.679994718</v>
      </c>
      <c r="F523" s="1" t="s">
        <v>134</v>
      </c>
      <c r="G523" s="1">
        <v>1.3877068560000001</v>
      </c>
      <c r="H523" s="1">
        <v>25.6</v>
      </c>
      <c r="I523" s="1">
        <v>42.3</v>
      </c>
      <c r="J523" s="1">
        <v>0.6811456296666667</v>
      </c>
      <c r="K523" s="1">
        <v>0.50688118500000001</v>
      </c>
      <c r="L523" s="1">
        <v>0.64616698699999997</v>
      </c>
      <c r="M523" s="3">
        <v>0.65580376299999998</v>
      </c>
      <c r="N523" s="1" t="s">
        <v>128</v>
      </c>
      <c r="O523" s="1">
        <v>1.5447714459999999</v>
      </c>
      <c r="P523" s="1">
        <v>98.4</v>
      </c>
      <c r="Q523" s="1">
        <v>159.69999999999999</v>
      </c>
      <c r="R523" s="1">
        <v>0.60295064500000006</v>
      </c>
      <c r="S523" s="1">
        <v>0.16143801945663283</v>
      </c>
      <c r="T523" t="s">
        <v>669</v>
      </c>
      <c r="U523" s="1">
        <v>5952</v>
      </c>
      <c r="V523">
        <f t="shared" si="32"/>
        <v>0.41940699139309134</v>
      </c>
      <c r="W523" s="1">
        <f t="shared" si="33"/>
        <v>72.800000000000011</v>
      </c>
      <c r="X523">
        <f t="shared" si="34"/>
        <v>0.15706458999999984</v>
      </c>
      <c r="Y523">
        <f t="shared" si="35"/>
        <v>117.39999999999999</v>
      </c>
      <c r="Z523" s="1">
        <v>1</v>
      </c>
      <c r="AA523">
        <v>99</v>
      </c>
      <c r="AB523">
        <v>1.01E-2</v>
      </c>
      <c r="AC523">
        <v>2</v>
      </c>
      <c r="AD523">
        <v>153</v>
      </c>
      <c r="AE523">
        <v>1.3100000000000001E-2</v>
      </c>
      <c r="AF523" t="s">
        <v>2591</v>
      </c>
      <c r="AG523" t="s">
        <v>2589</v>
      </c>
    </row>
    <row r="524" spans="1:33">
      <c r="A524" s="2" t="s">
        <v>133</v>
      </c>
      <c r="B524" s="2" t="s">
        <v>129</v>
      </c>
      <c r="C524" s="1">
        <v>0.65296959200000004</v>
      </c>
      <c r="D524">
        <v>0.71047257900000005</v>
      </c>
      <c r="E524">
        <v>0.679994718</v>
      </c>
      <c r="F524" s="1" t="s">
        <v>134</v>
      </c>
      <c r="G524" s="1">
        <v>1.3877068560000001</v>
      </c>
      <c r="H524" s="1">
        <v>25.6</v>
      </c>
      <c r="I524" s="1">
        <v>42.3</v>
      </c>
      <c r="J524" s="1">
        <v>0.6811456296666667</v>
      </c>
      <c r="K524" s="1">
        <v>0.50422724299999999</v>
      </c>
      <c r="L524" s="1">
        <v>0.61050655300000001</v>
      </c>
      <c r="M524" s="3">
        <v>0.63007085299999999</v>
      </c>
      <c r="N524" s="1" t="s">
        <v>130</v>
      </c>
      <c r="O524" s="1">
        <v>1.4142988080000001</v>
      </c>
      <c r="P524" s="1">
        <v>58.7</v>
      </c>
      <c r="Q524" s="1">
        <v>109.1</v>
      </c>
      <c r="R524" s="1">
        <v>0.58160154966666655</v>
      </c>
      <c r="S524" s="1">
        <v>0.18603732162340095</v>
      </c>
      <c r="T524" t="s">
        <v>670</v>
      </c>
      <c r="U524" s="1">
        <v>2120</v>
      </c>
      <c r="V524">
        <f t="shared" si="32"/>
        <v>0.36959287343652791</v>
      </c>
      <c r="W524" s="1">
        <f t="shared" si="33"/>
        <v>33.1</v>
      </c>
      <c r="X524">
        <f t="shared" si="34"/>
        <v>2.6591951999999974E-2</v>
      </c>
      <c r="Y524">
        <f t="shared" si="35"/>
        <v>66.8</v>
      </c>
      <c r="Z524" s="1">
        <v>1</v>
      </c>
      <c r="AA524">
        <v>99</v>
      </c>
      <c r="AB524">
        <v>1.01E-2</v>
      </c>
      <c r="AC524">
        <v>2</v>
      </c>
      <c r="AD524">
        <v>136</v>
      </c>
      <c r="AE524">
        <v>1.47E-2</v>
      </c>
      <c r="AF524" t="s">
        <v>2591</v>
      </c>
      <c r="AG524" t="s">
        <v>2593</v>
      </c>
    </row>
    <row r="525" spans="1:33">
      <c r="A525" s="2" t="s">
        <v>133</v>
      </c>
      <c r="B525" s="2" t="s">
        <v>131</v>
      </c>
      <c r="C525" s="1">
        <v>0.65296959200000004</v>
      </c>
      <c r="D525">
        <v>0.71047257900000005</v>
      </c>
      <c r="E525">
        <v>0.679994718</v>
      </c>
      <c r="F525" s="1" t="s">
        <v>134</v>
      </c>
      <c r="G525" s="1">
        <v>1.3877068560000001</v>
      </c>
      <c r="H525" s="1">
        <v>25.6</v>
      </c>
      <c r="I525" s="1">
        <v>42.3</v>
      </c>
      <c r="J525" s="1">
        <v>0.6811456296666667</v>
      </c>
      <c r="K525" s="1">
        <v>0.53830564800000003</v>
      </c>
      <c r="L525" s="1">
        <v>0.65609959100000004</v>
      </c>
      <c r="M525" s="3">
        <v>0.68896664299999999</v>
      </c>
      <c r="N525" s="1" t="s">
        <v>132</v>
      </c>
      <c r="O525" s="1">
        <v>1.0676416820000001</v>
      </c>
      <c r="P525" s="1">
        <v>25</v>
      </c>
      <c r="Q525" s="1">
        <v>54.7</v>
      </c>
      <c r="R525" s="1">
        <v>0.62779062733333335</v>
      </c>
      <c r="S525" s="1">
        <v>0.12721924899907605</v>
      </c>
      <c r="T525" t="s">
        <v>671</v>
      </c>
      <c r="U525" s="1">
        <v>817</v>
      </c>
      <c r="V525">
        <f t="shared" si="32"/>
        <v>0.32358022850360174</v>
      </c>
      <c r="W525" s="1">
        <f t="shared" si="33"/>
        <v>0.60000000000000142</v>
      </c>
      <c r="X525">
        <f t="shared" si="34"/>
        <v>0.32006517400000001</v>
      </c>
      <c r="Y525">
        <f t="shared" si="35"/>
        <v>12.400000000000006</v>
      </c>
      <c r="Z525" s="1">
        <v>0</v>
      </c>
      <c r="AA525">
        <v>100</v>
      </c>
      <c r="AB525">
        <v>0</v>
      </c>
      <c r="AC525">
        <v>0</v>
      </c>
      <c r="AD525">
        <v>134</v>
      </c>
      <c r="AE525">
        <v>0</v>
      </c>
      <c r="AF525" t="s">
        <v>2591</v>
      </c>
      <c r="AG525" t="s">
        <v>2589</v>
      </c>
    </row>
    <row r="526" spans="1:33">
      <c r="A526" s="2" t="s">
        <v>131</v>
      </c>
      <c r="B526" s="2" t="s">
        <v>10</v>
      </c>
      <c r="C526" s="1">
        <v>0.53830564800000003</v>
      </c>
      <c r="D526">
        <v>0.65609959100000004</v>
      </c>
      <c r="E526">
        <v>0.68896664299999999</v>
      </c>
      <c r="F526" s="1" t="s">
        <v>132</v>
      </c>
      <c r="G526" s="1">
        <v>1.0676416820000001</v>
      </c>
      <c r="H526" s="1">
        <v>25</v>
      </c>
      <c r="I526" s="1">
        <v>54.7</v>
      </c>
      <c r="J526" s="1">
        <v>0.62779062733333335</v>
      </c>
      <c r="K526" s="1">
        <v>0.52456325500000001</v>
      </c>
      <c r="L526" s="1">
        <v>0.61925627999999999</v>
      </c>
      <c r="M526" s="3">
        <v>0.72111139899999999</v>
      </c>
      <c r="N526" s="1" t="s">
        <v>12</v>
      </c>
      <c r="O526" s="1">
        <v>0.61690647499999995</v>
      </c>
      <c r="P526" s="1">
        <v>30</v>
      </c>
      <c r="Q526" s="1">
        <v>111.2</v>
      </c>
      <c r="R526" s="1">
        <v>0.62164364466666666</v>
      </c>
      <c r="S526" s="1">
        <v>5.0789450372185657E-2</v>
      </c>
      <c r="T526" t="s">
        <v>673</v>
      </c>
      <c r="U526" s="1">
        <v>693</v>
      </c>
      <c r="V526">
        <f t="shared" si="32"/>
        <v>0.3156370260679785</v>
      </c>
      <c r="W526" s="1">
        <f t="shared" si="33"/>
        <v>5</v>
      </c>
      <c r="X526">
        <f t="shared" si="34"/>
        <v>0.45073520700000014</v>
      </c>
      <c r="Y526">
        <f t="shared" si="35"/>
        <v>56.5</v>
      </c>
      <c r="Z526" s="1">
        <v>0</v>
      </c>
      <c r="AA526">
        <v>100</v>
      </c>
      <c r="AB526">
        <v>0</v>
      </c>
      <c r="AC526">
        <v>0</v>
      </c>
      <c r="AD526">
        <v>148</v>
      </c>
      <c r="AE526">
        <v>0</v>
      </c>
      <c r="AF526" t="s">
        <v>2589</v>
      </c>
      <c r="AG526" t="s">
        <v>2588</v>
      </c>
    </row>
    <row r="527" spans="1:33">
      <c r="A527" s="2" t="s">
        <v>131</v>
      </c>
      <c r="B527" s="2" t="s">
        <v>13</v>
      </c>
      <c r="C527" s="1">
        <v>0.53830564800000003</v>
      </c>
      <c r="D527">
        <v>0.65609959100000004</v>
      </c>
      <c r="E527">
        <v>0.68896664299999999</v>
      </c>
      <c r="F527" s="1" t="s">
        <v>132</v>
      </c>
      <c r="G527" s="1">
        <v>1.0676416820000001</v>
      </c>
      <c r="H527" s="1">
        <v>25</v>
      </c>
      <c r="I527" s="1">
        <v>54.7</v>
      </c>
      <c r="J527" s="1">
        <v>0.62779062733333335</v>
      </c>
      <c r="K527" s="1">
        <v>0.48695497399999998</v>
      </c>
      <c r="L527" s="1">
        <v>0.54991327199999995</v>
      </c>
      <c r="M527" s="3">
        <v>0.67282609299999996</v>
      </c>
      <c r="N527" s="1" t="s">
        <v>14</v>
      </c>
      <c r="O527" s="1">
        <v>1.6052009460000001</v>
      </c>
      <c r="P527" s="1">
        <v>26.6</v>
      </c>
      <c r="Q527" s="1">
        <v>42.3</v>
      </c>
      <c r="R527" s="1">
        <v>0.56989811299999993</v>
      </c>
      <c r="S527" s="1">
        <v>0.11905017184921053</v>
      </c>
      <c r="T527" t="s">
        <v>674</v>
      </c>
      <c r="U527" s="1">
        <v>1175</v>
      </c>
      <c r="V527">
        <f t="shared" si="32"/>
        <v>0.3411153185119728</v>
      </c>
      <c r="W527" s="1">
        <f t="shared" si="33"/>
        <v>1.6000000000000014</v>
      </c>
      <c r="X527">
        <f t="shared" si="34"/>
        <v>0.53755926399999998</v>
      </c>
      <c r="Y527">
        <f t="shared" si="35"/>
        <v>12.400000000000006</v>
      </c>
      <c r="Z527" s="1">
        <v>5</v>
      </c>
      <c r="AA527">
        <v>95</v>
      </c>
      <c r="AB527">
        <v>5.2600000000000001E-2</v>
      </c>
      <c r="AC527">
        <v>6</v>
      </c>
      <c r="AD527">
        <v>89</v>
      </c>
      <c r="AE527">
        <v>6.7400000000000002E-2</v>
      </c>
      <c r="AF527" t="s">
        <v>2589</v>
      </c>
      <c r="AG527" t="s">
        <v>2590</v>
      </c>
    </row>
    <row r="528" spans="1:33">
      <c r="A528" s="2" t="s">
        <v>131</v>
      </c>
      <c r="B528" s="2" t="s">
        <v>15</v>
      </c>
      <c r="C528" s="1">
        <v>0.53830564800000003</v>
      </c>
      <c r="D528">
        <v>0.65609959100000004</v>
      </c>
      <c r="E528">
        <v>0.68896664299999999</v>
      </c>
      <c r="F528" s="1" t="s">
        <v>132</v>
      </c>
      <c r="G528" s="1">
        <v>1.0676416820000001</v>
      </c>
      <c r="H528" s="1">
        <v>25</v>
      </c>
      <c r="I528" s="1">
        <v>54.7</v>
      </c>
      <c r="J528" s="1">
        <v>0.62779062733333335</v>
      </c>
      <c r="K528" s="1">
        <v>0.54560998800000005</v>
      </c>
      <c r="L528" s="1">
        <v>0.66721428400000005</v>
      </c>
      <c r="M528" s="3">
        <v>0.72650398400000005</v>
      </c>
      <c r="N528" s="1" t="s">
        <v>16</v>
      </c>
      <c r="O528" s="1">
        <v>5.1392405060000002</v>
      </c>
      <c r="P528" s="1">
        <v>35.9</v>
      </c>
      <c r="Q528" s="1">
        <v>15.8</v>
      </c>
      <c r="R528" s="1">
        <v>0.64644275200000012</v>
      </c>
      <c r="S528" s="1">
        <v>3.9823884198683268E-2</v>
      </c>
      <c r="T528" t="s">
        <v>675</v>
      </c>
      <c r="U528" s="1">
        <v>832</v>
      </c>
      <c r="V528">
        <f t="shared" si="32"/>
        <v>0.324458147365636</v>
      </c>
      <c r="W528" s="1">
        <f t="shared" si="33"/>
        <v>10.899999999999999</v>
      </c>
      <c r="X528">
        <f t="shared" si="34"/>
        <v>4.0715988240000005</v>
      </c>
      <c r="Y528">
        <f t="shared" si="35"/>
        <v>38.900000000000006</v>
      </c>
      <c r="Z528" s="1">
        <v>2</v>
      </c>
      <c r="AA528">
        <v>98</v>
      </c>
      <c r="AB528">
        <v>2.0400000000000001E-2</v>
      </c>
      <c r="AC528">
        <v>2</v>
      </c>
      <c r="AD528">
        <v>89</v>
      </c>
      <c r="AE528">
        <v>2.2499999999999999E-2</v>
      </c>
      <c r="AF528" t="s">
        <v>2589</v>
      </c>
      <c r="AG528" t="s">
        <v>2591</v>
      </c>
    </row>
    <row r="529" spans="1:33">
      <c r="A529" s="2" t="s">
        <v>131</v>
      </c>
      <c r="B529" s="2" t="s">
        <v>17</v>
      </c>
      <c r="C529" s="1">
        <v>0.53830564800000003</v>
      </c>
      <c r="D529">
        <v>0.65609959100000004</v>
      </c>
      <c r="E529">
        <v>0.68896664299999999</v>
      </c>
      <c r="F529" s="1" t="s">
        <v>132</v>
      </c>
      <c r="G529" s="1">
        <v>1.0676416820000001</v>
      </c>
      <c r="H529" s="1">
        <v>25</v>
      </c>
      <c r="I529" s="1">
        <v>54.7</v>
      </c>
      <c r="J529" s="1">
        <v>0.62779062733333335</v>
      </c>
      <c r="K529" s="1">
        <v>0.659112378</v>
      </c>
      <c r="L529" s="1">
        <v>0.68333493499999998</v>
      </c>
      <c r="M529" s="3">
        <v>0.70345495199999997</v>
      </c>
      <c r="N529" s="1" t="s">
        <v>18</v>
      </c>
      <c r="O529" s="1">
        <v>1.9463955639999999</v>
      </c>
      <c r="P529" s="1">
        <v>46.3</v>
      </c>
      <c r="Q529" s="1">
        <v>54.1</v>
      </c>
      <c r="R529" s="1">
        <v>0.68196742166666668</v>
      </c>
      <c r="S529" s="1">
        <v>0.1246833632597818</v>
      </c>
      <c r="T529" t="s">
        <v>676</v>
      </c>
      <c r="U529" s="1">
        <v>1879</v>
      </c>
      <c r="V529">
        <f t="shared" si="32"/>
        <v>0.3637696422333917</v>
      </c>
      <c r="W529" s="1">
        <f t="shared" si="33"/>
        <v>21.299999999999997</v>
      </c>
      <c r="X529">
        <f t="shared" si="34"/>
        <v>0.87875388199999982</v>
      </c>
      <c r="Y529">
        <f t="shared" si="35"/>
        <v>0.60000000000000142</v>
      </c>
      <c r="Z529" s="1">
        <v>1</v>
      </c>
      <c r="AA529">
        <v>99</v>
      </c>
      <c r="AB529">
        <v>1.01E-2</v>
      </c>
      <c r="AC529">
        <v>1</v>
      </c>
      <c r="AD529">
        <v>104</v>
      </c>
      <c r="AE529">
        <v>9.5999999999999992E-3</v>
      </c>
      <c r="AF529" t="s">
        <v>2589</v>
      </c>
      <c r="AG529" t="s">
        <v>2591</v>
      </c>
    </row>
    <row r="530" spans="1:33">
      <c r="A530" s="2" t="s">
        <v>131</v>
      </c>
      <c r="B530" s="2" t="s">
        <v>19</v>
      </c>
      <c r="C530" s="1">
        <v>0.53830564800000003</v>
      </c>
      <c r="D530">
        <v>0.65609959100000004</v>
      </c>
      <c r="E530">
        <v>0.68896664299999999</v>
      </c>
      <c r="F530" s="1" t="s">
        <v>132</v>
      </c>
      <c r="G530" s="1">
        <v>1.0676416820000001</v>
      </c>
      <c r="H530" s="1">
        <v>25</v>
      </c>
      <c r="I530" s="1">
        <v>54.7</v>
      </c>
      <c r="J530" s="1">
        <v>0.62779062733333335</v>
      </c>
      <c r="K530" s="1">
        <v>0.49391595300000002</v>
      </c>
      <c r="L530" s="1">
        <v>0.603599314</v>
      </c>
      <c r="M530" s="3">
        <v>0.63481471599999995</v>
      </c>
      <c r="N530" s="1" t="s">
        <v>20</v>
      </c>
      <c r="O530" s="1">
        <v>1.2140902870000001</v>
      </c>
      <c r="P530" s="1">
        <v>64.900000000000006</v>
      </c>
      <c r="Q530" s="1">
        <v>146.19999999999999</v>
      </c>
      <c r="R530" s="1">
        <v>0.57744332766666662</v>
      </c>
      <c r="S530" s="1">
        <v>8.7516600168671396E-2</v>
      </c>
      <c r="T530" t="s">
        <v>677</v>
      </c>
      <c r="U530" s="1">
        <v>3367</v>
      </c>
      <c r="V530">
        <f t="shared" si="32"/>
        <v>0.39191590182089869</v>
      </c>
      <c r="W530" s="1">
        <f t="shared" si="33"/>
        <v>39.900000000000006</v>
      </c>
      <c r="X530">
        <f t="shared" si="34"/>
        <v>0.14644860500000001</v>
      </c>
      <c r="Y530">
        <f t="shared" si="35"/>
        <v>91.499999999999986</v>
      </c>
      <c r="Z530" s="1">
        <v>0</v>
      </c>
      <c r="AA530">
        <v>100</v>
      </c>
      <c r="AB530">
        <v>0</v>
      </c>
      <c r="AC530">
        <v>0</v>
      </c>
      <c r="AD530">
        <v>85</v>
      </c>
      <c r="AE530">
        <v>0</v>
      </c>
      <c r="AF530" t="s">
        <v>2589</v>
      </c>
      <c r="AG530" t="s">
        <v>2593</v>
      </c>
    </row>
    <row r="531" spans="1:33">
      <c r="A531" s="2" t="s">
        <v>131</v>
      </c>
      <c r="B531" s="2" t="s">
        <v>21</v>
      </c>
      <c r="C531" s="1">
        <v>0.53830564800000003</v>
      </c>
      <c r="D531">
        <v>0.65609959100000004</v>
      </c>
      <c r="E531">
        <v>0.68896664299999999</v>
      </c>
      <c r="F531" s="1" t="s">
        <v>132</v>
      </c>
      <c r="G531" s="1">
        <v>1.0676416820000001</v>
      </c>
      <c r="H531" s="1">
        <v>25</v>
      </c>
      <c r="I531" s="1">
        <v>54.7</v>
      </c>
      <c r="J531" s="1">
        <v>0.62779062733333335</v>
      </c>
      <c r="K531" s="1">
        <v>0.53276376800000003</v>
      </c>
      <c r="L531" s="1">
        <v>0.65428149899999999</v>
      </c>
      <c r="M531" s="3">
        <v>0.70160154799999996</v>
      </c>
      <c r="N531" s="1" t="s">
        <v>22</v>
      </c>
      <c r="O531" s="1">
        <v>1.2440604749999999</v>
      </c>
      <c r="P531" s="1">
        <v>24.6</v>
      </c>
      <c r="Q531" s="1">
        <v>46.3</v>
      </c>
      <c r="R531" s="1">
        <v>0.62954893833333336</v>
      </c>
      <c r="S531" s="1">
        <v>1.3916131531926843E-2</v>
      </c>
      <c r="T531" t="s">
        <v>678</v>
      </c>
      <c r="U531" s="1">
        <v>93091</v>
      </c>
      <c r="V531">
        <f t="shared" si="32"/>
        <v>0.55210085506634277</v>
      </c>
      <c r="W531" s="1">
        <f t="shared" si="33"/>
        <v>0.39999999999999858</v>
      </c>
      <c r="X531">
        <f t="shared" si="34"/>
        <v>0.17641879299999985</v>
      </c>
      <c r="Y531">
        <f t="shared" si="35"/>
        <v>8.4000000000000057</v>
      </c>
      <c r="Z531" s="1">
        <v>17</v>
      </c>
      <c r="AA531">
        <v>83</v>
      </c>
      <c r="AB531">
        <v>0.20480000000000001</v>
      </c>
      <c r="AC531">
        <v>19</v>
      </c>
      <c r="AD531">
        <v>72</v>
      </c>
      <c r="AE531">
        <v>0.26390000000000002</v>
      </c>
      <c r="AF531" t="s">
        <v>2589</v>
      </c>
      <c r="AG531" t="s">
        <v>2589</v>
      </c>
    </row>
    <row r="532" spans="1:33">
      <c r="A532" s="2" t="s">
        <v>131</v>
      </c>
      <c r="B532" s="2" t="s">
        <v>23</v>
      </c>
      <c r="C532" s="1">
        <v>0.53830564800000003</v>
      </c>
      <c r="D532">
        <v>0.65609959100000004</v>
      </c>
      <c r="E532">
        <v>0.68896664299999999</v>
      </c>
      <c r="F532" s="1" t="s">
        <v>132</v>
      </c>
      <c r="G532" s="1">
        <v>1.0676416820000001</v>
      </c>
      <c r="H532" s="1">
        <v>25</v>
      </c>
      <c r="I532" s="1">
        <v>54.7</v>
      </c>
      <c r="J532" s="1">
        <v>0.62779062733333335</v>
      </c>
      <c r="K532" s="1">
        <v>0.49415677200000002</v>
      </c>
      <c r="L532" s="1">
        <v>0.62090818999999997</v>
      </c>
      <c r="M532" s="3">
        <v>0.63381026900000004</v>
      </c>
      <c r="N532" s="1" t="s">
        <v>24</v>
      </c>
      <c r="O532" s="1">
        <v>1.141304348</v>
      </c>
      <c r="P532" s="1">
        <v>44.4</v>
      </c>
      <c r="Q532" s="1">
        <v>101.2</v>
      </c>
      <c r="R532" s="1">
        <v>0.58295841033333329</v>
      </c>
      <c r="S532" s="1">
        <v>7.8928977880332735E-2</v>
      </c>
      <c r="T532" t="s">
        <v>679</v>
      </c>
      <c r="U532" s="1">
        <v>949</v>
      </c>
      <c r="V532">
        <f t="shared" si="32"/>
        <v>0.33080735693636587</v>
      </c>
      <c r="W532" s="1">
        <f t="shared" si="33"/>
        <v>19.399999999999999</v>
      </c>
      <c r="X532">
        <f t="shared" si="34"/>
        <v>7.3662665999999932E-2</v>
      </c>
      <c r="Y532">
        <f t="shared" si="35"/>
        <v>46.5</v>
      </c>
      <c r="Z532" s="1">
        <v>3</v>
      </c>
      <c r="AA532">
        <v>97</v>
      </c>
      <c r="AB532">
        <v>3.09E-2</v>
      </c>
      <c r="AC532">
        <v>4</v>
      </c>
      <c r="AD532">
        <v>83</v>
      </c>
      <c r="AE532">
        <v>4.82E-2</v>
      </c>
      <c r="AF532" t="s">
        <v>2589</v>
      </c>
      <c r="AG532" t="s">
        <v>2590</v>
      </c>
    </row>
    <row r="533" spans="1:33">
      <c r="A533" s="2" t="s">
        <v>131</v>
      </c>
      <c r="B533" s="2" t="s">
        <v>25</v>
      </c>
      <c r="C533" s="1">
        <v>0.53830564800000003</v>
      </c>
      <c r="D533">
        <v>0.65609959100000004</v>
      </c>
      <c r="E533">
        <v>0.68896664299999999</v>
      </c>
      <c r="F533" s="1" t="s">
        <v>132</v>
      </c>
      <c r="G533" s="1">
        <v>1.0676416820000001</v>
      </c>
      <c r="H533" s="1">
        <v>25</v>
      </c>
      <c r="I533" s="1">
        <v>54.7</v>
      </c>
      <c r="J533" s="1">
        <v>0.62779062733333335</v>
      </c>
      <c r="K533" s="1">
        <v>0.53959274199999996</v>
      </c>
      <c r="L533" s="1">
        <v>0.64971567399999997</v>
      </c>
      <c r="M533" s="3">
        <v>0.65028459999999999</v>
      </c>
      <c r="N533" s="1" t="s">
        <v>26</v>
      </c>
      <c r="O533" s="1">
        <v>1.623046875</v>
      </c>
      <c r="P533" s="1">
        <v>34.700000000000003</v>
      </c>
      <c r="Q533" s="1">
        <v>51.2</v>
      </c>
      <c r="R533" s="1">
        <v>0.61319767199999997</v>
      </c>
      <c r="S533" s="1">
        <v>3.9226412758262448E-2</v>
      </c>
      <c r="T533" t="s">
        <v>680</v>
      </c>
      <c r="U533" s="1">
        <v>7385</v>
      </c>
      <c r="V533">
        <f t="shared" si="32"/>
        <v>0.42981672218310757</v>
      </c>
      <c r="W533" s="1">
        <f t="shared" si="33"/>
        <v>9.7000000000000028</v>
      </c>
      <c r="X533">
        <f t="shared" si="34"/>
        <v>0.55540519299999991</v>
      </c>
      <c r="Y533">
        <f t="shared" si="35"/>
        <v>3.5</v>
      </c>
      <c r="Z533" s="1">
        <v>0</v>
      </c>
      <c r="AA533">
        <v>100</v>
      </c>
      <c r="AB533">
        <v>0</v>
      </c>
      <c r="AC533">
        <v>0</v>
      </c>
      <c r="AD533">
        <v>89</v>
      </c>
      <c r="AE533">
        <v>0</v>
      </c>
      <c r="AF533" t="s">
        <v>2589</v>
      </c>
      <c r="AG533" t="s">
        <v>2594</v>
      </c>
    </row>
    <row r="534" spans="1:33">
      <c r="A534" s="2" t="s">
        <v>131</v>
      </c>
      <c r="B534" s="2" t="s">
        <v>27</v>
      </c>
      <c r="C534" s="1">
        <v>0.53830564800000003</v>
      </c>
      <c r="D534">
        <v>0.65609959100000004</v>
      </c>
      <c r="E534">
        <v>0.68896664299999999</v>
      </c>
      <c r="F534" s="1" t="s">
        <v>132</v>
      </c>
      <c r="G534" s="1">
        <v>1.0676416820000001</v>
      </c>
      <c r="H534" s="1">
        <v>25</v>
      </c>
      <c r="I534" s="1">
        <v>54.7</v>
      </c>
      <c r="J534" s="1">
        <v>0.62779062733333335</v>
      </c>
      <c r="K534" s="1">
        <v>0.518608662</v>
      </c>
      <c r="L534" s="1">
        <v>0.64320369700000002</v>
      </c>
      <c r="M534" s="3">
        <v>0.62228994199999998</v>
      </c>
      <c r="N534" s="1" t="s">
        <v>28</v>
      </c>
      <c r="O534" s="1">
        <v>1.8717391299999999</v>
      </c>
      <c r="P534" s="1">
        <v>33.700000000000003</v>
      </c>
      <c r="Q534" s="1">
        <v>46</v>
      </c>
      <c r="R534" s="1">
        <v>0.59470076699999996</v>
      </c>
      <c r="S534" s="1">
        <v>7.0711086795401709E-2</v>
      </c>
      <c r="T534" t="s">
        <v>681</v>
      </c>
      <c r="U534" s="1">
        <v>1028</v>
      </c>
      <c r="V534">
        <f t="shared" si="32"/>
        <v>0.33466590162880633</v>
      </c>
      <c r="W534" s="1">
        <f t="shared" si="33"/>
        <v>8.7000000000000028</v>
      </c>
      <c r="X534">
        <f t="shared" si="34"/>
        <v>0.80409744799999983</v>
      </c>
      <c r="Y534">
        <f t="shared" si="35"/>
        <v>8.7000000000000028</v>
      </c>
      <c r="Z534" s="1">
        <v>4</v>
      </c>
      <c r="AA534">
        <v>96</v>
      </c>
      <c r="AB534">
        <v>4.1700000000000001E-2</v>
      </c>
      <c r="AC534">
        <v>6</v>
      </c>
      <c r="AD534">
        <v>90</v>
      </c>
      <c r="AE534">
        <v>6.6699999999999995E-2</v>
      </c>
      <c r="AF534" t="s">
        <v>2589</v>
      </c>
      <c r="AG534" t="s">
        <v>2590</v>
      </c>
    </row>
    <row r="535" spans="1:33">
      <c r="A535" s="2" t="s">
        <v>131</v>
      </c>
      <c r="B535" s="2" t="s">
        <v>29</v>
      </c>
      <c r="C535" s="1">
        <v>0.53830564800000003</v>
      </c>
      <c r="D535">
        <v>0.65609959100000004</v>
      </c>
      <c r="E535">
        <v>0.68896664299999999</v>
      </c>
      <c r="F535" s="1" t="s">
        <v>132</v>
      </c>
      <c r="G535" s="1">
        <v>1.0676416820000001</v>
      </c>
      <c r="H535" s="1">
        <v>25</v>
      </c>
      <c r="I535" s="1">
        <v>54.7</v>
      </c>
      <c r="J535" s="1">
        <v>0.62779062733333335</v>
      </c>
      <c r="K535" s="1">
        <v>0.59351545100000003</v>
      </c>
      <c r="L535" s="1">
        <v>0.68136602400000001</v>
      </c>
      <c r="M535" s="3">
        <v>0.73518087600000004</v>
      </c>
      <c r="N535" s="1" t="s">
        <v>30</v>
      </c>
      <c r="O535" s="1">
        <v>2.849112426</v>
      </c>
      <c r="P535" s="1">
        <v>37.9</v>
      </c>
      <c r="Q535" s="1">
        <v>33.799999999999997</v>
      </c>
      <c r="R535" s="1">
        <v>0.67002078366666673</v>
      </c>
      <c r="S535" s="1">
        <v>7.6303802759892583E-2</v>
      </c>
      <c r="T535" t="s">
        <v>682</v>
      </c>
      <c r="U535" s="1">
        <v>478</v>
      </c>
      <c r="V535">
        <f t="shared" si="32"/>
        <v>0.29771421073467985</v>
      </c>
      <c r="W535" s="1">
        <f t="shared" si="33"/>
        <v>12.899999999999999</v>
      </c>
      <c r="X535">
        <f t="shared" si="34"/>
        <v>1.7814707439999999</v>
      </c>
      <c r="Y535">
        <f t="shared" si="35"/>
        <v>20.900000000000006</v>
      </c>
      <c r="Z535" s="1">
        <v>1</v>
      </c>
      <c r="AA535">
        <v>99</v>
      </c>
      <c r="AB535">
        <v>1.01E-2</v>
      </c>
      <c r="AC535">
        <v>1</v>
      </c>
      <c r="AD535">
        <v>84</v>
      </c>
      <c r="AE535">
        <v>1.1900000000000001E-2</v>
      </c>
      <c r="AF535" t="s">
        <v>2589</v>
      </c>
      <c r="AG535" t="s">
        <v>2593</v>
      </c>
    </row>
    <row r="536" spans="1:33">
      <c r="A536" s="2" t="s">
        <v>131</v>
      </c>
      <c r="B536" s="2" t="s">
        <v>31</v>
      </c>
      <c r="C536" s="1">
        <v>0.53830564800000003</v>
      </c>
      <c r="D536">
        <v>0.65609959100000004</v>
      </c>
      <c r="E536">
        <v>0.68896664299999999</v>
      </c>
      <c r="F536" s="1" t="s">
        <v>132</v>
      </c>
      <c r="G536" s="1">
        <v>1.0676416820000001</v>
      </c>
      <c r="H536" s="1">
        <v>25</v>
      </c>
      <c r="I536" s="1">
        <v>54.7</v>
      </c>
      <c r="J536" s="1">
        <v>0.62779062733333335</v>
      </c>
      <c r="K536" s="1">
        <v>0.47727961800000002</v>
      </c>
      <c r="L536" s="1">
        <v>0.66941086400000005</v>
      </c>
      <c r="M536" s="3">
        <v>0.69294815300000001</v>
      </c>
      <c r="N536" s="1" t="s">
        <v>32</v>
      </c>
      <c r="O536" s="1">
        <v>1.341891892</v>
      </c>
      <c r="P536" s="1">
        <v>42.1</v>
      </c>
      <c r="Q536" s="1">
        <v>74</v>
      </c>
      <c r="R536" s="1">
        <v>0.61321287833333338</v>
      </c>
      <c r="S536" s="1">
        <v>6.258768847242667E-2</v>
      </c>
      <c r="T536" t="s">
        <v>683</v>
      </c>
      <c r="U536" s="1">
        <v>10143</v>
      </c>
      <c r="V536">
        <f t="shared" si="32"/>
        <v>0.4451296028317146</v>
      </c>
      <c r="W536" s="1">
        <f t="shared" si="33"/>
        <v>17.100000000000001</v>
      </c>
      <c r="X536">
        <f t="shared" si="34"/>
        <v>0.27425020999999994</v>
      </c>
      <c r="Y536">
        <f t="shared" si="35"/>
        <v>19.299999999999997</v>
      </c>
      <c r="Z536" s="1">
        <v>0</v>
      </c>
      <c r="AA536">
        <v>100</v>
      </c>
      <c r="AB536">
        <v>0</v>
      </c>
      <c r="AC536">
        <v>0</v>
      </c>
      <c r="AD536">
        <v>93</v>
      </c>
      <c r="AE536">
        <v>0</v>
      </c>
      <c r="AF536" t="s">
        <v>2589</v>
      </c>
      <c r="AG536" t="s">
        <v>2589</v>
      </c>
    </row>
    <row r="537" spans="1:33">
      <c r="A537" s="2" t="s">
        <v>131</v>
      </c>
      <c r="B537" s="2" t="s">
        <v>33</v>
      </c>
      <c r="C537" s="1">
        <v>0.53830564800000003</v>
      </c>
      <c r="D537">
        <v>0.65609959100000004</v>
      </c>
      <c r="E537">
        <v>0.68896664299999999</v>
      </c>
      <c r="F537" s="1" t="s">
        <v>132</v>
      </c>
      <c r="G537" s="1">
        <v>1.0676416820000001</v>
      </c>
      <c r="H537" s="1">
        <v>25</v>
      </c>
      <c r="I537" s="1">
        <v>54.7</v>
      </c>
      <c r="J537" s="1">
        <v>0.62779062733333335</v>
      </c>
      <c r="K537" s="1">
        <v>0.51347926600000005</v>
      </c>
      <c r="L537" s="1">
        <v>0.63144379399999995</v>
      </c>
      <c r="M537" s="3">
        <v>0.64189093500000005</v>
      </c>
      <c r="N537" s="1" t="s">
        <v>34</v>
      </c>
      <c r="O537" s="1">
        <v>2.3123667380000001</v>
      </c>
      <c r="P537" s="1">
        <v>79.099999999999994</v>
      </c>
      <c r="Q537" s="1">
        <v>93.8</v>
      </c>
      <c r="R537" s="1">
        <v>0.59560466500000009</v>
      </c>
      <c r="S537" s="1">
        <v>5.865475132175052E-2</v>
      </c>
      <c r="T537" t="s">
        <v>684</v>
      </c>
      <c r="U537" s="1">
        <v>1773</v>
      </c>
      <c r="V537">
        <f t="shared" si="32"/>
        <v>0.36096763728899084</v>
      </c>
      <c r="W537" s="1">
        <f t="shared" si="33"/>
        <v>54.099999999999994</v>
      </c>
      <c r="X537">
        <f t="shared" si="34"/>
        <v>1.2447250560000001</v>
      </c>
      <c r="Y537">
        <f t="shared" si="35"/>
        <v>39.099999999999994</v>
      </c>
      <c r="Z537" s="1">
        <v>3</v>
      </c>
      <c r="AA537">
        <v>97</v>
      </c>
      <c r="AB537">
        <v>3.09E-2</v>
      </c>
      <c r="AC537">
        <v>4</v>
      </c>
      <c r="AD537">
        <v>83</v>
      </c>
      <c r="AE537">
        <v>4.82E-2</v>
      </c>
      <c r="AF537" t="s">
        <v>2589</v>
      </c>
      <c r="AG537" t="s">
        <v>2590</v>
      </c>
    </row>
    <row r="538" spans="1:33">
      <c r="A538" s="2" t="s">
        <v>131</v>
      </c>
      <c r="B538" s="2" t="s">
        <v>35</v>
      </c>
      <c r="C538" s="1">
        <v>0.53830564800000003</v>
      </c>
      <c r="D538">
        <v>0.65609959100000004</v>
      </c>
      <c r="E538">
        <v>0.68896664299999999</v>
      </c>
      <c r="F538" s="1" t="s">
        <v>132</v>
      </c>
      <c r="G538" s="1">
        <v>1.0676416820000001</v>
      </c>
      <c r="H538" s="1">
        <v>25</v>
      </c>
      <c r="I538" s="1">
        <v>54.7</v>
      </c>
      <c r="J538" s="1">
        <v>0.62779062733333335</v>
      </c>
      <c r="K538" s="1">
        <v>0.52542897600000005</v>
      </c>
      <c r="L538" s="1">
        <v>0.60774736299999998</v>
      </c>
      <c r="M538" s="3">
        <v>0.62585751700000003</v>
      </c>
      <c r="N538" s="1" t="s">
        <v>36</v>
      </c>
      <c r="O538" s="1">
        <v>0.98848810399999998</v>
      </c>
      <c r="P538" s="1">
        <v>54.2</v>
      </c>
      <c r="Q538" s="1">
        <v>130.30000000000001</v>
      </c>
      <c r="R538" s="1">
        <v>0.58634461866666665</v>
      </c>
      <c r="S538" s="1">
        <v>8.0538862785883958E-2</v>
      </c>
      <c r="T538" t="s">
        <v>685</v>
      </c>
      <c r="U538" s="1">
        <v>8957</v>
      </c>
      <c r="V538">
        <f t="shared" si="32"/>
        <v>0.43912917491271808</v>
      </c>
      <c r="W538" s="1">
        <f t="shared" si="33"/>
        <v>29.200000000000003</v>
      </c>
      <c r="X538">
        <f t="shared" si="34"/>
        <v>7.9153578000000113E-2</v>
      </c>
      <c r="Y538">
        <f t="shared" si="35"/>
        <v>75.600000000000009</v>
      </c>
      <c r="Z538" s="1">
        <v>0</v>
      </c>
      <c r="AA538">
        <v>100</v>
      </c>
      <c r="AB538">
        <v>0</v>
      </c>
      <c r="AC538">
        <v>0</v>
      </c>
      <c r="AD538">
        <v>86</v>
      </c>
      <c r="AE538">
        <v>0</v>
      </c>
      <c r="AF538" t="s">
        <v>2589</v>
      </c>
      <c r="AG538" t="s">
        <v>2589</v>
      </c>
    </row>
    <row r="539" spans="1:33">
      <c r="A539" s="2" t="s">
        <v>131</v>
      </c>
      <c r="B539" s="2" t="s">
        <v>37</v>
      </c>
      <c r="C539" s="1">
        <v>0.53830564800000003</v>
      </c>
      <c r="D539">
        <v>0.65609959100000004</v>
      </c>
      <c r="E539">
        <v>0.68896664299999999</v>
      </c>
      <c r="F539" s="1" t="s">
        <v>132</v>
      </c>
      <c r="G539" s="1">
        <v>1.0676416820000001</v>
      </c>
      <c r="H539" s="1">
        <v>25</v>
      </c>
      <c r="I539" s="1">
        <v>54.7</v>
      </c>
      <c r="J539" s="1">
        <v>0.62779062733333335</v>
      </c>
      <c r="K539" s="1">
        <v>0.50856695500000004</v>
      </c>
      <c r="L539" s="1">
        <v>0.654733224</v>
      </c>
      <c r="M539" s="3">
        <v>0.61418267199999999</v>
      </c>
      <c r="N539" s="1" t="s">
        <v>38</v>
      </c>
      <c r="O539" s="1">
        <v>0.64065708399999999</v>
      </c>
      <c r="P539" s="1">
        <v>41.9</v>
      </c>
      <c r="Q539" s="1">
        <v>146.1</v>
      </c>
      <c r="R539" s="1">
        <v>0.59249428366666679</v>
      </c>
      <c r="S539" s="1">
        <v>8.049160911955841E-2</v>
      </c>
      <c r="T539" t="s">
        <v>686</v>
      </c>
      <c r="U539" s="1">
        <v>3156</v>
      </c>
      <c r="V539">
        <f t="shared" si="32"/>
        <v>0.38879299939304252</v>
      </c>
      <c r="W539" s="1">
        <f t="shared" si="33"/>
        <v>16.899999999999999</v>
      </c>
      <c r="X539">
        <f t="shared" si="34"/>
        <v>0.4269845980000001</v>
      </c>
      <c r="Y539">
        <f t="shared" si="35"/>
        <v>91.399999999999991</v>
      </c>
      <c r="Z539" s="1">
        <v>1</v>
      </c>
      <c r="AA539">
        <v>99</v>
      </c>
      <c r="AB539">
        <v>1.01E-2</v>
      </c>
      <c r="AC539">
        <v>1</v>
      </c>
      <c r="AD539">
        <v>84</v>
      </c>
      <c r="AE539">
        <v>1.1900000000000001E-2</v>
      </c>
      <c r="AF539" t="s">
        <v>2589</v>
      </c>
      <c r="AG539" t="s">
        <v>2590</v>
      </c>
    </row>
    <row r="540" spans="1:33">
      <c r="A540" s="2" t="s">
        <v>131</v>
      </c>
      <c r="B540" s="2" t="s">
        <v>39</v>
      </c>
      <c r="C540" s="1">
        <v>0.53830564800000003</v>
      </c>
      <c r="D540">
        <v>0.65609959100000004</v>
      </c>
      <c r="E540">
        <v>0.68896664299999999</v>
      </c>
      <c r="F540" s="1" t="s">
        <v>132</v>
      </c>
      <c r="G540" s="1">
        <v>1.0676416820000001</v>
      </c>
      <c r="H540" s="1">
        <v>25</v>
      </c>
      <c r="I540" s="1">
        <v>54.7</v>
      </c>
      <c r="J540" s="1">
        <v>0.62779062733333335</v>
      </c>
      <c r="K540" s="1">
        <v>0.60811616199999996</v>
      </c>
      <c r="L540" s="1">
        <v>0.721105683</v>
      </c>
      <c r="M540" s="3">
        <v>0.741016169</v>
      </c>
      <c r="N540" s="1" t="s">
        <v>40</v>
      </c>
      <c r="O540" s="1">
        <v>1.0601915180000001</v>
      </c>
      <c r="P540" s="1">
        <v>34</v>
      </c>
      <c r="Q540" s="1">
        <v>73.099999999999994</v>
      </c>
      <c r="R540" s="1">
        <v>0.69007933799999999</v>
      </c>
      <c r="S540" s="1">
        <v>0.10866670611958994</v>
      </c>
      <c r="T540" t="s">
        <v>687</v>
      </c>
      <c r="U540" s="1">
        <v>4655</v>
      </c>
      <c r="V540">
        <f t="shared" si="32"/>
        <v>0.40754663170192906</v>
      </c>
      <c r="W540" s="1">
        <f t="shared" si="33"/>
        <v>9</v>
      </c>
      <c r="X540">
        <f t="shared" si="34"/>
        <v>7.4501639999999814E-3</v>
      </c>
      <c r="Y540">
        <f t="shared" si="35"/>
        <v>18.399999999999991</v>
      </c>
      <c r="Z540" s="1">
        <v>3</v>
      </c>
      <c r="AA540">
        <v>97</v>
      </c>
      <c r="AB540">
        <v>3.09E-2</v>
      </c>
      <c r="AC540">
        <v>2</v>
      </c>
      <c r="AD540">
        <v>86</v>
      </c>
      <c r="AE540">
        <v>2.3300000000000001E-2</v>
      </c>
      <c r="AF540" t="s">
        <v>2589</v>
      </c>
      <c r="AG540" t="s">
        <v>2589</v>
      </c>
    </row>
    <row r="541" spans="1:33">
      <c r="A541" s="2" t="s">
        <v>131</v>
      </c>
      <c r="B541" s="2" t="s">
        <v>41</v>
      </c>
      <c r="C541" s="1">
        <v>0.53830564800000003</v>
      </c>
      <c r="D541">
        <v>0.65609959100000004</v>
      </c>
      <c r="E541">
        <v>0.68896664299999999</v>
      </c>
      <c r="F541" s="1" t="s">
        <v>132</v>
      </c>
      <c r="G541" s="1">
        <v>1.0676416820000001</v>
      </c>
      <c r="H541" s="1">
        <v>25</v>
      </c>
      <c r="I541" s="1">
        <v>54.7</v>
      </c>
      <c r="J541" s="1">
        <v>0.62779062733333335</v>
      </c>
      <c r="K541" s="1">
        <v>0.60402244999999999</v>
      </c>
      <c r="L541" s="1">
        <v>0.669189213</v>
      </c>
      <c r="M541" s="3">
        <v>0.69821693799999995</v>
      </c>
      <c r="N541" s="1" t="s">
        <v>42</v>
      </c>
      <c r="O541" s="1">
        <v>1.3243902439999999</v>
      </c>
      <c r="P541" s="1">
        <v>23</v>
      </c>
      <c r="Q541" s="1">
        <v>41</v>
      </c>
      <c r="R541" s="1">
        <v>0.65714286700000002</v>
      </c>
      <c r="S541" s="1">
        <v>6.7643212717885495E-2</v>
      </c>
      <c r="T541" t="s">
        <v>688</v>
      </c>
      <c r="U541" s="1">
        <v>723</v>
      </c>
      <c r="V541">
        <f t="shared" si="32"/>
        <v>0.31768203303272569</v>
      </c>
      <c r="W541" s="1">
        <f t="shared" si="33"/>
        <v>2</v>
      </c>
      <c r="X541">
        <f t="shared" si="34"/>
        <v>0.25674856199999985</v>
      </c>
      <c r="Y541">
        <f t="shared" si="35"/>
        <v>13.700000000000003</v>
      </c>
      <c r="Z541" s="1">
        <v>2</v>
      </c>
      <c r="AA541">
        <v>98</v>
      </c>
      <c r="AB541">
        <v>2.0400000000000001E-2</v>
      </c>
      <c r="AC541">
        <v>3</v>
      </c>
      <c r="AD541">
        <v>99</v>
      </c>
      <c r="AE541">
        <v>3.0300000000000001E-2</v>
      </c>
      <c r="AF541" t="s">
        <v>2589</v>
      </c>
      <c r="AG541" t="s">
        <v>2591</v>
      </c>
    </row>
    <row r="542" spans="1:33">
      <c r="A542" s="2" t="s">
        <v>131</v>
      </c>
      <c r="B542" s="2" t="s">
        <v>43</v>
      </c>
      <c r="C542" s="1">
        <v>0.53830564800000003</v>
      </c>
      <c r="D542">
        <v>0.65609959100000004</v>
      </c>
      <c r="E542">
        <v>0.68896664299999999</v>
      </c>
      <c r="F542" s="1" t="s">
        <v>132</v>
      </c>
      <c r="G542" s="1">
        <v>1.0676416820000001</v>
      </c>
      <c r="H542" s="1">
        <v>25</v>
      </c>
      <c r="I542" s="1">
        <v>54.7</v>
      </c>
      <c r="J542" s="1">
        <v>0.62779062733333335</v>
      </c>
      <c r="K542" s="1">
        <v>0.54180634699999997</v>
      </c>
      <c r="L542" s="1">
        <v>0.59470779900000004</v>
      </c>
      <c r="M542" s="3">
        <v>0.69518155599999998</v>
      </c>
      <c r="N542" s="1" t="s">
        <v>44</v>
      </c>
      <c r="O542" s="1">
        <v>1.7403685090000001</v>
      </c>
      <c r="P542" s="1">
        <v>41.2</v>
      </c>
      <c r="Q542" s="1">
        <v>59.7</v>
      </c>
      <c r="R542" s="1">
        <v>0.61056523400000007</v>
      </c>
      <c r="S542" s="1">
        <v>6.1804790769465705E-2</v>
      </c>
      <c r="T542" t="s">
        <v>689</v>
      </c>
      <c r="U542" s="1">
        <v>7739</v>
      </c>
      <c r="V542">
        <f t="shared" si="32"/>
        <v>0.43207609407329989</v>
      </c>
      <c r="W542" s="1">
        <f t="shared" si="33"/>
        <v>16.200000000000003</v>
      </c>
      <c r="X542">
        <f t="shared" si="34"/>
        <v>0.67272682699999997</v>
      </c>
      <c r="Y542">
        <f t="shared" si="35"/>
        <v>5</v>
      </c>
      <c r="Z542" s="1">
        <v>0</v>
      </c>
      <c r="AA542">
        <v>100</v>
      </c>
      <c r="AB542">
        <v>0</v>
      </c>
      <c r="AC542">
        <v>0</v>
      </c>
      <c r="AD542">
        <v>124</v>
      </c>
      <c r="AE542">
        <v>0</v>
      </c>
      <c r="AF542" t="s">
        <v>2589</v>
      </c>
      <c r="AG542" t="s">
        <v>2589</v>
      </c>
    </row>
    <row r="543" spans="1:33">
      <c r="A543" s="2" t="s">
        <v>131</v>
      </c>
      <c r="B543" s="2" t="s">
        <v>45</v>
      </c>
      <c r="C543" s="1">
        <v>0.53830564800000003</v>
      </c>
      <c r="D543">
        <v>0.65609959100000004</v>
      </c>
      <c r="E543">
        <v>0.68896664299999999</v>
      </c>
      <c r="F543" s="1" t="s">
        <v>132</v>
      </c>
      <c r="G543" s="1">
        <v>1.0676416820000001</v>
      </c>
      <c r="H543" s="1">
        <v>25</v>
      </c>
      <c r="I543" s="1">
        <v>54.7</v>
      </c>
      <c r="J543" s="1">
        <v>0.62779062733333335</v>
      </c>
      <c r="K543" s="1">
        <v>0.50907007599999998</v>
      </c>
      <c r="L543" s="1">
        <v>0.68428041399999995</v>
      </c>
      <c r="M543" s="3">
        <v>0.67454742099999998</v>
      </c>
      <c r="N543" s="1" t="s">
        <v>46</v>
      </c>
      <c r="O543" s="1">
        <v>0.98140043799999999</v>
      </c>
      <c r="P543" s="1">
        <v>38.9</v>
      </c>
      <c r="Q543" s="1">
        <v>91.4</v>
      </c>
      <c r="R543" s="1">
        <v>0.62263263699999993</v>
      </c>
      <c r="S543" s="1">
        <v>4.3090502645128134E-2</v>
      </c>
      <c r="T543" t="s">
        <v>690</v>
      </c>
      <c r="U543" s="1">
        <v>57698</v>
      </c>
      <c r="V543">
        <f t="shared" si="32"/>
        <v>0.52901786215110347</v>
      </c>
      <c r="W543" s="1">
        <f t="shared" si="33"/>
        <v>13.899999999999999</v>
      </c>
      <c r="X543">
        <f t="shared" si="34"/>
        <v>8.6241244000000106E-2</v>
      </c>
      <c r="Y543">
        <f t="shared" si="35"/>
        <v>36.700000000000003</v>
      </c>
      <c r="Z543" s="1">
        <v>0</v>
      </c>
      <c r="AA543">
        <v>100</v>
      </c>
      <c r="AB543">
        <v>0</v>
      </c>
      <c r="AC543">
        <v>0</v>
      </c>
      <c r="AD543">
        <v>104</v>
      </c>
      <c r="AE543">
        <v>0</v>
      </c>
      <c r="AF543" t="s">
        <v>2589</v>
      </c>
      <c r="AG543" t="s">
        <v>2589</v>
      </c>
    </row>
    <row r="544" spans="1:33">
      <c r="A544" s="2" t="s">
        <v>131</v>
      </c>
      <c r="B544" s="2" t="s">
        <v>47</v>
      </c>
      <c r="C544" s="1">
        <v>0.53830564800000003</v>
      </c>
      <c r="D544">
        <v>0.65609959100000004</v>
      </c>
      <c r="E544">
        <v>0.68896664299999999</v>
      </c>
      <c r="F544" s="1" t="s">
        <v>132</v>
      </c>
      <c r="G544" s="1">
        <v>1.0676416820000001</v>
      </c>
      <c r="H544" s="1">
        <v>25</v>
      </c>
      <c r="I544" s="1">
        <v>54.7</v>
      </c>
      <c r="J544" s="1">
        <v>0.62779062733333335</v>
      </c>
      <c r="K544" s="1">
        <v>0.50612154099999995</v>
      </c>
      <c r="L544" s="1">
        <v>0.55940039100000005</v>
      </c>
      <c r="M544" s="3">
        <v>0.66789001699999995</v>
      </c>
      <c r="N544" s="1" t="s">
        <v>48</v>
      </c>
      <c r="O544" s="1">
        <v>1.242622951</v>
      </c>
      <c r="P544" s="1">
        <v>17.8</v>
      </c>
      <c r="Q544" s="1">
        <v>30.5</v>
      </c>
      <c r="R544" s="1">
        <v>0.57780398300000002</v>
      </c>
      <c r="S544" s="1">
        <v>0.10407101511742513</v>
      </c>
      <c r="T544" t="s">
        <v>691</v>
      </c>
      <c r="U544" s="1">
        <v>3164</v>
      </c>
      <c r="V544">
        <f t="shared" si="32"/>
        <v>0.38891516386951541</v>
      </c>
      <c r="W544" s="1">
        <f t="shared" si="33"/>
        <v>7.1999999999999993</v>
      </c>
      <c r="X544">
        <f t="shared" si="34"/>
        <v>0.17498126899999988</v>
      </c>
      <c r="Y544">
        <f t="shared" si="35"/>
        <v>24.200000000000003</v>
      </c>
      <c r="Z544" s="1">
        <v>0</v>
      </c>
      <c r="AA544">
        <v>100</v>
      </c>
      <c r="AB544">
        <v>0</v>
      </c>
      <c r="AC544">
        <v>0</v>
      </c>
      <c r="AD544">
        <v>111</v>
      </c>
      <c r="AE544">
        <v>0</v>
      </c>
      <c r="AF544" t="s">
        <v>2589</v>
      </c>
      <c r="AG544" t="s">
        <v>2590</v>
      </c>
    </row>
    <row r="545" spans="1:33">
      <c r="A545" s="2" t="s">
        <v>131</v>
      </c>
      <c r="B545" s="2" t="s">
        <v>49</v>
      </c>
      <c r="C545" s="1">
        <v>0.53830564800000003</v>
      </c>
      <c r="D545">
        <v>0.65609959100000004</v>
      </c>
      <c r="E545">
        <v>0.68896664299999999</v>
      </c>
      <c r="F545" s="1" t="s">
        <v>132</v>
      </c>
      <c r="G545" s="1">
        <v>1.0676416820000001</v>
      </c>
      <c r="H545" s="1">
        <v>25</v>
      </c>
      <c r="I545" s="1">
        <v>54.7</v>
      </c>
      <c r="J545" s="1">
        <v>0.62779062733333335</v>
      </c>
      <c r="K545" s="1">
        <v>0.50647110500000003</v>
      </c>
      <c r="L545" s="1">
        <v>0.55713136799999996</v>
      </c>
      <c r="M545" s="3">
        <v>0.63402682300000002</v>
      </c>
      <c r="N545" s="1" t="s">
        <v>50</v>
      </c>
      <c r="O545" s="1">
        <v>1.876675603</v>
      </c>
      <c r="P545" s="1">
        <v>28.8</v>
      </c>
      <c r="Q545" s="1">
        <v>37.299999999999997</v>
      </c>
      <c r="R545" s="1">
        <v>0.56587643200000004</v>
      </c>
      <c r="S545" s="1">
        <v>0.11758627093937876</v>
      </c>
      <c r="T545" t="s">
        <v>692</v>
      </c>
      <c r="U545" s="1">
        <v>680</v>
      </c>
      <c r="V545">
        <f t="shared" si="32"/>
        <v>0.31472321252291513</v>
      </c>
      <c r="W545" s="1">
        <f t="shared" si="33"/>
        <v>3.8000000000000007</v>
      </c>
      <c r="X545">
        <f t="shared" si="34"/>
        <v>0.80903392099999993</v>
      </c>
      <c r="Y545">
        <f t="shared" si="35"/>
        <v>17.400000000000006</v>
      </c>
      <c r="Z545" s="1">
        <v>0</v>
      </c>
      <c r="AA545">
        <v>100</v>
      </c>
      <c r="AB545">
        <v>0</v>
      </c>
      <c r="AC545">
        <v>0</v>
      </c>
      <c r="AD545">
        <v>85</v>
      </c>
      <c r="AE545">
        <v>0</v>
      </c>
      <c r="AF545" t="s">
        <v>2589</v>
      </c>
      <c r="AG545" t="s">
        <v>2590</v>
      </c>
    </row>
    <row r="546" spans="1:33">
      <c r="A546" s="2" t="s">
        <v>131</v>
      </c>
      <c r="B546" s="2" t="s">
        <v>51</v>
      </c>
      <c r="C546" s="1">
        <v>0.53830564800000003</v>
      </c>
      <c r="D546">
        <v>0.65609959100000004</v>
      </c>
      <c r="E546">
        <v>0.68896664299999999</v>
      </c>
      <c r="F546" s="1" t="s">
        <v>132</v>
      </c>
      <c r="G546" s="1">
        <v>1.0676416820000001</v>
      </c>
      <c r="H546" s="1">
        <v>25</v>
      </c>
      <c r="I546" s="1">
        <v>54.7</v>
      </c>
      <c r="J546" s="1">
        <v>0.62779062733333335</v>
      </c>
      <c r="K546" s="1">
        <v>0.60067161999999996</v>
      </c>
      <c r="L546" s="1">
        <v>0.68094129999999997</v>
      </c>
      <c r="M546" s="3">
        <v>0.73595931299999995</v>
      </c>
      <c r="N546" s="1" t="s">
        <v>52</v>
      </c>
      <c r="O546" s="1">
        <v>1.858638743</v>
      </c>
      <c r="P546" s="1">
        <v>29.4</v>
      </c>
      <c r="Q546" s="1">
        <v>38.200000000000003</v>
      </c>
      <c r="R546" s="1">
        <v>0.67252407766666666</v>
      </c>
      <c r="S546" s="1">
        <v>8.1944713089218565E-2</v>
      </c>
      <c r="T546" t="s">
        <v>693</v>
      </c>
      <c r="U546" s="1">
        <v>1128</v>
      </c>
      <c r="V546">
        <f t="shared" si="32"/>
        <v>0.33914545551636927</v>
      </c>
      <c r="W546" s="1">
        <f t="shared" si="33"/>
        <v>4.3999999999999986</v>
      </c>
      <c r="X546">
        <f t="shared" si="34"/>
        <v>0.79099706099999989</v>
      </c>
      <c r="Y546">
        <f t="shared" si="35"/>
        <v>16.5</v>
      </c>
      <c r="Z546" s="1">
        <v>2</v>
      </c>
      <c r="AA546">
        <v>98</v>
      </c>
      <c r="AB546">
        <v>2.0400000000000001E-2</v>
      </c>
      <c r="AC546">
        <v>2</v>
      </c>
      <c r="AD546">
        <v>92</v>
      </c>
      <c r="AE546">
        <v>2.1700000000000001E-2</v>
      </c>
      <c r="AF546" t="s">
        <v>2589</v>
      </c>
      <c r="AG546" t="s">
        <v>2591</v>
      </c>
    </row>
    <row r="547" spans="1:33">
      <c r="A547" s="2" t="s">
        <v>131</v>
      </c>
      <c r="B547" s="2" t="s">
        <v>53</v>
      </c>
      <c r="C547" s="1">
        <v>0.53830564800000003</v>
      </c>
      <c r="D547">
        <v>0.65609959100000004</v>
      </c>
      <c r="E547">
        <v>0.68896664299999999</v>
      </c>
      <c r="F547" s="1" t="s">
        <v>132</v>
      </c>
      <c r="G547" s="1">
        <v>1.0676416820000001</v>
      </c>
      <c r="H547" s="1">
        <v>25</v>
      </c>
      <c r="I547" s="1">
        <v>54.7</v>
      </c>
      <c r="J547" s="1">
        <v>0.62779062733333335</v>
      </c>
      <c r="K547" s="1">
        <v>0.54695832700000002</v>
      </c>
      <c r="L547" s="1">
        <v>0.659790137</v>
      </c>
      <c r="M547" s="3">
        <v>0.70662085500000005</v>
      </c>
      <c r="N547" s="1" t="s">
        <v>54</v>
      </c>
      <c r="O547" s="1">
        <v>2.5053995680000001</v>
      </c>
      <c r="P547" s="1">
        <v>43.9</v>
      </c>
      <c r="Q547" s="1">
        <v>46.3</v>
      </c>
      <c r="R547" s="1">
        <v>0.63778977300000006</v>
      </c>
      <c r="S547" s="1">
        <v>2.000400422405731E-2</v>
      </c>
      <c r="T547" t="s">
        <v>694</v>
      </c>
      <c r="U547" s="1">
        <v>1015</v>
      </c>
      <c r="V547">
        <f t="shared" si="32"/>
        <v>0.33405178247213685</v>
      </c>
      <c r="W547" s="1">
        <f t="shared" si="33"/>
        <v>18.899999999999999</v>
      </c>
      <c r="X547">
        <f t="shared" si="34"/>
        <v>1.437757886</v>
      </c>
      <c r="Y547">
        <f t="shared" si="35"/>
        <v>8.4000000000000057</v>
      </c>
      <c r="Z547" s="1">
        <v>0</v>
      </c>
      <c r="AA547">
        <v>100</v>
      </c>
      <c r="AB547">
        <v>0</v>
      </c>
      <c r="AC547">
        <v>0</v>
      </c>
      <c r="AD547">
        <v>94</v>
      </c>
      <c r="AE547">
        <v>0</v>
      </c>
      <c r="AF547" t="s">
        <v>2589</v>
      </c>
      <c r="AG547" t="s">
        <v>2593</v>
      </c>
    </row>
    <row r="548" spans="1:33">
      <c r="A548" s="2" t="s">
        <v>131</v>
      </c>
      <c r="B548" s="2" t="s">
        <v>55</v>
      </c>
      <c r="C548" s="1">
        <v>0.53830564800000003</v>
      </c>
      <c r="D548">
        <v>0.65609959100000004</v>
      </c>
      <c r="E548">
        <v>0.68896664299999999</v>
      </c>
      <c r="F548" s="1" t="s">
        <v>132</v>
      </c>
      <c r="G548" s="1">
        <v>1.0676416820000001</v>
      </c>
      <c r="H548" s="1">
        <v>25</v>
      </c>
      <c r="I548" s="1">
        <v>54.7</v>
      </c>
      <c r="J548" s="1">
        <v>0.62779062733333335</v>
      </c>
      <c r="K548" s="1">
        <v>0.52971861799999997</v>
      </c>
      <c r="L548" s="1">
        <v>0.62258244500000004</v>
      </c>
      <c r="M548" s="3">
        <v>0.63939760400000001</v>
      </c>
      <c r="N548" s="1" t="s">
        <v>56</v>
      </c>
      <c r="O548" s="1">
        <v>1.0796934869999999</v>
      </c>
      <c r="P548" s="1">
        <v>55.3</v>
      </c>
      <c r="Q548" s="1">
        <v>130.5</v>
      </c>
      <c r="R548" s="1">
        <v>0.59723288899999993</v>
      </c>
      <c r="S548" s="1">
        <v>6.0450192618301361E-2</v>
      </c>
      <c r="T548" t="s">
        <v>695</v>
      </c>
      <c r="U548" s="1">
        <v>1856</v>
      </c>
      <c r="V548">
        <f t="shared" si="32"/>
        <v>0.36317533020920478</v>
      </c>
      <c r="W548" s="1">
        <f t="shared" si="33"/>
        <v>30.299999999999997</v>
      </c>
      <c r="X548">
        <f t="shared" si="34"/>
        <v>1.2051804999999804E-2</v>
      </c>
      <c r="Y548">
        <f t="shared" si="35"/>
        <v>75.8</v>
      </c>
      <c r="Z548" s="1">
        <v>0</v>
      </c>
      <c r="AA548">
        <v>100</v>
      </c>
      <c r="AB548">
        <v>0</v>
      </c>
      <c r="AC548">
        <v>0</v>
      </c>
      <c r="AD548">
        <v>86</v>
      </c>
      <c r="AE548">
        <v>0</v>
      </c>
      <c r="AF548" t="s">
        <v>2589</v>
      </c>
      <c r="AG548" t="s">
        <v>2592</v>
      </c>
    </row>
    <row r="549" spans="1:33">
      <c r="A549" s="2" t="s">
        <v>131</v>
      </c>
      <c r="B549" s="2" t="s">
        <v>57</v>
      </c>
      <c r="C549" s="1">
        <v>0.53830564800000003</v>
      </c>
      <c r="D549">
        <v>0.65609959100000004</v>
      </c>
      <c r="E549">
        <v>0.68896664299999999</v>
      </c>
      <c r="F549" s="1" t="s">
        <v>132</v>
      </c>
      <c r="G549" s="1">
        <v>1.0676416820000001</v>
      </c>
      <c r="H549" s="1">
        <v>25</v>
      </c>
      <c r="I549" s="1">
        <v>54.7</v>
      </c>
      <c r="J549" s="1">
        <v>0.62779062733333335</v>
      </c>
      <c r="K549" s="1">
        <v>0.528732855</v>
      </c>
      <c r="L549" s="1">
        <v>0.63387497599999998</v>
      </c>
      <c r="M549" s="3">
        <v>0.63337360200000004</v>
      </c>
      <c r="N549" s="1" t="s">
        <v>58</v>
      </c>
      <c r="O549" s="1">
        <v>1.386610879</v>
      </c>
      <c r="P549" s="1">
        <v>69</v>
      </c>
      <c r="Q549" s="1">
        <v>119.5</v>
      </c>
      <c r="R549" s="1">
        <v>0.59866047766666663</v>
      </c>
      <c r="S549" s="1">
        <v>6.0631329239484374E-2</v>
      </c>
      <c r="T549" t="s">
        <v>696</v>
      </c>
      <c r="U549" s="1">
        <v>8425</v>
      </c>
      <c r="V549">
        <f t="shared" si="32"/>
        <v>0.43617443439370845</v>
      </c>
      <c r="W549" s="1">
        <f t="shared" si="33"/>
        <v>44</v>
      </c>
      <c r="X549">
        <f t="shared" si="34"/>
        <v>0.31896919699999993</v>
      </c>
      <c r="Y549">
        <f t="shared" si="35"/>
        <v>64.8</v>
      </c>
      <c r="Z549" s="1">
        <v>0</v>
      </c>
      <c r="AA549">
        <v>100</v>
      </c>
      <c r="AB549">
        <v>0</v>
      </c>
      <c r="AC549">
        <v>0</v>
      </c>
      <c r="AD549">
        <v>92</v>
      </c>
      <c r="AE549">
        <v>0</v>
      </c>
      <c r="AF549" t="s">
        <v>2589</v>
      </c>
      <c r="AG549" t="s">
        <v>2589</v>
      </c>
    </row>
    <row r="550" spans="1:33">
      <c r="A550" s="2" t="s">
        <v>131</v>
      </c>
      <c r="B550" s="2" t="s">
        <v>59</v>
      </c>
      <c r="C550" s="1">
        <v>0.53830564800000003</v>
      </c>
      <c r="D550">
        <v>0.65609959100000004</v>
      </c>
      <c r="E550">
        <v>0.68896664299999999</v>
      </c>
      <c r="F550" s="1" t="s">
        <v>132</v>
      </c>
      <c r="G550" s="1">
        <v>1.0676416820000001</v>
      </c>
      <c r="H550" s="1">
        <v>25</v>
      </c>
      <c r="I550" s="1">
        <v>54.7</v>
      </c>
      <c r="J550" s="1">
        <v>0.62779062733333335</v>
      </c>
      <c r="K550" s="1">
        <v>0.56225432799999997</v>
      </c>
      <c r="L550" s="1">
        <v>0.68100706499999997</v>
      </c>
      <c r="M550" s="3">
        <v>0.67505263699999996</v>
      </c>
      <c r="N550" s="1" t="s">
        <v>60</v>
      </c>
      <c r="O550" s="1">
        <v>1.1501154730000001</v>
      </c>
      <c r="P550" s="1">
        <v>60.5</v>
      </c>
      <c r="Q550" s="1">
        <v>129.9</v>
      </c>
      <c r="R550" s="1">
        <v>0.63943801</v>
      </c>
      <c r="S550" s="1">
        <v>3.7249444261238406E-2</v>
      </c>
      <c r="T550" t="s">
        <v>697</v>
      </c>
      <c r="U550" s="1">
        <v>9216</v>
      </c>
      <c r="V550">
        <f t="shared" si="32"/>
        <v>0.44050471845323741</v>
      </c>
      <c r="W550" s="1">
        <f t="shared" si="33"/>
        <v>35.5</v>
      </c>
      <c r="X550">
        <f t="shared" si="34"/>
        <v>8.2473790999999963E-2</v>
      </c>
      <c r="Y550">
        <f t="shared" si="35"/>
        <v>75.2</v>
      </c>
      <c r="Z550" s="1">
        <v>0</v>
      </c>
      <c r="AA550">
        <v>100</v>
      </c>
      <c r="AB550">
        <v>0</v>
      </c>
      <c r="AC550">
        <v>0</v>
      </c>
      <c r="AD550">
        <v>111</v>
      </c>
      <c r="AE550">
        <v>0</v>
      </c>
      <c r="AF550" t="s">
        <v>2589</v>
      </c>
      <c r="AG550" t="s">
        <v>2589</v>
      </c>
    </row>
    <row r="551" spans="1:33">
      <c r="A551" s="2" t="s">
        <v>131</v>
      </c>
      <c r="B551" s="2" t="s">
        <v>61</v>
      </c>
      <c r="C551" s="1">
        <v>0.53830564800000003</v>
      </c>
      <c r="D551">
        <v>0.65609959100000004</v>
      </c>
      <c r="E551">
        <v>0.68896664299999999</v>
      </c>
      <c r="F551" s="1" t="s">
        <v>132</v>
      </c>
      <c r="G551" s="1">
        <v>1.0676416820000001</v>
      </c>
      <c r="H551" s="1">
        <v>25</v>
      </c>
      <c r="I551" s="1">
        <v>54.7</v>
      </c>
      <c r="J551" s="1">
        <v>0.62779062733333335</v>
      </c>
      <c r="K551" s="1">
        <v>0.62063455999999995</v>
      </c>
      <c r="L551" s="1">
        <v>0.67798104299999995</v>
      </c>
      <c r="M551" s="3">
        <v>0.72175371600000005</v>
      </c>
      <c r="N551" s="1" t="s">
        <v>62</v>
      </c>
      <c r="O551" s="1">
        <v>7.5471698109999998</v>
      </c>
      <c r="P551" s="1">
        <v>26.4</v>
      </c>
      <c r="Q551" s="1">
        <v>10.6</v>
      </c>
      <c r="R551" s="1">
        <v>0.6734564396666668</v>
      </c>
      <c r="S551" s="1">
        <v>9.1278912398425102E-2</v>
      </c>
      <c r="T551" t="s">
        <v>698</v>
      </c>
      <c r="U551" s="1">
        <v>2539</v>
      </c>
      <c r="V551">
        <f t="shared" si="32"/>
        <v>0.37829585565263579</v>
      </c>
      <c r="W551" s="1">
        <f t="shared" si="33"/>
        <v>1.3999999999999986</v>
      </c>
      <c r="X551">
        <f t="shared" si="34"/>
        <v>6.4795281290000002</v>
      </c>
      <c r="Y551">
        <f t="shared" si="35"/>
        <v>44.1</v>
      </c>
      <c r="Z551" s="1">
        <v>0</v>
      </c>
      <c r="AA551">
        <v>100</v>
      </c>
      <c r="AB551">
        <v>0</v>
      </c>
      <c r="AC551">
        <v>0</v>
      </c>
      <c r="AD551">
        <v>86</v>
      </c>
      <c r="AE551">
        <v>0</v>
      </c>
      <c r="AF551" t="s">
        <v>2589</v>
      </c>
      <c r="AG551" t="s">
        <v>2588</v>
      </c>
    </row>
    <row r="552" spans="1:33">
      <c r="A552" s="2" t="s">
        <v>131</v>
      </c>
      <c r="B552" s="2" t="s">
        <v>63</v>
      </c>
      <c r="C552" s="1">
        <v>0.53830564800000003</v>
      </c>
      <c r="D552">
        <v>0.65609959100000004</v>
      </c>
      <c r="E552">
        <v>0.68896664299999999</v>
      </c>
      <c r="F552" s="1" t="s">
        <v>132</v>
      </c>
      <c r="G552" s="1">
        <v>1.0676416820000001</v>
      </c>
      <c r="H552" s="1">
        <v>25</v>
      </c>
      <c r="I552" s="1">
        <v>54.7</v>
      </c>
      <c r="J552" s="1">
        <v>0.62779062733333335</v>
      </c>
      <c r="K552" s="1">
        <v>0.44311141399999998</v>
      </c>
      <c r="L552" s="1">
        <v>0.57053969199999999</v>
      </c>
      <c r="M552" s="3">
        <v>0.59266330599999995</v>
      </c>
      <c r="N552" s="1" t="s">
        <v>64</v>
      </c>
      <c r="O552" s="1">
        <v>0.89618138400000003</v>
      </c>
      <c r="P552" s="1">
        <v>29.7</v>
      </c>
      <c r="Q552" s="1">
        <v>83.8</v>
      </c>
      <c r="R552" s="1">
        <v>0.53543813733333334</v>
      </c>
      <c r="S552" s="1">
        <v>0.1601773118174748</v>
      </c>
      <c r="T552" t="s">
        <v>699</v>
      </c>
      <c r="U552" s="1">
        <v>1001</v>
      </c>
      <c r="V552">
        <f t="shared" si="32"/>
        <v>0.33338156416436876</v>
      </c>
      <c r="W552" s="1">
        <f t="shared" si="33"/>
        <v>4.6999999999999993</v>
      </c>
      <c r="X552">
        <f t="shared" si="34"/>
        <v>0.17146029800000007</v>
      </c>
      <c r="Y552">
        <f t="shared" si="35"/>
        <v>29.099999999999994</v>
      </c>
      <c r="Z552" s="1">
        <v>0</v>
      </c>
      <c r="AA552">
        <v>100</v>
      </c>
      <c r="AB552">
        <v>0</v>
      </c>
      <c r="AC552">
        <v>0</v>
      </c>
      <c r="AD552">
        <v>93</v>
      </c>
      <c r="AE552">
        <v>0</v>
      </c>
      <c r="AF552" t="s">
        <v>2589</v>
      </c>
      <c r="AG552" t="s">
        <v>2590</v>
      </c>
    </row>
    <row r="553" spans="1:33">
      <c r="A553" s="2" t="s">
        <v>131</v>
      </c>
      <c r="B553" s="2" t="s">
        <v>65</v>
      </c>
      <c r="C553" s="1">
        <v>0.53830564800000003</v>
      </c>
      <c r="D553">
        <v>0.65609959100000004</v>
      </c>
      <c r="E553">
        <v>0.68896664299999999</v>
      </c>
      <c r="F553" s="1" t="s">
        <v>132</v>
      </c>
      <c r="G553" s="1">
        <v>1.0676416820000001</v>
      </c>
      <c r="H553" s="1">
        <v>25</v>
      </c>
      <c r="I553" s="1">
        <v>54.7</v>
      </c>
      <c r="J553" s="1">
        <v>0.62779062733333335</v>
      </c>
      <c r="K553" s="1">
        <v>0.67377447499999998</v>
      </c>
      <c r="L553" s="1">
        <v>0.69144672900000004</v>
      </c>
      <c r="M553" s="3">
        <v>0.73046409700000003</v>
      </c>
      <c r="N553" s="1" t="s">
        <v>66</v>
      </c>
      <c r="O553" s="1">
        <v>1.8507462690000001</v>
      </c>
      <c r="P553" s="1">
        <v>34.5</v>
      </c>
      <c r="Q553" s="1">
        <v>46.9</v>
      </c>
      <c r="R553" s="1">
        <v>0.69856176700000006</v>
      </c>
      <c r="S553" s="1">
        <v>0.14602486754669247</v>
      </c>
      <c r="T553" t="s">
        <v>700</v>
      </c>
      <c r="U553" s="1">
        <v>799</v>
      </c>
      <c r="V553">
        <f t="shared" si="32"/>
        <v>0.32250519770155456</v>
      </c>
      <c r="W553" s="1">
        <f t="shared" si="33"/>
        <v>9.5</v>
      </c>
      <c r="X553">
        <f t="shared" si="34"/>
        <v>0.78310458699999996</v>
      </c>
      <c r="Y553">
        <f t="shared" si="35"/>
        <v>7.8000000000000043</v>
      </c>
      <c r="Z553" s="1">
        <v>0</v>
      </c>
      <c r="AA553">
        <v>100</v>
      </c>
      <c r="AB553">
        <v>0</v>
      </c>
      <c r="AC553">
        <v>0</v>
      </c>
      <c r="AD553">
        <v>75</v>
      </c>
      <c r="AE553">
        <v>0</v>
      </c>
      <c r="AF553" t="s">
        <v>2589</v>
      </c>
      <c r="AG553" t="s">
        <v>2593</v>
      </c>
    </row>
    <row r="554" spans="1:33">
      <c r="A554" s="2" t="s">
        <v>131</v>
      </c>
      <c r="B554" s="2" t="s">
        <v>67</v>
      </c>
      <c r="C554" s="1">
        <v>0.53830564800000003</v>
      </c>
      <c r="D554">
        <v>0.65609959100000004</v>
      </c>
      <c r="E554">
        <v>0.68896664299999999</v>
      </c>
      <c r="F554" s="1" t="s">
        <v>132</v>
      </c>
      <c r="G554" s="1">
        <v>1.0676416820000001</v>
      </c>
      <c r="H554" s="1">
        <v>25</v>
      </c>
      <c r="I554" s="1">
        <v>54.7</v>
      </c>
      <c r="J554" s="1">
        <v>0.62779062733333335</v>
      </c>
      <c r="K554" s="1">
        <v>0.53971122199999999</v>
      </c>
      <c r="L554" s="1">
        <v>0.621203065</v>
      </c>
      <c r="M554" s="3">
        <v>0.67806811499999997</v>
      </c>
      <c r="N554" s="1" t="s">
        <v>68</v>
      </c>
      <c r="O554" s="1">
        <v>1.5131894480000001</v>
      </c>
      <c r="P554" s="1">
        <v>27.2</v>
      </c>
      <c r="Q554" s="1">
        <v>41.7</v>
      </c>
      <c r="R554" s="1">
        <v>0.61299413400000002</v>
      </c>
      <c r="S554" s="1">
        <v>3.6585804319502653E-2</v>
      </c>
      <c r="T554" t="s">
        <v>701</v>
      </c>
      <c r="U554" s="1">
        <v>5627</v>
      </c>
      <c r="V554">
        <f t="shared" si="32"/>
        <v>0.41669743501711026</v>
      </c>
      <c r="W554" s="1">
        <f t="shared" si="33"/>
        <v>2.1999999999999993</v>
      </c>
      <c r="X554">
        <f t="shared" si="34"/>
        <v>0.44554776600000001</v>
      </c>
      <c r="Y554">
        <f t="shared" si="35"/>
        <v>13</v>
      </c>
      <c r="Z554" s="1">
        <v>1</v>
      </c>
      <c r="AA554">
        <v>99</v>
      </c>
      <c r="AB554">
        <v>1.01E-2</v>
      </c>
      <c r="AC554">
        <v>1</v>
      </c>
      <c r="AD554">
        <v>85</v>
      </c>
      <c r="AE554">
        <v>1.18E-2</v>
      </c>
      <c r="AF554" t="s">
        <v>2589</v>
      </c>
      <c r="AG554" t="s">
        <v>2588</v>
      </c>
    </row>
    <row r="555" spans="1:33">
      <c r="A555" s="2" t="s">
        <v>131</v>
      </c>
      <c r="B555" s="2" t="s">
        <v>69</v>
      </c>
      <c r="C555" s="1">
        <v>0.53830564800000003</v>
      </c>
      <c r="D555">
        <v>0.65609959100000004</v>
      </c>
      <c r="E555">
        <v>0.68896664299999999</v>
      </c>
      <c r="F555" s="1" t="s">
        <v>132</v>
      </c>
      <c r="G555" s="1">
        <v>1.0676416820000001</v>
      </c>
      <c r="H555" s="1">
        <v>25</v>
      </c>
      <c r="I555" s="1">
        <v>54.7</v>
      </c>
      <c r="J555" s="1">
        <v>0.62779062733333335</v>
      </c>
      <c r="K555" s="1">
        <v>0.50188385300000005</v>
      </c>
      <c r="L555" s="1">
        <v>0.64580031500000001</v>
      </c>
      <c r="M555" s="3">
        <v>0.66006355800000005</v>
      </c>
      <c r="N555" s="1" t="s">
        <v>70</v>
      </c>
      <c r="O555" s="1">
        <v>1.2401055409999999</v>
      </c>
      <c r="P555" s="1">
        <v>43.4</v>
      </c>
      <c r="Q555" s="1">
        <v>75.8</v>
      </c>
      <c r="R555" s="1">
        <v>0.60258257533333337</v>
      </c>
      <c r="S555" s="1">
        <v>4.7623634465078592E-2</v>
      </c>
      <c r="T555" t="s">
        <v>702</v>
      </c>
      <c r="U555" s="1">
        <v>139039</v>
      </c>
      <c r="V555">
        <f t="shared" si="32"/>
        <v>0.57145962617460899</v>
      </c>
      <c r="W555" s="1">
        <f t="shared" si="33"/>
        <v>18.399999999999999</v>
      </c>
      <c r="X555">
        <f t="shared" si="34"/>
        <v>0.17246385899999983</v>
      </c>
      <c r="Y555">
        <f t="shared" si="35"/>
        <v>21.099999999999994</v>
      </c>
      <c r="Z555" s="1">
        <v>4</v>
      </c>
      <c r="AA555">
        <v>96</v>
      </c>
      <c r="AB555">
        <v>4.1700000000000001E-2</v>
      </c>
      <c r="AC555">
        <v>5</v>
      </c>
      <c r="AD555">
        <v>88</v>
      </c>
      <c r="AE555">
        <v>5.6800000000000003E-2</v>
      </c>
      <c r="AF555" t="s">
        <v>2589</v>
      </c>
      <c r="AG555" t="s">
        <v>2589</v>
      </c>
    </row>
    <row r="556" spans="1:33">
      <c r="A556" s="2" t="s">
        <v>131</v>
      </c>
      <c r="B556" s="2" t="s">
        <v>71</v>
      </c>
      <c r="C556" s="1">
        <v>0.53830564800000003</v>
      </c>
      <c r="D556">
        <v>0.65609959100000004</v>
      </c>
      <c r="E556">
        <v>0.68896664299999999</v>
      </c>
      <c r="F556" s="1" t="s">
        <v>132</v>
      </c>
      <c r="G556" s="1">
        <v>1.0676416820000001</v>
      </c>
      <c r="H556" s="1">
        <v>25</v>
      </c>
      <c r="I556" s="1">
        <v>54.7</v>
      </c>
      <c r="J556" s="1">
        <v>0.62779062733333335</v>
      </c>
      <c r="K556" s="1">
        <v>0.53267569100000001</v>
      </c>
      <c r="L556" s="1">
        <v>0.64507433599999997</v>
      </c>
      <c r="M556" s="3">
        <v>0.66598465100000004</v>
      </c>
      <c r="N556" s="1" t="s">
        <v>72</v>
      </c>
      <c r="O556" s="1">
        <v>0.97289666900000005</v>
      </c>
      <c r="P556" s="1">
        <v>64.8</v>
      </c>
      <c r="Q556" s="1">
        <v>177.1</v>
      </c>
      <c r="R556" s="1">
        <v>0.61457822600000001</v>
      </c>
      <c r="S556" s="1">
        <v>2.6104111169027333E-2</v>
      </c>
      <c r="T556" t="s">
        <v>703</v>
      </c>
      <c r="U556" s="1">
        <v>14279</v>
      </c>
      <c r="V556">
        <f t="shared" si="32"/>
        <v>0.46163308817737647</v>
      </c>
      <c r="W556" s="1">
        <f t="shared" si="33"/>
        <v>39.799999999999997</v>
      </c>
      <c r="X556">
        <f t="shared" si="34"/>
        <v>9.4745013000000045E-2</v>
      </c>
      <c r="Y556">
        <f t="shared" si="35"/>
        <v>122.39999999999999</v>
      </c>
      <c r="Z556" s="1">
        <v>1</v>
      </c>
      <c r="AA556">
        <v>99</v>
      </c>
      <c r="AB556">
        <v>1.01E-2</v>
      </c>
      <c r="AC556">
        <v>1</v>
      </c>
      <c r="AD556">
        <v>103</v>
      </c>
      <c r="AE556">
        <v>9.7000000000000003E-3</v>
      </c>
      <c r="AF556" t="s">
        <v>2589</v>
      </c>
      <c r="AG556" t="s">
        <v>2589</v>
      </c>
    </row>
    <row r="557" spans="1:33">
      <c r="A557" s="2" t="s">
        <v>131</v>
      </c>
      <c r="B557" s="2" t="s">
        <v>73</v>
      </c>
      <c r="C557" s="1">
        <v>0.53830564800000003</v>
      </c>
      <c r="D557">
        <v>0.65609959100000004</v>
      </c>
      <c r="E557">
        <v>0.68896664299999999</v>
      </c>
      <c r="F557" s="1" t="s">
        <v>132</v>
      </c>
      <c r="G557" s="1">
        <v>1.0676416820000001</v>
      </c>
      <c r="H557" s="1">
        <v>25</v>
      </c>
      <c r="I557" s="1">
        <v>54.7</v>
      </c>
      <c r="J557" s="1">
        <v>0.62779062733333335</v>
      </c>
      <c r="K557" s="1">
        <v>0.55697925299999995</v>
      </c>
      <c r="L557" s="1">
        <v>0.64461978399999997</v>
      </c>
      <c r="M557" s="3">
        <v>0.69570690000000002</v>
      </c>
      <c r="N557" s="1" t="s">
        <v>74</v>
      </c>
      <c r="O557" s="1">
        <v>1.23433584</v>
      </c>
      <c r="P557" s="1">
        <v>44</v>
      </c>
      <c r="Q557" s="1">
        <v>79.8</v>
      </c>
      <c r="R557" s="1">
        <v>0.63243531233333328</v>
      </c>
      <c r="S557" s="1">
        <v>2.2932957874624942E-2</v>
      </c>
      <c r="T557" t="s">
        <v>704</v>
      </c>
      <c r="U557" s="1">
        <v>153113</v>
      </c>
      <c r="V557">
        <f t="shared" si="32"/>
        <v>0.57611245176317827</v>
      </c>
      <c r="W557" s="1">
        <f t="shared" si="33"/>
        <v>19</v>
      </c>
      <c r="X557">
        <f t="shared" si="34"/>
        <v>0.16669415799999987</v>
      </c>
      <c r="Y557">
        <f t="shared" si="35"/>
        <v>25.099999999999994</v>
      </c>
      <c r="Z557" s="1">
        <v>1</v>
      </c>
      <c r="AA557">
        <v>99</v>
      </c>
      <c r="AB557">
        <v>1.01E-2</v>
      </c>
      <c r="AC557">
        <v>1</v>
      </c>
      <c r="AD557">
        <v>88</v>
      </c>
      <c r="AE557">
        <v>1.14E-2</v>
      </c>
      <c r="AF557" t="s">
        <v>2589</v>
      </c>
      <c r="AG557" t="s">
        <v>2589</v>
      </c>
    </row>
    <row r="558" spans="1:33">
      <c r="A558" s="2" t="s">
        <v>131</v>
      </c>
      <c r="B558" s="2" t="s">
        <v>75</v>
      </c>
      <c r="C558" s="1">
        <v>0.53830564800000003</v>
      </c>
      <c r="D558">
        <v>0.65609959100000004</v>
      </c>
      <c r="E558">
        <v>0.68896664299999999</v>
      </c>
      <c r="F558" s="1" t="s">
        <v>132</v>
      </c>
      <c r="G558" s="1">
        <v>1.0676416820000001</v>
      </c>
      <c r="H558" s="1">
        <v>25</v>
      </c>
      <c r="I558" s="1">
        <v>54.7</v>
      </c>
      <c r="J558" s="1">
        <v>0.62779062733333335</v>
      </c>
      <c r="K558" s="1">
        <v>0.50354843500000002</v>
      </c>
      <c r="L558" s="1">
        <v>0.59724402499999996</v>
      </c>
      <c r="M558" s="3">
        <v>0.70308254199999998</v>
      </c>
      <c r="N558" s="1" t="s">
        <v>76</v>
      </c>
      <c r="O558" s="1">
        <v>1.2696850390000001</v>
      </c>
      <c r="P558" s="1">
        <v>26.6</v>
      </c>
      <c r="Q558" s="1">
        <v>50.8</v>
      </c>
      <c r="R558" s="1">
        <v>0.60129166733333339</v>
      </c>
      <c r="S558" s="1">
        <v>6.9794699722012826E-2</v>
      </c>
      <c r="T558" t="s">
        <v>705</v>
      </c>
      <c r="U558" s="1">
        <v>56298</v>
      </c>
      <c r="V558">
        <f t="shared" si="32"/>
        <v>0.52783255185659916</v>
      </c>
      <c r="W558" s="1">
        <f t="shared" si="33"/>
        <v>1.6000000000000014</v>
      </c>
      <c r="X558">
        <f t="shared" si="34"/>
        <v>0.20204335699999998</v>
      </c>
      <c r="Y558">
        <f t="shared" si="35"/>
        <v>3.9000000000000057</v>
      </c>
      <c r="Z558" s="1">
        <v>7</v>
      </c>
      <c r="AA558">
        <v>93</v>
      </c>
      <c r="AB558">
        <v>7.5300000000000006E-2</v>
      </c>
      <c r="AC558">
        <v>7</v>
      </c>
      <c r="AD558">
        <v>82</v>
      </c>
      <c r="AE558">
        <v>8.5400000000000004E-2</v>
      </c>
      <c r="AF558" t="s">
        <v>2589</v>
      </c>
      <c r="AG558" t="s">
        <v>2594</v>
      </c>
    </row>
    <row r="559" spans="1:33">
      <c r="A559" s="2" t="s">
        <v>131</v>
      </c>
      <c r="B559" s="2" t="s">
        <v>77</v>
      </c>
      <c r="C559" s="1">
        <v>0.53830564800000003</v>
      </c>
      <c r="D559">
        <v>0.65609959100000004</v>
      </c>
      <c r="E559">
        <v>0.68896664299999999</v>
      </c>
      <c r="F559" s="1" t="s">
        <v>132</v>
      </c>
      <c r="G559" s="1">
        <v>1.0676416820000001</v>
      </c>
      <c r="H559" s="1">
        <v>25</v>
      </c>
      <c r="I559" s="1">
        <v>54.7</v>
      </c>
      <c r="J559" s="1">
        <v>0.62779062733333335</v>
      </c>
      <c r="K559" s="1">
        <v>0.54630843299999998</v>
      </c>
      <c r="L559" s="1">
        <v>0.68935555900000001</v>
      </c>
      <c r="M559" s="3">
        <v>0.65478744899999997</v>
      </c>
      <c r="N559" s="1" t="s">
        <v>78</v>
      </c>
      <c r="O559" s="1">
        <v>1.3914285710000001</v>
      </c>
      <c r="P559" s="1">
        <v>56.5</v>
      </c>
      <c r="Q559" s="1">
        <v>105</v>
      </c>
      <c r="R559" s="1">
        <v>0.63015048033333343</v>
      </c>
      <c r="S559" s="1">
        <v>4.8355157717278552E-2</v>
      </c>
      <c r="T559" t="s">
        <v>706</v>
      </c>
      <c r="U559" s="1">
        <v>3043</v>
      </c>
      <c r="V559">
        <f t="shared" si="32"/>
        <v>0.38703355026201858</v>
      </c>
      <c r="W559" s="1">
        <f t="shared" si="33"/>
        <v>31.5</v>
      </c>
      <c r="X559">
        <f t="shared" si="34"/>
        <v>0.32378688899999997</v>
      </c>
      <c r="Y559">
        <f t="shared" si="35"/>
        <v>50.3</v>
      </c>
      <c r="Z559" s="1">
        <v>9</v>
      </c>
      <c r="AA559">
        <v>91</v>
      </c>
      <c r="AB559">
        <v>9.8900000000000002E-2</v>
      </c>
      <c r="AC559">
        <v>7</v>
      </c>
      <c r="AD559">
        <v>71</v>
      </c>
      <c r="AE559">
        <v>9.8599999999999993E-2</v>
      </c>
      <c r="AF559" t="s">
        <v>2589</v>
      </c>
      <c r="AG559" t="s">
        <v>2590</v>
      </c>
    </row>
    <row r="560" spans="1:33">
      <c r="A560" s="2" t="s">
        <v>131</v>
      </c>
      <c r="B560" s="2" t="s">
        <v>79</v>
      </c>
      <c r="C560" s="1">
        <v>0.53830564800000003</v>
      </c>
      <c r="D560">
        <v>0.65609959100000004</v>
      </c>
      <c r="E560">
        <v>0.68896664299999999</v>
      </c>
      <c r="F560" s="1" t="s">
        <v>132</v>
      </c>
      <c r="G560" s="1">
        <v>1.0676416820000001</v>
      </c>
      <c r="H560" s="1">
        <v>25</v>
      </c>
      <c r="I560" s="1">
        <v>54.7</v>
      </c>
      <c r="J560" s="1">
        <v>0.62779062733333335</v>
      </c>
      <c r="K560" s="1">
        <v>0.63652882899999996</v>
      </c>
      <c r="L560" s="1">
        <v>0.77536518600000004</v>
      </c>
      <c r="M560" s="3">
        <v>0.610415606</v>
      </c>
      <c r="N560" s="1" t="s">
        <v>80</v>
      </c>
      <c r="O560" s="1">
        <v>0.95325542600000002</v>
      </c>
      <c r="P560" s="1">
        <v>45.6</v>
      </c>
      <c r="Q560" s="1">
        <v>119.8</v>
      </c>
      <c r="R560" s="1">
        <v>0.67410320700000004</v>
      </c>
      <c r="S560" s="1">
        <v>0.17332726516690369</v>
      </c>
      <c r="T560" t="s">
        <v>707</v>
      </c>
      <c r="U560" s="1">
        <v>2531</v>
      </c>
      <c r="V560">
        <f t="shared" si="32"/>
        <v>0.3781435716842505</v>
      </c>
      <c r="W560" s="1">
        <f t="shared" si="33"/>
        <v>20.6</v>
      </c>
      <c r="X560">
        <f t="shared" si="34"/>
        <v>0.11438625600000007</v>
      </c>
      <c r="Y560">
        <f t="shared" si="35"/>
        <v>65.099999999999994</v>
      </c>
      <c r="Z560" s="1">
        <v>1</v>
      </c>
      <c r="AA560">
        <v>99</v>
      </c>
      <c r="AB560">
        <v>1.01E-2</v>
      </c>
      <c r="AC560">
        <v>1</v>
      </c>
      <c r="AD560">
        <v>68</v>
      </c>
      <c r="AE560">
        <v>1.47E-2</v>
      </c>
      <c r="AF560" t="s">
        <v>2589</v>
      </c>
      <c r="AG560" t="s">
        <v>2590</v>
      </c>
    </row>
    <row r="561" spans="1:33">
      <c r="A561" s="2" t="s">
        <v>131</v>
      </c>
      <c r="B561" s="2" t="s">
        <v>81</v>
      </c>
      <c r="C561" s="1">
        <v>0.53830564800000003</v>
      </c>
      <c r="D561">
        <v>0.65609959100000004</v>
      </c>
      <c r="E561">
        <v>0.68896664299999999</v>
      </c>
      <c r="F561" s="1" t="s">
        <v>132</v>
      </c>
      <c r="G561" s="1">
        <v>1.0676416820000001</v>
      </c>
      <c r="H561" s="1">
        <v>25</v>
      </c>
      <c r="I561" s="1">
        <v>54.7</v>
      </c>
      <c r="J561" s="1">
        <v>0.62779062733333335</v>
      </c>
      <c r="K561" s="1">
        <v>0.50183280699999999</v>
      </c>
      <c r="L561" s="1">
        <v>0.68550824600000004</v>
      </c>
      <c r="M561" s="3">
        <v>0.66941488999999998</v>
      </c>
      <c r="N561" s="1" t="s">
        <v>82</v>
      </c>
      <c r="O561" s="1">
        <v>1.4359576970000001</v>
      </c>
      <c r="P561" s="1">
        <v>51</v>
      </c>
      <c r="Q561" s="1">
        <v>85.1</v>
      </c>
      <c r="R561" s="1">
        <v>0.61891864766666671</v>
      </c>
      <c r="S561" s="1">
        <v>5.0768180634067614E-2</v>
      </c>
      <c r="T561" t="s">
        <v>708</v>
      </c>
      <c r="U561" s="1">
        <v>11719</v>
      </c>
      <c r="V561">
        <f t="shared" si="32"/>
        <v>0.45209895047310389</v>
      </c>
      <c r="W561" s="1">
        <f t="shared" si="33"/>
        <v>26</v>
      </c>
      <c r="X561">
        <f t="shared" si="34"/>
        <v>0.368316015</v>
      </c>
      <c r="Y561">
        <f t="shared" si="35"/>
        <v>30.399999999999991</v>
      </c>
      <c r="Z561" s="1">
        <v>0</v>
      </c>
      <c r="AA561">
        <v>100</v>
      </c>
      <c r="AB561">
        <v>0</v>
      </c>
      <c r="AC561">
        <v>0</v>
      </c>
      <c r="AD561">
        <v>80</v>
      </c>
      <c r="AE561">
        <v>0</v>
      </c>
      <c r="AF561" t="s">
        <v>2589</v>
      </c>
      <c r="AG561" t="s">
        <v>2589</v>
      </c>
    </row>
    <row r="562" spans="1:33">
      <c r="A562" s="2" t="s">
        <v>131</v>
      </c>
      <c r="B562" s="2" t="s">
        <v>83</v>
      </c>
      <c r="C562" s="1">
        <v>0.53830564800000003</v>
      </c>
      <c r="D562">
        <v>0.65609959100000004</v>
      </c>
      <c r="E562">
        <v>0.68896664299999999</v>
      </c>
      <c r="F562" s="1" t="s">
        <v>132</v>
      </c>
      <c r="G562" s="1">
        <v>1.0676416820000001</v>
      </c>
      <c r="H562" s="1">
        <v>25</v>
      </c>
      <c r="I562" s="1">
        <v>54.7</v>
      </c>
      <c r="J562" s="1">
        <v>0.62779062733333335</v>
      </c>
      <c r="K562" s="1">
        <v>0.51815179099999997</v>
      </c>
      <c r="L562" s="1">
        <v>0.50115949400000004</v>
      </c>
      <c r="M562" s="3">
        <v>0.68053170600000001</v>
      </c>
      <c r="N562" s="1" t="s">
        <v>84</v>
      </c>
      <c r="O562" s="1">
        <v>1.760323887</v>
      </c>
      <c r="P562" s="1">
        <v>83.4</v>
      </c>
      <c r="Q562" s="1">
        <v>123.5</v>
      </c>
      <c r="R562" s="1">
        <v>0.56661433033333342</v>
      </c>
      <c r="S562" s="1">
        <v>0.15647287232149804</v>
      </c>
      <c r="T562" t="s">
        <v>709</v>
      </c>
      <c r="U562" s="1">
        <v>8594</v>
      </c>
      <c r="V562">
        <f t="shared" si="32"/>
        <v>0.43713281659420938</v>
      </c>
      <c r="W562" s="1">
        <f t="shared" si="33"/>
        <v>58.400000000000006</v>
      </c>
      <c r="X562">
        <f t="shared" si="34"/>
        <v>0.69268220499999988</v>
      </c>
      <c r="Y562">
        <f t="shared" si="35"/>
        <v>68.8</v>
      </c>
      <c r="Z562" s="1">
        <v>0</v>
      </c>
      <c r="AA562">
        <v>100</v>
      </c>
      <c r="AB562">
        <v>0</v>
      </c>
      <c r="AC562">
        <v>0</v>
      </c>
      <c r="AD562">
        <v>75</v>
      </c>
      <c r="AE562">
        <v>0</v>
      </c>
      <c r="AF562" t="s">
        <v>2589</v>
      </c>
      <c r="AG562" t="s">
        <v>2589</v>
      </c>
    </row>
    <row r="563" spans="1:33">
      <c r="A563" s="2" t="s">
        <v>131</v>
      </c>
      <c r="B563" s="2" t="s">
        <v>85</v>
      </c>
      <c r="C563" s="1">
        <v>0.53830564800000003</v>
      </c>
      <c r="D563">
        <v>0.65609959100000004</v>
      </c>
      <c r="E563">
        <v>0.68896664299999999</v>
      </c>
      <c r="F563" s="1" t="s">
        <v>132</v>
      </c>
      <c r="G563" s="1">
        <v>1.0676416820000001</v>
      </c>
      <c r="H563" s="1">
        <v>25</v>
      </c>
      <c r="I563" s="1">
        <v>54.7</v>
      </c>
      <c r="J563" s="1">
        <v>0.62779062733333335</v>
      </c>
      <c r="K563" s="1">
        <v>0.522280945</v>
      </c>
      <c r="L563" s="1">
        <v>0.58016629799999997</v>
      </c>
      <c r="M563" s="3">
        <v>0.62446713499999995</v>
      </c>
      <c r="N563" s="1" t="s">
        <v>86</v>
      </c>
      <c r="O563" s="1">
        <v>0.57177615599999998</v>
      </c>
      <c r="P563" s="1">
        <v>19.5</v>
      </c>
      <c r="Q563" s="1">
        <v>82.2</v>
      </c>
      <c r="R563" s="1">
        <v>0.57563812599999997</v>
      </c>
      <c r="S563" s="1">
        <v>0.10091007196659874</v>
      </c>
      <c r="T563" t="s">
        <v>710</v>
      </c>
      <c r="U563" s="1">
        <v>721</v>
      </c>
      <c r="V563">
        <f t="shared" si="32"/>
        <v>0.3175483627466032</v>
      </c>
      <c r="W563" s="1">
        <f t="shared" si="33"/>
        <v>5.5</v>
      </c>
      <c r="X563">
        <f t="shared" si="34"/>
        <v>0.49586552600000011</v>
      </c>
      <c r="Y563">
        <f t="shared" si="35"/>
        <v>27.5</v>
      </c>
      <c r="Z563" s="1">
        <v>0</v>
      </c>
      <c r="AA563">
        <v>100</v>
      </c>
      <c r="AB563">
        <v>0</v>
      </c>
      <c r="AC563">
        <v>0</v>
      </c>
      <c r="AD563">
        <v>140</v>
      </c>
      <c r="AE563">
        <v>0</v>
      </c>
      <c r="AF563" t="s">
        <v>2589</v>
      </c>
      <c r="AG563" t="s">
        <v>2590</v>
      </c>
    </row>
    <row r="564" spans="1:33">
      <c r="A564" s="2" t="s">
        <v>131</v>
      </c>
      <c r="B564" s="2" t="s">
        <v>87</v>
      </c>
      <c r="C564" s="1">
        <v>0.53830564800000003</v>
      </c>
      <c r="D564">
        <v>0.65609959100000004</v>
      </c>
      <c r="E564">
        <v>0.68896664299999999</v>
      </c>
      <c r="F564" s="1" t="s">
        <v>132</v>
      </c>
      <c r="G564" s="1">
        <v>1.0676416820000001</v>
      </c>
      <c r="H564" s="1">
        <v>25</v>
      </c>
      <c r="I564" s="1">
        <v>54.7</v>
      </c>
      <c r="J564" s="1">
        <v>0.62779062733333335</v>
      </c>
      <c r="K564" s="1">
        <v>0.46780425199999998</v>
      </c>
      <c r="L564" s="1">
        <v>0.54149707400000002</v>
      </c>
      <c r="M564" s="3">
        <v>0.61626236400000001</v>
      </c>
      <c r="N564" s="1" t="s">
        <v>88</v>
      </c>
      <c r="O564" s="1">
        <v>1.395454545</v>
      </c>
      <c r="P564" s="1">
        <v>65.2</v>
      </c>
      <c r="Q564" s="1">
        <v>110</v>
      </c>
      <c r="R564" s="1">
        <v>0.54185456333333337</v>
      </c>
      <c r="S564" s="1">
        <v>0.1529382095017264</v>
      </c>
      <c r="T564" t="s">
        <v>711</v>
      </c>
      <c r="U564" s="1">
        <v>49997</v>
      </c>
      <c r="V564">
        <f t="shared" si="32"/>
        <v>0.5221048828761492</v>
      </c>
      <c r="W564" s="1">
        <f t="shared" si="33"/>
        <v>40.200000000000003</v>
      </c>
      <c r="X564">
        <f t="shared" si="34"/>
        <v>0.3278128629999999</v>
      </c>
      <c r="Y564">
        <f t="shared" si="35"/>
        <v>55.3</v>
      </c>
      <c r="Z564" s="1">
        <v>0</v>
      </c>
      <c r="AA564">
        <v>100</v>
      </c>
      <c r="AB564">
        <v>0</v>
      </c>
      <c r="AC564">
        <v>0</v>
      </c>
      <c r="AD564">
        <v>73</v>
      </c>
      <c r="AE564">
        <v>0</v>
      </c>
      <c r="AF564" t="s">
        <v>2589</v>
      </c>
      <c r="AG564" t="s">
        <v>2590</v>
      </c>
    </row>
    <row r="565" spans="1:33">
      <c r="A565" s="2" t="s">
        <v>131</v>
      </c>
      <c r="B565" s="2" t="s">
        <v>89</v>
      </c>
      <c r="C565" s="1">
        <v>0.53830564800000003</v>
      </c>
      <c r="D565">
        <v>0.65609959100000004</v>
      </c>
      <c r="E565">
        <v>0.68896664299999999</v>
      </c>
      <c r="F565" s="1" t="s">
        <v>132</v>
      </c>
      <c r="G565" s="1">
        <v>1.0676416820000001</v>
      </c>
      <c r="H565" s="1">
        <v>25</v>
      </c>
      <c r="I565" s="1">
        <v>54.7</v>
      </c>
      <c r="J565" s="1">
        <v>0.62779062733333335</v>
      </c>
      <c r="K565" s="1">
        <v>0.51097051500000001</v>
      </c>
      <c r="L565" s="1">
        <v>0.61917891400000002</v>
      </c>
      <c r="M565" s="3">
        <v>0.60984479800000002</v>
      </c>
      <c r="N565" s="1" t="s">
        <v>90</v>
      </c>
      <c r="O565" s="1">
        <v>1.429752066</v>
      </c>
      <c r="P565" s="1">
        <v>59.8</v>
      </c>
      <c r="Q565" s="1">
        <v>108.9</v>
      </c>
      <c r="R565" s="1">
        <v>0.57999807566666661</v>
      </c>
      <c r="S565" s="1">
        <v>9.14910500675888E-2</v>
      </c>
      <c r="T565" t="s">
        <v>712</v>
      </c>
      <c r="U565" s="1">
        <v>9982</v>
      </c>
      <c r="V565">
        <f t="shared" si="32"/>
        <v>0.44435750728112261</v>
      </c>
      <c r="W565" s="1">
        <f t="shared" si="33"/>
        <v>34.799999999999997</v>
      </c>
      <c r="X565">
        <f t="shared" si="34"/>
        <v>0.36211038399999995</v>
      </c>
      <c r="Y565">
        <f t="shared" si="35"/>
        <v>54.2</v>
      </c>
      <c r="Z565" s="1">
        <v>0</v>
      </c>
      <c r="AA565">
        <v>100</v>
      </c>
      <c r="AB565">
        <v>0</v>
      </c>
      <c r="AC565">
        <v>0</v>
      </c>
      <c r="AD565">
        <v>82</v>
      </c>
      <c r="AE565">
        <v>0</v>
      </c>
      <c r="AF565" t="s">
        <v>2589</v>
      </c>
      <c r="AG565" t="s">
        <v>2589</v>
      </c>
    </row>
    <row r="566" spans="1:33">
      <c r="A566" s="2" t="s">
        <v>131</v>
      </c>
      <c r="B566" s="2" t="s">
        <v>91</v>
      </c>
      <c r="C566" s="1">
        <v>0.53830564800000003</v>
      </c>
      <c r="D566">
        <v>0.65609959100000004</v>
      </c>
      <c r="E566">
        <v>0.68896664299999999</v>
      </c>
      <c r="F566" s="1" t="s">
        <v>132</v>
      </c>
      <c r="G566" s="1">
        <v>1.0676416820000001</v>
      </c>
      <c r="H566" s="1">
        <v>25</v>
      </c>
      <c r="I566" s="1">
        <v>54.7</v>
      </c>
      <c r="J566" s="1">
        <v>0.62779062733333335</v>
      </c>
      <c r="K566" s="1">
        <v>0.37439919700000002</v>
      </c>
      <c r="L566" s="1">
        <v>0.508839347</v>
      </c>
      <c r="M566" s="3">
        <v>0.52701193599999996</v>
      </c>
      <c r="N566" s="1" t="s">
        <v>92</v>
      </c>
      <c r="O566" s="1">
        <v>1.911504425</v>
      </c>
      <c r="P566" s="1">
        <v>24.6</v>
      </c>
      <c r="Q566" s="1">
        <v>33.9</v>
      </c>
      <c r="R566" s="1">
        <v>0.47008349333333332</v>
      </c>
      <c r="S566" s="1">
        <v>0.27345974340259083</v>
      </c>
      <c r="T566" t="s">
        <v>713</v>
      </c>
      <c r="U566" s="1">
        <v>712</v>
      </c>
      <c r="V566">
        <f t="shared" si="32"/>
        <v>0.31694222151520629</v>
      </c>
      <c r="W566" s="1">
        <f t="shared" si="33"/>
        <v>0.39999999999999858</v>
      </c>
      <c r="X566">
        <f t="shared" si="34"/>
        <v>0.84386274299999986</v>
      </c>
      <c r="Y566">
        <f t="shared" si="35"/>
        <v>20.800000000000004</v>
      </c>
      <c r="Z566" s="1">
        <v>0</v>
      </c>
      <c r="AA566">
        <v>100</v>
      </c>
      <c r="AB566">
        <v>0</v>
      </c>
      <c r="AC566">
        <v>0</v>
      </c>
      <c r="AD566">
        <v>89</v>
      </c>
      <c r="AE566">
        <v>0</v>
      </c>
      <c r="AF566" t="s">
        <v>2589</v>
      </c>
      <c r="AG566" t="s">
        <v>2590</v>
      </c>
    </row>
    <row r="567" spans="1:33">
      <c r="A567" s="2" t="s">
        <v>131</v>
      </c>
      <c r="B567" s="2" t="s">
        <v>93</v>
      </c>
      <c r="C567" s="1">
        <v>0.53830564800000003</v>
      </c>
      <c r="D567">
        <v>0.65609959100000004</v>
      </c>
      <c r="E567">
        <v>0.68896664299999999</v>
      </c>
      <c r="F567" s="1" t="s">
        <v>132</v>
      </c>
      <c r="G567" s="1">
        <v>1.0676416820000001</v>
      </c>
      <c r="H567" s="1">
        <v>25</v>
      </c>
      <c r="I567" s="1">
        <v>54.7</v>
      </c>
      <c r="J567" s="1">
        <v>0.62779062733333335</v>
      </c>
      <c r="K567" s="1">
        <v>0.54134617200000001</v>
      </c>
      <c r="L567" s="1">
        <v>0.674899633</v>
      </c>
      <c r="M567" s="3">
        <v>0.719840174</v>
      </c>
      <c r="N567" s="1" t="s">
        <v>94</v>
      </c>
      <c r="O567" s="1">
        <v>1.175388967</v>
      </c>
      <c r="P567" s="1">
        <v>36.6</v>
      </c>
      <c r="Q567" s="1">
        <v>70.7</v>
      </c>
      <c r="R567" s="1">
        <v>0.64536199299999997</v>
      </c>
      <c r="S567" s="1">
        <v>3.6274802298624592E-2</v>
      </c>
      <c r="T567" t="s">
        <v>714</v>
      </c>
      <c r="U567" s="1">
        <v>5295</v>
      </c>
      <c r="V567">
        <f t="shared" si="32"/>
        <v>0.4137628849381671</v>
      </c>
      <c r="W567" s="1">
        <f t="shared" si="33"/>
        <v>11.600000000000001</v>
      </c>
      <c r="X567">
        <f t="shared" si="34"/>
        <v>0.10774728499999986</v>
      </c>
      <c r="Y567">
        <f t="shared" si="35"/>
        <v>16</v>
      </c>
      <c r="Z567" s="1">
        <v>1</v>
      </c>
      <c r="AA567">
        <v>99</v>
      </c>
      <c r="AB567">
        <v>1.01E-2</v>
      </c>
      <c r="AC567">
        <v>1</v>
      </c>
      <c r="AD567">
        <v>79</v>
      </c>
      <c r="AE567">
        <v>1.2699999999999999E-2</v>
      </c>
      <c r="AF567" t="s">
        <v>2589</v>
      </c>
      <c r="AG567" t="s">
        <v>2589</v>
      </c>
    </row>
    <row r="568" spans="1:33">
      <c r="A568" s="2" t="s">
        <v>131</v>
      </c>
      <c r="B568" s="2" t="s">
        <v>95</v>
      </c>
      <c r="C568" s="1">
        <v>0.53830564800000003</v>
      </c>
      <c r="D568">
        <v>0.65609959100000004</v>
      </c>
      <c r="E568">
        <v>0.68896664299999999</v>
      </c>
      <c r="F568" s="1" t="s">
        <v>132</v>
      </c>
      <c r="G568" s="1">
        <v>1.0676416820000001</v>
      </c>
      <c r="H568" s="1">
        <v>25</v>
      </c>
      <c r="I568" s="1">
        <v>54.7</v>
      </c>
      <c r="J568" s="1">
        <v>0.62779062733333335</v>
      </c>
      <c r="K568" s="1">
        <v>0.59462093100000002</v>
      </c>
      <c r="L568" s="1">
        <v>0.68038960500000001</v>
      </c>
      <c r="M568" s="3">
        <v>0.72533004899999998</v>
      </c>
      <c r="N568" s="1" t="s">
        <v>96</v>
      </c>
      <c r="O568" s="1">
        <v>1.9717647060000001</v>
      </c>
      <c r="P568" s="1">
        <v>34.6</v>
      </c>
      <c r="Q568" s="1">
        <v>42.5</v>
      </c>
      <c r="R568" s="1">
        <v>0.66678019499999996</v>
      </c>
      <c r="S568" s="1">
        <v>7.1300162520229346E-2</v>
      </c>
      <c r="T568" t="s">
        <v>715</v>
      </c>
      <c r="U568" s="1">
        <v>332</v>
      </c>
      <c r="V568">
        <f t="shared" si="32"/>
        <v>0.28012645374489292</v>
      </c>
      <c r="W568" s="1">
        <f t="shared" si="33"/>
        <v>9.6000000000000014</v>
      </c>
      <c r="X568">
        <f t="shared" si="34"/>
        <v>0.904123024</v>
      </c>
      <c r="Y568">
        <f t="shared" si="35"/>
        <v>12.200000000000003</v>
      </c>
      <c r="Z568" s="1">
        <v>1</v>
      </c>
      <c r="AA568">
        <v>99</v>
      </c>
      <c r="AB568">
        <v>1.01E-2</v>
      </c>
      <c r="AC568">
        <v>1</v>
      </c>
      <c r="AD568">
        <v>85</v>
      </c>
      <c r="AE568">
        <v>1.18E-2</v>
      </c>
      <c r="AF568" t="s">
        <v>2589</v>
      </c>
      <c r="AG568" t="s">
        <v>2593</v>
      </c>
    </row>
    <row r="569" spans="1:33">
      <c r="A569" s="2" t="s">
        <v>131</v>
      </c>
      <c r="B569" s="2" t="s">
        <v>97</v>
      </c>
      <c r="C569" s="1">
        <v>0.53830564800000003</v>
      </c>
      <c r="D569">
        <v>0.65609959100000004</v>
      </c>
      <c r="E569">
        <v>0.68896664299999999</v>
      </c>
      <c r="F569" s="1" t="s">
        <v>132</v>
      </c>
      <c r="G569" s="1">
        <v>1.0676416820000001</v>
      </c>
      <c r="H569" s="1">
        <v>25</v>
      </c>
      <c r="I569" s="1">
        <v>54.7</v>
      </c>
      <c r="J569" s="1">
        <v>0.62779062733333335</v>
      </c>
      <c r="K569" s="1">
        <v>0.63674842300000001</v>
      </c>
      <c r="L569" s="1">
        <v>0.68532635500000005</v>
      </c>
      <c r="M569" s="3">
        <v>0.727031494</v>
      </c>
      <c r="N569" s="1" t="s">
        <v>98</v>
      </c>
      <c r="O569" s="1">
        <v>2.360103627</v>
      </c>
      <c r="P569" s="1">
        <v>36.799999999999997</v>
      </c>
      <c r="Q569" s="1">
        <v>38.6</v>
      </c>
      <c r="R569" s="1">
        <v>0.68303542400000017</v>
      </c>
      <c r="S569" s="1">
        <v>0.10951765412601075</v>
      </c>
      <c r="T569" t="s">
        <v>716</v>
      </c>
      <c r="U569" s="1">
        <v>352</v>
      </c>
      <c r="V569">
        <f t="shared" si="32"/>
        <v>0.28294918483090348</v>
      </c>
      <c r="W569" s="1">
        <f t="shared" si="33"/>
        <v>11.799999999999997</v>
      </c>
      <c r="X569">
        <f t="shared" si="34"/>
        <v>1.2924619449999999</v>
      </c>
      <c r="Y569">
        <f t="shared" si="35"/>
        <v>16.100000000000001</v>
      </c>
      <c r="Z569" s="1">
        <v>0</v>
      </c>
      <c r="AA569">
        <v>100</v>
      </c>
      <c r="AB569">
        <v>0</v>
      </c>
      <c r="AC569">
        <v>0</v>
      </c>
      <c r="AD569">
        <v>86</v>
      </c>
      <c r="AE569">
        <v>0</v>
      </c>
      <c r="AF569" t="s">
        <v>2589</v>
      </c>
      <c r="AG569" t="s">
        <v>2593</v>
      </c>
    </row>
    <row r="570" spans="1:33">
      <c r="A570" s="2" t="s">
        <v>131</v>
      </c>
      <c r="B570" s="2" t="s">
        <v>99</v>
      </c>
      <c r="C570" s="1">
        <v>0.53830564800000003</v>
      </c>
      <c r="D570">
        <v>0.65609959100000004</v>
      </c>
      <c r="E570">
        <v>0.68896664299999999</v>
      </c>
      <c r="F570" s="1" t="s">
        <v>132</v>
      </c>
      <c r="G570" s="1">
        <v>1.0676416820000001</v>
      </c>
      <c r="H570" s="1">
        <v>25</v>
      </c>
      <c r="I570" s="1">
        <v>54.7</v>
      </c>
      <c r="J570" s="1">
        <v>0.62779062733333335</v>
      </c>
      <c r="K570" s="1">
        <v>0.52525630099999998</v>
      </c>
      <c r="L570" s="1">
        <v>0.68706170200000005</v>
      </c>
      <c r="M570" s="3">
        <v>0.71473597300000002</v>
      </c>
      <c r="N570" s="1" t="s">
        <v>100</v>
      </c>
      <c r="O570" s="1">
        <v>1.72605042</v>
      </c>
      <c r="P570" s="1">
        <v>46.5</v>
      </c>
      <c r="Q570" s="1">
        <v>59.5</v>
      </c>
      <c r="R570" s="1">
        <v>0.64235132533333339</v>
      </c>
      <c r="S570" s="1">
        <v>4.2343785179783273E-2</v>
      </c>
      <c r="T570" t="s">
        <v>717</v>
      </c>
      <c r="U570" s="1">
        <v>9286</v>
      </c>
      <c r="V570">
        <f t="shared" si="32"/>
        <v>0.44086985325890615</v>
      </c>
      <c r="W570" s="1">
        <f t="shared" si="33"/>
        <v>21.5</v>
      </c>
      <c r="X570">
        <f t="shared" si="34"/>
        <v>0.65840873799999988</v>
      </c>
      <c r="Y570">
        <f t="shared" si="35"/>
        <v>4.7999999999999972</v>
      </c>
      <c r="Z570" s="1">
        <v>0</v>
      </c>
      <c r="AA570">
        <v>100</v>
      </c>
      <c r="AB570">
        <v>0</v>
      </c>
      <c r="AC570">
        <v>0</v>
      </c>
      <c r="AD570">
        <v>88</v>
      </c>
      <c r="AE570">
        <v>0</v>
      </c>
      <c r="AF570" t="s">
        <v>2589</v>
      </c>
      <c r="AG570" t="s">
        <v>2589</v>
      </c>
    </row>
    <row r="571" spans="1:33">
      <c r="A571" s="2" t="s">
        <v>131</v>
      </c>
      <c r="B571" s="2" t="s">
        <v>148</v>
      </c>
      <c r="C571" s="1">
        <v>0.53830564800000003</v>
      </c>
      <c r="D571">
        <v>0.65609959100000004</v>
      </c>
      <c r="E571">
        <v>0.68896664299999999</v>
      </c>
      <c r="F571" s="1" t="s">
        <v>132</v>
      </c>
      <c r="G571" s="1">
        <v>1.0676416820000001</v>
      </c>
      <c r="H571" s="1">
        <v>25</v>
      </c>
      <c r="I571" s="1">
        <v>54.7</v>
      </c>
      <c r="J571" s="1">
        <v>0.62779062733333335</v>
      </c>
      <c r="K571" s="1">
        <v>0.52246277500000005</v>
      </c>
      <c r="L571" s="1">
        <v>0.64036274199999998</v>
      </c>
      <c r="M571" s="3">
        <v>0.62317592099999997</v>
      </c>
      <c r="N571" s="1" t="s">
        <v>149</v>
      </c>
      <c r="O571" s="1">
        <v>1.201000834</v>
      </c>
      <c r="P571" s="1">
        <v>59.2</v>
      </c>
      <c r="Q571" s="1">
        <v>119.9</v>
      </c>
      <c r="R571" s="1">
        <v>0.59533381266666663</v>
      </c>
      <c r="S571" s="1">
        <v>6.947707638224436E-2</v>
      </c>
      <c r="T571" t="s">
        <v>733</v>
      </c>
      <c r="U571" s="1">
        <v>4687</v>
      </c>
      <c r="V571">
        <f t="shared" si="32"/>
        <v>0.40787721705780111</v>
      </c>
      <c r="W571" s="1">
        <f t="shared" si="33"/>
        <v>34.200000000000003</v>
      </c>
      <c r="X571">
        <f t="shared" si="34"/>
        <v>0.13335915199999993</v>
      </c>
      <c r="Y571">
        <f t="shared" si="35"/>
        <v>65.2</v>
      </c>
      <c r="Z571" s="1">
        <v>0</v>
      </c>
      <c r="AA571">
        <v>100</v>
      </c>
      <c r="AB571">
        <v>0</v>
      </c>
      <c r="AC571">
        <v>0</v>
      </c>
      <c r="AD571">
        <v>83</v>
      </c>
      <c r="AE571">
        <v>0</v>
      </c>
      <c r="AF571" t="s">
        <v>2589</v>
      </c>
      <c r="AG571" t="s">
        <v>2589</v>
      </c>
    </row>
    <row r="572" spans="1:33">
      <c r="A572" s="2" t="s">
        <v>131</v>
      </c>
      <c r="B572" s="2" t="s">
        <v>101</v>
      </c>
      <c r="C572" s="1">
        <v>0.53830564800000003</v>
      </c>
      <c r="D572">
        <v>0.65609959100000004</v>
      </c>
      <c r="E572">
        <v>0.68896664299999999</v>
      </c>
      <c r="F572" s="1" t="s">
        <v>132</v>
      </c>
      <c r="G572" s="1">
        <v>1.0676416820000001</v>
      </c>
      <c r="H572" s="1">
        <v>25</v>
      </c>
      <c r="I572" s="1">
        <v>54.7</v>
      </c>
      <c r="J572" s="1">
        <v>0.62779062733333335</v>
      </c>
      <c r="K572" s="1">
        <v>0.57277697599999999</v>
      </c>
      <c r="L572" s="1">
        <v>0.64568820599999999</v>
      </c>
      <c r="M572" s="3">
        <v>0.70909993500000001</v>
      </c>
      <c r="N572" s="1" t="s">
        <v>102</v>
      </c>
      <c r="O572" s="1">
        <v>1.2818181820000001</v>
      </c>
      <c r="P572" s="1">
        <v>58</v>
      </c>
      <c r="Q572" s="1">
        <v>110</v>
      </c>
      <c r="R572" s="1">
        <v>0.64252170566666666</v>
      </c>
      <c r="S572" s="1">
        <v>4.1255531004449245E-2</v>
      </c>
      <c r="T572" t="s">
        <v>718</v>
      </c>
      <c r="U572" s="1">
        <v>5705</v>
      </c>
      <c r="V572">
        <f t="shared" si="32"/>
        <v>0.41736173875047039</v>
      </c>
      <c r="W572" s="1">
        <f t="shared" si="33"/>
        <v>33</v>
      </c>
      <c r="X572">
        <f t="shared" si="34"/>
        <v>0.21417649999999999</v>
      </c>
      <c r="Y572">
        <f t="shared" si="35"/>
        <v>55.3</v>
      </c>
      <c r="Z572" s="1">
        <v>0</v>
      </c>
      <c r="AA572">
        <v>100</v>
      </c>
      <c r="AB572">
        <v>0</v>
      </c>
      <c r="AC572">
        <v>0</v>
      </c>
      <c r="AD572">
        <v>81</v>
      </c>
      <c r="AE572">
        <v>0</v>
      </c>
      <c r="AF572" t="s">
        <v>2589</v>
      </c>
      <c r="AG572" t="s">
        <v>2589</v>
      </c>
    </row>
    <row r="573" spans="1:33">
      <c r="A573" s="2" t="s">
        <v>131</v>
      </c>
      <c r="B573" s="2" t="s">
        <v>103</v>
      </c>
      <c r="C573" s="1">
        <v>0.53830564800000003</v>
      </c>
      <c r="D573">
        <v>0.65609959100000004</v>
      </c>
      <c r="E573">
        <v>0.68896664299999999</v>
      </c>
      <c r="F573" s="1" t="s">
        <v>132</v>
      </c>
      <c r="G573" s="1">
        <v>1.0676416820000001</v>
      </c>
      <c r="H573" s="1">
        <v>25</v>
      </c>
      <c r="I573" s="1">
        <v>54.7</v>
      </c>
      <c r="J573" s="1">
        <v>0.62779062733333335</v>
      </c>
      <c r="K573" s="1">
        <v>0.58538445800000005</v>
      </c>
      <c r="L573" s="1">
        <v>0.70461059999999998</v>
      </c>
      <c r="M573" s="3">
        <v>0.67846608399999997</v>
      </c>
      <c r="N573" s="1" t="s">
        <v>104</v>
      </c>
      <c r="O573" s="1">
        <v>1.1020080320000001</v>
      </c>
      <c r="P573" s="1">
        <v>58.7</v>
      </c>
      <c r="Q573" s="1">
        <v>124.5</v>
      </c>
      <c r="R573" s="1">
        <v>0.65615371400000011</v>
      </c>
      <c r="S573" s="1">
        <v>6.8410482270823525E-2</v>
      </c>
      <c r="T573" t="s">
        <v>719</v>
      </c>
      <c r="U573" s="1">
        <v>10984</v>
      </c>
      <c r="V573">
        <f t="shared" si="32"/>
        <v>0.4489733915809665</v>
      </c>
      <c r="W573" s="1">
        <f t="shared" si="33"/>
        <v>33.700000000000003</v>
      </c>
      <c r="X573">
        <f t="shared" si="34"/>
        <v>3.436634999999999E-2</v>
      </c>
      <c r="Y573">
        <f t="shared" si="35"/>
        <v>69.8</v>
      </c>
      <c r="Z573" s="1">
        <v>0</v>
      </c>
      <c r="AA573">
        <v>100</v>
      </c>
      <c r="AB573">
        <v>0</v>
      </c>
      <c r="AC573">
        <v>0</v>
      </c>
      <c r="AD573">
        <v>82</v>
      </c>
      <c r="AE573">
        <v>0</v>
      </c>
      <c r="AF573" t="s">
        <v>2589</v>
      </c>
      <c r="AG573" t="s">
        <v>2589</v>
      </c>
    </row>
    <row r="574" spans="1:33">
      <c r="A574" s="2" t="s">
        <v>131</v>
      </c>
      <c r="B574" s="2" t="s">
        <v>105</v>
      </c>
      <c r="C574" s="1">
        <v>0.53830564800000003</v>
      </c>
      <c r="D574">
        <v>0.65609959100000004</v>
      </c>
      <c r="E574">
        <v>0.68896664299999999</v>
      </c>
      <c r="F574" s="1" t="s">
        <v>132</v>
      </c>
      <c r="G574" s="1">
        <v>1.0676416820000001</v>
      </c>
      <c r="H574" s="1">
        <v>25</v>
      </c>
      <c r="I574" s="1">
        <v>54.7</v>
      </c>
      <c r="J574" s="1">
        <v>0.62779062733333335</v>
      </c>
      <c r="K574" s="1">
        <v>0.56210716000000005</v>
      </c>
      <c r="L574" s="1">
        <v>0.68032504299999996</v>
      </c>
      <c r="M574" s="3">
        <v>0.71115907899999997</v>
      </c>
      <c r="N574" s="1" t="s">
        <v>106</v>
      </c>
      <c r="O574" s="1">
        <v>1.0978593270000001</v>
      </c>
      <c r="P574" s="1">
        <v>43.5</v>
      </c>
      <c r="Q574" s="1">
        <v>98.1</v>
      </c>
      <c r="R574" s="1">
        <v>0.65119709399999992</v>
      </c>
      <c r="S574" s="1">
        <v>4.0569554023978875E-2</v>
      </c>
      <c r="T574" t="s">
        <v>720</v>
      </c>
      <c r="U574" s="1">
        <v>9871</v>
      </c>
      <c r="V574">
        <f t="shared" si="32"/>
        <v>0.44381790576755564</v>
      </c>
      <c r="W574" s="1">
        <f t="shared" si="33"/>
        <v>18.5</v>
      </c>
      <c r="X574">
        <f t="shared" si="34"/>
        <v>3.0217645000000015E-2</v>
      </c>
      <c r="Y574">
        <f t="shared" si="35"/>
        <v>43.399999999999991</v>
      </c>
      <c r="Z574" s="1">
        <v>0</v>
      </c>
      <c r="AA574">
        <v>100</v>
      </c>
      <c r="AB574">
        <v>0</v>
      </c>
      <c r="AC574">
        <v>0</v>
      </c>
      <c r="AD574">
        <v>100</v>
      </c>
      <c r="AE574">
        <v>0</v>
      </c>
      <c r="AF574" t="s">
        <v>2589</v>
      </c>
      <c r="AG574" t="s">
        <v>2589</v>
      </c>
    </row>
    <row r="575" spans="1:33">
      <c r="A575" s="2" t="s">
        <v>131</v>
      </c>
      <c r="B575" s="2" t="s">
        <v>107</v>
      </c>
      <c r="C575" s="1">
        <v>0.53830564800000003</v>
      </c>
      <c r="D575">
        <v>0.65609959100000004</v>
      </c>
      <c r="E575">
        <v>0.68896664299999999</v>
      </c>
      <c r="F575" s="1" t="s">
        <v>132</v>
      </c>
      <c r="G575" s="1">
        <v>1.0676416820000001</v>
      </c>
      <c r="H575" s="1">
        <v>25</v>
      </c>
      <c r="I575" s="1">
        <v>54.7</v>
      </c>
      <c r="J575" s="1">
        <v>0.62779062733333335</v>
      </c>
      <c r="K575" s="1">
        <v>0.61734740899999996</v>
      </c>
      <c r="L575" s="1">
        <v>0.68293216999999995</v>
      </c>
      <c r="M575" s="3">
        <v>0.69981194099999999</v>
      </c>
      <c r="N575" s="1" t="s">
        <v>108</v>
      </c>
      <c r="O575" s="1">
        <v>2</v>
      </c>
      <c r="P575" s="1">
        <v>19</v>
      </c>
      <c r="Q575" s="1">
        <v>21.1</v>
      </c>
      <c r="R575" s="1">
        <v>0.66669717333333323</v>
      </c>
      <c r="S575" s="1">
        <v>8.4173676208664852E-2</v>
      </c>
      <c r="T575" t="s">
        <v>721</v>
      </c>
      <c r="U575" s="1">
        <v>4545</v>
      </c>
      <c r="V575">
        <f t="shared" si="32"/>
        <v>0.40639265417310955</v>
      </c>
      <c r="W575" s="1">
        <f t="shared" si="33"/>
        <v>6</v>
      </c>
      <c r="X575">
        <f t="shared" si="34"/>
        <v>0.93235831799999991</v>
      </c>
      <c r="Y575">
        <f t="shared" si="35"/>
        <v>33.6</v>
      </c>
      <c r="Z575" s="1">
        <v>0</v>
      </c>
      <c r="AA575">
        <v>100</v>
      </c>
      <c r="AB575">
        <v>0</v>
      </c>
      <c r="AC575">
        <v>0</v>
      </c>
      <c r="AD575">
        <v>76</v>
      </c>
      <c r="AE575">
        <v>0</v>
      </c>
      <c r="AF575" t="s">
        <v>2589</v>
      </c>
      <c r="AG575" t="s">
        <v>2588</v>
      </c>
    </row>
    <row r="576" spans="1:33">
      <c r="A576" s="2" t="s">
        <v>131</v>
      </c>
      <c r="B576" s="2" t="s">
        <v>109</v>
      </c>
      <c r="C576" s="1">
        <v>0.53830564800000003</v>
      </c>
      <c r="D576">
        <v>0.65609959100000004</v>
      </c>
      <c r="E576">
        <v>0.68896664299999999</v>
      </c>
      <c r="F576" s="1" t="s">
        <v>132</v>
      </c>
      <c r="G576" s="1">
        <v>1.0676416820000001</v>
      </c>
      <c r="H576" s="1">
        <v>25</v>
      </c>
      <c r="I576" s="1">
        <v>54.7</v>
      </c>
      <c r="J576" s="1">
        <v>0.62779062733333335</v>
      </c>
      <c r="K576" s="1">
        <v>0.51638908800000005</v>
      </c>
      <c r="L576" s="1">
        <v>0.68684605300000001</v>
      </c>
      <c r="M576" s="3">
        <v>0.66065444600000001</v>
      </c>
      <c r="N576" s="1" t="s">
        <v>110</v>
      </c>
      <c r="O576" s="1">
        <v>1.2897862229999999</v>
      </c>
      <c r="P576" s="1">
        <v>49.4</v>
      </c>
      <c r="Q576" s="1">
        <v>84.2</v>
      </c>
      <c r="R576" s="1">
        <v>0.62129652899999999</v>
      </c>
      <c r="S576" s="1">
        <v>4.7193866409925019E-2</v>
      </c>
      <c r="T576" t="s">
        <v>722</v>
      </c>
      <c r="U576" s="1">
        <v>62016</v>
      </c>
      <c r="V576">
        <f t="shared" si="32"/>
        <v>0.53250041678162807</v>
      </c>
      <c r="W576" s="1">
        <f t="shared" si="33"/>
        <v>24.4</v>
      </c>
      <c r="X576">
        <f t="shared" si="34"/>
        <v>0.22214454099999981</v>
      </c>
      <c r="Y576">
        <f t="shared" si="35"/>
        <v>29.5</v>
      </c>
      <c r="Z576" s="1">
        <v>2</v>
      </c>
      <c r="AA576">
        <v>98</v>
      </c>
      <c r="AB576">
        <v>2.0400000000000001E-2</v>
      </c>
      <c r="AC576">
        <v>3</v>
      </c>
      <c r="AD576">
        <v>94</v>
      </c>
      <c r="AE576">
        <v>3.1899999999999998E-2</v>
      </c>
      <c r="AF576" t="s">
        <v>2589</v>
      </c>
      <c r="AG576" t="s">
        <v>2589</v>
      </c>
    </row>
    <row r="577" spans="1:33">
      <c r="A577" s="2" t="s">
        <v>131</v>
      </c>
      <c r="B577" s="2" t="s">
        <v>111</v>
      </c>
      <c r="C577" s="1">
        <v>0.53830564800000003</v>
      </c>
      <c r="D577">
        <v>0.65609959100000004</v>
      </c>
      <c r="E577">
        <v>0.68896664299999999</v>
      </c>
      <c r="F577" s="1" t="s">
        <v>132</v>
      </c>
      <c r="G577" s="1">
        <v>1.0676416820000001</v>
      </c>
      <c r="H577" s="1">
        <v>25</v>
      </c>
      <c r="I577" s="1">
        <v>54.7</v>
      </c>
      <c r="J577" s="1">
        <v>0.62779062733333335</v>
      </c>
      <c r="K577" s="1">
        <v>0.60132418300000001</v>
      </c>
      <c r="L577" s="1">
        <v>0.67605095299999995</v>
      </c>
      <c r="M577" s="3">
        <v>0.74222981799999999</v>
      </c>
      <c r="N577" s="1" t="s">
        <v>112</v>
      </c>
      <c r="O577" s="1">
        <v>1.561403509</v>
      </c>
      <c r="P577" s="1">
        <v>30</v>
      </c>
      <c r="Q577" s="1">
        <v>45.6</v>
      </c>
      <c r="R577" s="1">
        <v>0.67320165133333332</v>
      </c>
      <c r="S577" s="1">
        <v>8.4890272765976479E-2</v>
      </c>
      <c r="T577" t="s">
        <v>723</v>
      </c>
      <c r="U577" s="1">
        <v>1252</v>
      </c>
      <c r="V577">
        <f t="shared" si="32"/>
        <v>0.34417825876382341</v>
      </c>
      <c r="W577" s="1">
        <f t="shared" si="33"/>
        <v>5</v>
      </c>
      <c r="X577">
        <f t="shared" si="34"/>
        <v>0.49376182699999993</v>
      </c>
      <c r="Y577">
        <f t="shared" si="35"/>
        <v>9.1000000000000014</v>
      </c>
      <c r="Z577" s="1">
        <v>0</v>
      </c>
      <c r="AA577">
        <v>100</v>
      </c>
      <c r="AB577">
        <v>0</v>
      </c>
      <c r="AC577">
        <v>0</v>
      </c>
      <c r="AD577">
        <v>92</v>
      </c>
      <c r="AE577">
        <v>0</v>
      </c>
      <c r="AF577" t="s">
        <v>2589</v>
      </c>
      <c r="AG577" t="s">
        <v>2591</v>
      </c>
    </row>
    <row r="578" spans="1:33">
      <c r="A578" s="2" t="s">
        <v>131</v>
      </c>
      <c r="B578" s="2" t="s">
        <v>113</v>
      </c>
      <c r="C578" s="1">
        <v>0.53830564800000003</v>
      </c>
      <c r="D578">
        <v>0.65609959100000004</v>
      </c>
      <c r="E578">
        <v>0.68896664299999999</v>
      </c>
      <c r="F578" s="1" t="s">
        <v>132</v>
      </c>
      <c r="G578" s="1">
        <v>1.0676416820000001</v>
      </c>
      <c r="H578" s="1">
        <v>25</v>
      </c>
      <c r="I578" s="1">
        <v>54.7</v>
      </c>
      <c r="J578" s="1">
        <v>0.62779062733333335</v>
      </c>
      <c r="K578" s="1">
        <v>0.57440698499999998</v>
      </c>
      <c r="L578" s="1">
        <v>0.66920790399999996</v>
      </c>
      <c r="M578" s="3">
        <v>0.71602402300000001</v>
      </c>
      <c r="N578" s="1" t="s">
        <v>114</v>
      </c>
      <c r="O578" s="1">
        <v>2.5573248409999998</v>
      </c>
      <c r="P578" s="1">
        <v>34.299999999999997</v>
      </c>
      <c r="Q578" s="1">
        <v>31.4</v>
      </c>
      <c r="R578" s="1">
        <v>0.65321297066666661</v>
      </c>
      <c r="S578" s="1">
        <v>4.6981232586618397E-2</v>
      </c>
      <c r="T578" t="s">
        <v>724</v>
      </c>
      <c r="U578" s="1">
        <v>1571</v>
      </c>
      <c r="V578">
        <f t="shared" ref="V578:V641" si="36">LOG10(U578) / 9</f>
        <v>0.35513068722666374</v>
      </c>
      <c r="W578" s="1">
        <f t="shared" ref="W578:W641" si="37">ABS(H578-P578)</f>
        <v>9.2999999999999972</v>
      </c>
      <c r="X578">
        <f t="shared" ref="X578:X641" si="38">ABS(G578-O578)</f>
        <v>1.4896831589999997</v>
      </c>
      <c r="Y578">
        <f t="shared" ref="Y578:Y641" si="39">ABS(I578-Q578)</f>
        <v>23.300000000000004</v>
      </c>
      <c r="Z578" s="1">
        <v>0</v>
      </c>
      <c r="AA578">
        <v>100</v>
      </c>
      <c r="AB578">
        <v>0</v>
      </c>
      <c r="AC578">
        <v>0</v>
      </c>
      <c r="AD578">
        <v>86</v>
      </c>
      <c r="AE578">
        <v>0</v>
      </c>
      <c r="AF578" t="s">
        <v>2589</v>
      </c>
      <c r="AG578" t="s">
        <v>2593</v>
      </c>
    </row>
    <row r="579" spans="1:33">
      <c r="A579" s="2" t="s">
        <v>131</v>
      </c>
      <c r="B579" s="2" t="s">
        <v>115</v>
      </c>
      <c r="C579" s="1">
        <v>0.53830564800000003</v>
      </c>
      <c r="D579">
        <v>0.65609959100000004</v>
      </c>
      <c r="E579">
        <v>0.68896664299999999</v>
      </c>
      <c r="F579" s="1" t="s">
        <v>132</v>
      </c>
      <c r="G579" s="1">
        <v>1.0676416820000001</v>
      </c>
      <c r="H579" s="1">
        <v>25</v>
      </c>
      <c r="I579" s="1">
        <v>54.7</v>
      </c>
      <c r="J579" s="1">
        <v>0.62779062733333335</v>
      </c>
      <c r="K579" s="1">
        <v>0.55237211100000005</v>
      </c>
      <c r="L579" s="1">
        <v>0.65961031000000003</v>
      </c>
      <c r="M579" s="3">
        <v>0.69215541599999997</v>
      </c>
      <c r="N579" s="1" t="s">
        <v>116</v>
      </c>
      <c r="O579" s="1">
        <v>1.149700599</v>
      </c>
      <c r="P579" s="1">
        <v>66.900000000000006</v>
      </c>
      <c r="Q579" s="1">
        <v>133.6</v>
      </c>
      <c r="R579" s="1">
        <v>0.63471261233333331</v>
      </c>
      <c r="S579" s="1">
        <v>1.4844487275512739E-2</v>
      </c>
      <c r="T579" t="s">
        <v>725</v>
      </c>
      <c r="U579" s="1">
        <v>5472</v>
      </c>
      <c r="V579">
        <f t="shared" si="36"/>
        <v>0.4153495654124511</v>
      </c>
      <c r="W579" s="1">
        <f t="shared" si="37"/>
        <v>41.900000000000006</v>
      </c>
      <c r="X579">
        <f t="shared" si="38"/>
        <v>8.2058916999999898E-2</v>
      </c>
      <c r="Y579">
        <f t="shared" si="39"/>
        <v>78.899999999999991</v>
      </c>
      <c r="Z579" s="1">
        <v>0</v>
      </c>
      <c r="AA579">
        <v>100</v>
      </c>
      <c r="AB579">
        <v>0</v>
      </c>
      <c r="AC579">
        <v>0</v>
      </c>
      <c r="AD579">
        <v>91</v>
      </c>
      <c r="AE579">
        <v>0</v>
      </c>
      <c r="AF579" t="s">
        <v>2589</v>
      </c>
      <c r="AG579" t="s">
        <v>2589</v>
      </c>
    </row>
    <row r="580" spans="1:33">
      <c r="A580" s="2" t="s">
        <v>131</v>
      </c>
      <c r="B580" s="2" t="s">
        <v>117</v>
      </c>
      <c r="C580" s="1">
        <v>0.53830564800000003</v>
      </c>
      <c r="D580">
        <v>0.65609959100000004</v>
      </c>
      <c r="E580">
        <v>0.68896664299999999</v>
      </c>
      <c r="F580" s="1" t="s">
        <v>132</v>
      </c>
      <c r="G580" s="1">
        <v>1.0676416820000001</v>
      </c>
      <c r="H580" s="1">
        <v>25</v>
      </c>
      <c r="I580" s="1">
        <v>54.7</v>
      </c>
      <c r="J580" s="1">
        <v>0.62779062733333335</v>
      </c>
      <c r="K580" s="1">
        <v>0.52788907299999999</v>
      </c>
      <c r="L580" s="1">
        <v>0.665074418</v>
      </c>
      <c r="M580" s="3">
        <v>0.69056128699999997</v>
      </c>
      <c r="N580" s="1" t="s">
        <v>118</v>
      </c>
      <c r="O580" s="1">
        <v>1.0818253339999999</v>
      </c>
      <c r="P580" s="1">
        <v>58.4</v>
      </c>
      <c r="Q580" s="1">
        <v>127.1</v>
      </c>
      <c r="R580" s="1">
        <v>0.62784159266666661</v>
      </c>
      <c r="S580" s="1">
        <v>1.3841800601702441E-2</v>
      </c>
      <c r="T580" t="s">
        <v>726</v>
      </c>
      <c r="U580" s="1">
        <v>15497</v>
      </c>
      <c r="V580">
        <f t="shared" si="36"/>
        <v>0.4655830703375774</v>
      </c>
      <c r="W580" s="1">
        <f t="shared" si="37"/>
        <v>33.4</v>
      </c>
      <c r="X580">
        <f t="shared" si="38"/>
        <v>1.4183651999999825E-2</v>
      </c>
      <c r="Y580">
        <f t="shared" si="39"/>
        <v>72.399999999999991</v>
      </c>
      <c r="Z580" s="1">
        <v>1</v>
      </c>
      <c r="AA580">
        <v>99</v>
      </c>
      <c r="AB580">
        <v>1.01E-2</v>
      </c>
      <c r="AC580">
        <v>1</v>
      </c>
      <c r="AD580">
        <v>102</v>
      </c>
      <c r="AE580">
        <v>9.7999999999999997E-3</v>
      </c>
      <c r="AF580" t="s">
        <v>2589</v>
      </c>
      <c r="AG580" t="s">
        <v>2589</v>
      </c>
    </row>
    <row r="581" spans="1:33">
      <c r="A581" s="2" t="s">
        <v>131</v>
      </c>
      <c r="B581" s="2" t="s">
        <v>119</v>
      </c>
      <c r="C581" s="1">
        <v>0.53830564800000003</v>
      </c>
      <c r="D581">
        <v>0.65609959100000004</v>
      </c>
      <c r="E581">
        <v>0.68896664299999999</v>
      </c>
      <c r="F581" s="1" t="s">
        <v>132</v>
      </c>
      <c r="G581" s="1">
        <v>1.0676416820000001</v>
      </c>
      <c r="H581" s="1">
        <v>25</v>
      </c>
      <c r="I581" s="1">
        <v>54.7</v>
      </c>
      <c r="J581" s="1">
        <v>0.62779062733333335</v>
      </c>
      <c r="K581" s="1">
        <v>0.48582609999999998</v>
      </c>
      <c r="L581" s="1">
        <v>0.67226483999999997</v>
      </c>
      <c r="M581" s="3">
        <v>0.68571362400000002</v>
      </c>
      <c r="N581" s="1" t="s">
        <v>120</v>
      </c>
      <c r="O581" s="1">
        <v>1.1435028249999999</v>
      </c>
      <c r="P581" s="1">
        <v>42.6</v>
      </c>
      <c r="Q581" s="1">
        <v>88.5</v>
      </c>
      <c r="R581" s="1">
        <v>0.61460152133333334</v>
      </c>
      <c r="S581" s="1">
        <v>5.5009093485810762E-2</v>
      </c>
      <c r="T581" t="s">
        <v>727</v>
      </c>
      <c r="U581" s="1">
        <v>18284</v>
      </c>
      <c r="V581">
        <f t="shared" si="36"/>
        <v>0.47356346806858812</v>
      </c>
      <c r="W581" s="1">
        <f t="shared" si="37"/>
        <v>17.600000000000001</v>
      </c>
      <c r="X581">
        <f t="shared" si="38"/>
        <v>7.5861142999999798E-2</v>
      </c>
      <c r="Y581">
        <f t="shared" si="39"/>
        <v>33.799999999999997</v>
      </c>
      <c r="Z581" s="1">
        <v>1</v>
      </c>
      <c r="AA581">
        <v>99</v>
      </c>
      <c r="AB581">
        <v>1.01E-2</v>
      </c>
      <c r="AC581">
        <v>1</v>
      </c>
      <c r="AD581">
        <v>90</v>
      </c>
      <c r="AE581">
        <v>1.11E-2</v>
      </c>
      <c r="AF581" t="s">
        <v>2589</v>
      </c>
      <c r="AG581" t="s">
        <v>2589</v>
      </c>
    </row>
    <row r="582" spans="1:33">
      <c r="A582" s="2" t="s">
        <v>131</v>
      </c>
      <c r="B582" s="2" t="s">
        <v>121</v>
      </c>
      <c r="C582" s="1">
        <v>0.53830564800000003</v>
      </c>
      <c r="D582">
        <v>0.65609959100000004</v>
      </c>
      <c r="E582">
        <v>0.68896664299999999</v>
      </c>
      <c r="F582" s="1" t="s">
        <v>132</v>
      </c>
      <c r="G582" s="1">
        <v>1.0676416820000001</v>
      </c>
      <c r="H582" s="1">
        <v>25</v>
      </c>
      <c r="I582" s="1">
        <v>54.7</v>
      </c>
      <c r="J582" s="1">
        <v>0.62779062733333335</v>
      </c>
      <c r="K582" s="1">
        <v>0.57363214500000004</v>
      </c>
      <c r="L582" s="1">
        <v>0.65876685800000001</v>
      </c>
      <c r="M582" s="3">
        <v>0.71110834000000001</v>
      </c>
      <c r="N582" s="1" t="s">
        <v>122</v>
      </c>
      <c r="O582" s="1">
        <v>2.4518664050000001</v>
      </c>
      <c r="P582" s="1">
        <v>50.1</v>
      </c>
      <c r="Q582" s="1">
        <v>50.9</v>
      </c>
      <c r="R582" s="1">
        <v>0.64783578100000005</v>
      </c>
      <c r="S582" s="1">
        <v>4.1777152243542261E-2</v>
      </c>
      <c r="T582" t="s">
        <v>728</v>
      </c>
      <c r="U582" s="1">
        <v>1416</v>
      </c>
      <c r="V582">
        <f t="shared" si="36"/>
        <v>0.35011813926152779</v>
      </c>
      <c r="W582" s="1">
        <f t="shared" si="37"/>
        <v>25.1</v>
      </c>
      <c r="X582">
        <f t="shared" si="38"/>
        <v>1.384224723</v>
      </c>
      <c r="Y582">
        <f t="shared" si="39"/>
        <v>3.8000000000000043</v>
      </c>
      <c r="Z582" s="1">
        <v>1</v>
      </c>
      <c r="AA582">
        <v>99</v>
      </c>
      <c r="AB582">
        <v>1.01E-2</v>
      </c>
      <c r="AC582">
        <v>1</v>
      </c>
      <c r="AD582">
        <v>97</v>
      </c>
      <c r="AE582">
        <v>1.03E-2</v>
      </c>
      <c r="AF582" t="s">
        <v>2589</v>
      </c>
      <c r="AG582" t="s">
        <v>2593</v>
      </c>
    </row>
    <row r="583" spans="1:33">
      <c r="A583" s="2" t="s">
        <v>131</v>
      </c>
      <c r="B583" s="2" t="s">
        <v>123</v>
      </c>
      <c r="C583" s="1">
        <v>0.53830564800000003</v>
      </c>
      <c r="D583">
        <v>0.65609959100000004</v>
      </c>
      <c r="E583">
        <v>0.68896664299999999</v>
      </c>
      <c r="F583" s="1" t="s">
        <v>132</v>
      </c>
      <c r="G583" s="1">
        <v>1.0676416820000001</v>
      </c>
      <c r="H583" s="1">
        <v>25</v>
      </c>
      <c r="I583" s="1">
        <v>54.7</v>
      </c>
      <c r="J583" s="1">
        <v>0.62779062733333335</v>
      </c>
      <c r="K583" s="1">
        <v>0.59184352799999995</v>
      </c>
      <c r="L583" s="1">
        <v>0.67011857600000002</v>
      </c>
      <c r="M583" s="3">
        <v>0.74025419199999998</v>
      </c>
      <c r="N583" s="1" t="s">
        <v>124</v>
      </c>
      <c r="O583" s="1">
        <v>1.7166666669999999</v>
      </c>
      <c r="P583" s="1">
        <v>26</v>
      </c>
      <c r="Q583" s="1">
        <v>36</v>
      </c>
      <c r="R583" s="1">
        <v>0.66740543199999991</v>
      </c>
      <c r="S583" s="1">
        <v>7.5453622959749361E-2</v>
      </c>
      <c r="T583" t="s">
        <v>729</v>
      </c>
      <c r="U583" s="1">
        <v>744</v>
      </c>
      <c r="V583">
        <f t="shared" si="36"/>
        <v>0.31906365950509763</v>
      </c>
      <c r="W583" s="1">
        <f t="shared" si="37"/>
        <v>1</v>
      </c>
      <c r="X583">
        <f t="shared" si="38"/>
        <v>0.64902498499999983</v>
      </c>
      <c r="Y583">
        <f t="shared" si="39"/>
        <v>18.700000000000003</v>
      </c>
      <c r="Z583" s="1">
        <v>0</v>
      </c>
      <c r="AA583">
        <v>100</v>
      </c>
      <c r="AB583">
        <v>0</v>
      </c>
      <c r="AC583">
        <v>0</v>
      </c>
      <c r="AD583">
        <v>93</v>
      </c>
      <c r="AE583">
        <v>0</v>
      </c>
      <c r="AF583" t="s">
        <v>2589</v>
      </c>
      <c r="AG583" t="s">
        <v>2591</v>
      </c>
    </row>
    <row r="584" spans="1:33">
      <c r="A584" s="2" t="s">
        <v>131</v>
      </c>
      <c r="B584" s="2" t="s">
        <v>125</v>
      </c>
      <c r="C584" s="1">
        <v>0.53830564800000003</v>
      </c>
      <c r="D584">
        <v>0.65609959100000004</v>
      </c>
      <c r="E584">
        <v>0.68896664299999999</v>
      </c>
      <c r="F584" s="1" t="s">
        <v>132</v>
      </c>
      <c r="G584" s="1">
        <v>1.0676416820000001</v>
      </c>
      <c r="H584" s="1">
        <v>25</v>
      </c>
      <c r="I584" s="1">
        <v>54.7</v>
      </c>
      <c r="J584" s="1">
        <v>0.62779062733333335</v>
      </c>
      <c r="K584" s="1">
        <v>0.611478776</v>
      </c>
      <c r="L584" s="1">
        <v>0.67681801600000002</v>
      </c>
      <c r="M584" s="3">
        <v>0.73326355300000001</v>
      </c>
      <c r="N584" s="1" t="s">
        <v>126</v>
      </c>
      <c r="O584" s="1">
        <v>1.6431372550000001</v>
      </c>
      <c r="P584" s="1">
        <v>35.1</v>
      </c>
      <c r="Q584" s="1">
        <v>51</v>
      </c>
      <c r="R584" s="1">
        <v>0.67385344833333338</v>
      </c>
      <c r="S584" s="1">
        <v>8.8010090508606503E-2</v>
      </c>
      <c r="T584" t="s">
        <v>730</v>
      </c>
      <c r="U584" s="1">
        <v>1349</v>
      </c>
      <c r="V584">
        <f t="shared" si="36"/>
        <v>0.34777910551910046</v>
      </c>
      <c r="W584" s="1">
        <f t="shared" si="37"/>
        <v>10.100000000000001</v>
      </c>
      <c r="X584">
        <f t="shared" si="38"/>
        <v>0.57549557299999998</v>
      </c>
      <c r="Y584">
        <f t="shared" si="39"/>
        <v>3.7000000000000028</v>
      </c>
      <c r="Z584" s="1">
        <v>1</v>
      </c>
      <c r="AA584">
        <v>99</v>
      </c>
      <c r="AB584">
        <v>1.01E-2</v>
      </c>
      <c r="AC584">
        <v>1</v>
      </c>
      <c r="AD584">
        <v>102</v>
      </c>
      <c r="AE584">
        <v>9.7999999999999997E-3</v>
      </c>
      <c r="AF584" t="s">
        <v>2589</v>
      </c>
      <c r="AG584" t="s">
        <v>2591</v>
      </c>
    </row>
    <row r="585" spans="1:33">
      <c r="A585" s="2" t="s">
        <v>131</v>
      </c>
      <c r="B585" s="2" t="s">
        <v>127</v>
      </c>
      <c r="C585" s="1">
        <v>0.53830564800000003</v>
      </c>
      <c r="D585">
        <v>0.65609959100000004</v>
      </c>
      <c r="E585">
        <v>0.68896664299999999</v>
      </c>
      <c r="F585" s="1" t="s">
        <v>132</v>
      </c>
      <c r="G585" s="1">
        <v>1.0676416820000001</v>
      </c>
      <c r="H585" s="1">
        <v>25</v>
      </c>
      <c r="I585" s="1">
        <v>54.7</v>
      </c>
      <c r="J585" s="1">
        <v>0.62779062733333335</v>
      </c>
      <c r="K585" s="1">
        <v>0.50688118500000001</v>
      </c>
      <c r="L585" s="1">
        <v>0.64616698699999997</v>
      </c>
      <c r="M585" s="3">
        <v>0.65580376299999998</v>
      </c>
      <c r="N585" s="1" t="s">
        <v>128</v>
      </c>
      <c r="O585" s="1">
        <v>1.5447714459999999</v>
      </c>
      <c r="P585" s="1">
        <v>98.4</v>
      </c>
      <c r="Q585" s="1">
        <v>159.69999999999999</v>
      </c>
      <c r="R585" s="1">
        <v>0.60295064500000006</v>
      </c>
      <c r="S585" s="1">
        <v>4.6753931459863216E-2</v>
      </c>
      <c r="T585" t="s">
        <v>731</v>
      </c>
      <c r="U585" s="1">
        <v>13382</v>
      </c>
      <c r="V585">
        <f t="shared" si="36"/>
        <v>0.45850233617149022</v>
      </c>
      <c r="W585" s="1">
        <f t="shared" si="37"/>
        <v>73.400000000000006</v>
      </c>
      <c r="X585">
        <f t="shared" si="38"/>
        <v>0.47712976399999985</v>
      </c>
      <c r="Y585">
        <f t="shared" si="39"/>
        <v>104.99999999999999</v>
      </c>
      <c r="Z585" s="1">
        <v>1</v>
      </c>
      <c r="AA585">
        <v>99</v>
      </c>
      <c r="AB585">
        <v>1.01E-2</v>
      </c>
      <c r="AC585">
        <v>1</v>
      </c>
      <c r="AD585">
        <v>102</v>
      </c>
      <c r="AE585">
        <v>9.7999999999999997E-3</v>
      </c>
      <c r="AF585" t="s">
        <v>2589</v>
      </c>
      <c r="AG585" t="s">
        <v>2589</v>
      </c>
    </row>
    <row r="586" spans="1:33">
      <c r="A586" s="2" t="s">
        <v>131</v>
      </c>
      <c r="B586" s="2" t="s">
        <v>129</v>
      </c>
      <c r="C586" s="1">
        <v>0.53830564800000003</v>
      </c>
      <c r="D586">
        <v>0.65609959100000004</v>
      </c>
      <c r="E586">
        <v>0.68896664299999999</v>
      </c>
      <c r="F586" s="1" t="s">
        <v>132</v>
      </c>
      <c r="G586" s="1">
        <v>1.0676416820000001</v>
      </c>
      <c r="H586" s="1">
        <v>25</v>
      </c>
      <c r="I586" s="1">
        <v>54.7</v>
      </c>
      <c r="J586" s="1">
        <v>0.62779062733333335</v>
      </c>
      <c r="K586" s="1">
        <v>0.50422724299999999</v>
      </c>
      <c r="L586" s="1">
        <v>0.61050655300000001</v>
      </c>
      <c r="M586" s="3">
        <v>0.63007085299999999</v>
      </c>
      <c r="N586" s="1" t="s">
        <v>130</v>
      </c>
      <c r="O586" s="1">
        <v>1.4142988080000001</v>
      </c>
      <c r="P586" s="1">
        <v>58.7</v>
      </c>
      <c r="Q586" s="1">
        <v>109.1</v>
      </c>
      <c r="R586" s="1">
        <v>0.58160154966666655</v>
      </c>
      <c r="S586" s="1">
        <v>8.1907123506674159E-2</v>
      </c>
      <c r="T586" t="s">
        <v>732</v>
      </c>
      <c r="U586" s="1">
        <v>4475</v>
      </c>
      <c r="V586">
        <f t="shared" si="36"/>
        <v>0.40564367107243676</v>
      </c>
      <c r="W586" s="1">
        <f t="shared" si="37"/>
        <v>33.700000000000003</v>
      </c>
      <c r="X586">
        <f t="shared" si="38"/>
        <v>0.34665712599999998</v>
      </c>
      <c r="Y586">
        <f t="shared" si="39"/>
        <v>54.399999999999991</v>
      </c>
      <c r="Z586" s="1">
        <v>0</v>
      </c>
      <c r="AA586">
        <v>100</v>
      </c>
      <c r="AB586">
        <v>0</v>
      </c>
      <c r="AC586">
        <v>0</v>
      </c>
      <c r="AD586">
        <v>86</v>
      </c>
      <c r="AE586">
        <v>0</v>
      </c>
      <c r="AF586" t="s">
        <v>2589</v>
      </c>
      <c r="AG586" t="s">
        <v>2593</v>
      </c>
    </row>
    <row r="587" spans="1:33">
      <c r="A587" s="2" t="s">
        <v>129</v>
      </c>
      <c r="B587" s="2" t="s">
        <v>10</v>
      </c>
      <c r="C587" s="1">
        <v>0.50422724299999999</v>
      </c>
      <c r="D587">
        <v>0.61050655300000001</v>
      </c>
      <c r="E587">
        <v>0.63007085299999999</v>
      </c>
      <c r="F587" s="1" t="s">
        <v>130</v>
      </c>
      <c r="G587" s="1">
        <v>1.4142988080000001</v>
      </c>
      <c r="H587" s="1">
        <v>58.7</v>
      </c>
      <c r="I587" s="1">
        <v>109.1</v>
      </c>
      <c r="J587" s="1">
        <v>0.58160154966666655</v>
      </c>
      <c r="K587" s="1">
        <v>0.52456325500000001</v>
      </c>
      <c r="L587" s="1">
        <v>0.61925627999999999</v>
      </c>
      <c r="M587" s="3">
        <v>0.72111139899999999</v>
      </c>
      <c r="N587" s="1" t="s">
        <v>12</v>
      </c>
      <c r="O587" s="1">
        <v>0.61690647499999995</v>
      </c>
      <c r="P587" s="1">
        <v>30</v>
      </c>
      <c r="Q587" s="1">
        <v>111.2</v>
      </c>
      <c r="R587" s="1">
        <v>0.62164364466666666</v>
      </c>
      <c r="S587" s="1">
        <v>9.3693607693464284E-2</v>
      </c>
      <c r="T587" t="s">
        <v>734</v>
      </c>
      <c r="U587" s="1">
        <v>2195</v>
      </c>
      <c r="V587">
        <f t="shared" si="36"/>
        <v>0.37127050273090445</v>
      </c>
      <c r="W587" s="1">
        <f t="shared" si="37"/>
        <v>28.700000000000003</v>
      </c>
      <c r="X587">
        <f t="shared" si="38"/>
        <v>0.79739233300000012</v>
      </c>
      <c r="Y587">
        <f t="shared" si="39"/>
        <v>2.1000000000000085</v>
      </c>
      <c r="Z587" s="1">
        <v>6</v>
      </c>
      <c r="AA587">
        <v>94</v>
      </c>
      <c r="AB587">
        <v>6.3799999999999996E-2</v>
      </c>
      <c r="AC587">
        <v>8</v>
      </c>
      <c r="AD587">
        <v>144</v>
      </c>
      <c r="AE587">
        <v>5.5599999999999997E-2</v>
      </c>
      <c r="AF587" t="s">
        <v>2593</v>
      </c>
      <c r="AG587" t="s">
        <v>2588</v>
      </c>
    </row>
    <row r="588" spans="1:33">
      <c r="A588" s="2" t="s">
        <v>129</v>
      </c>
      <c r="B588" s="2" t="s">
        <v>13</v>
      </c>
      <c r="C588" s="1">
        <v>0.50422724299999999</v>
      </c>
      <c r="D588">
        <v>0.61050655300000001</v>
      </c>
      <c r="E588">
        <v>0.63007085299999999</v>
      </c>
      <c r="F588" s="1" t="s">
        <v>130</v>
      </c>
      <c r="G588" s="1">
        <v>1.4142988080000001</v>
      </c>
      <c r="H588" s="1">
        <v>58.7</v>
      </c>
      <c r="I588" s="1">
        <v>109.1</v>
      </c>
      <c r="J588" s="1">
        <v>0.58160154966666655</v>
      </c>
      <c r="K588" s="1">
        <v>0.48695497399999998</v>
      </c>
      <c r="L588" s="1">
        <v>0.54991327199999995</v>
      </c>
      <c r="M588" s="3">
        <v>0.67282609299999996</v>
      </c>
      <c r="N588" s="1" t="s">
        <v>14</v>
      </c>
      <c r="O588" s="1">
        <v>1.6052009460000001</v>
      </c>
      <c r="P588" s="1">
        <v>26.6</v>
      </c>
      <c r="Q588" s="1">
        <v>42.3</v>
      </c>
      <c r="R588" s="1">
        <v>0.56989811299999993</v>
      </c>
      <c r="S588" s="1">
        <v>7.614386072567457E-2</v>
      </c>
      <c r="T588" t="s">
        <v>735</v>
      </c>
      <c r="U588" s="1">
        <v>2957</v>
      </c>
      <c r="V588">
        <f t="shared" si="36"/>
        <v>0.38565014716956864</v>
      </c>
      <c r="W588" s="1">
        <f t="shared" si="37"/>
        <v>32.1</v>
      </c>
      <c r="X588">
        <f t="shared" si="38"/>
        <v>0.190902138</v>
      </c>
      <c r="Y588">
        <f t="shared" si="39"/>
        <v>66.8</v>
      </c>
      <c r="Z588" s="1">
        <v>2</v>
      </c>
      <c r="AA588">
        <v>98</v>
      </c>
      <c r="AB588">
        <v>2.0400000000000001E-2</v>
      </c>
      <c r="AC588">
        <v>3</v>
      </c>
      <c r="AD588">
        <v>96</v>
      </c>
      <c r="AE588">
        <v>3.1199999999999999E-2</v>
      </c>
      <c r="AF588" t="s">
        <v>2593</v>
      </c>
      <c r="AG588" t="s">
        <v>2590</v>
      </c>
    </row>
    <row r="589" spans="1:33">
      <c r="A589" s="2" t="s">
        <v>129</v>
      </c>
      <c r="B589" s="2" t="s">
        <v>15</v>
      </c>
      <c r="C589" s="1">
        <v>0.50422724299999999</v>
      </c>
      <c r="D589">
        <v>0.61050655300000001</v>
      </c>
      <c r="E589">
        <v>0.63007085299999999</v>
      </c>
      <c r="F589" s="1" t="s">
        <v>130</v>
      </c>
      <c r="G589" s="1">
        <v>1.4142988080000001</v>
      </c>
      <c r="H589" s="1">
        <v>58.7</v>
      </c>
      <c r="I589" s="1">
        <v>109.1</v>
      </c>
      <c r="J589" s="1">
        <v>0.58160154966666655</v>
      </c>
      <c r="K589" s="1">
        <v>0.54560998800000005</v>
      </c>
      <c r="L589" s="1">
        <v>0.66721428400000005</v>
      </c>
      <c r="M589" s="3">
        <v>0.72650398400000005</v>
      </c>
      <c r="N589" s="1" t="s">
        <v>16</v>
      </c>
      <c r="O589" s="1">
        <v>5.1392405060000002</v>
      </c>
      <c r="P589" s="1">
        <v>35.9</v>
      </c>
      <c r="Q589" s="1">
        <v>15.8</v>
      </c>
      <c r="R589" s="1">
        <v>0.64644275200000012</v>
      </c>
      <c r="S589" s="1">
        <v>0.11927970109522645</v>
      </c>
      <c r="T589" t="s">
        <v>736</v>
      </c>
      <c r="U589" s="1">
        <v>2271</v>
      </c>
      <c r="V589">
        <f t="shared" si="36"/>
        <v>0.37291301491330392</v>
      </c>
      <c r="W589" s="1">
        <f t="shared" si="37"/>
        <v>22.800000000000004</v>
      </c>
      <c r="X589">
        <f t="shared" si="38"/>
        <v>3.7249416980000003</v>
      </c>
      <c r="Y589">
        <f t="shared" si="39"/>
        <v>93.3</v>
      </c>
      <c r="Z589" s="1">
        <v>0</v>
      </c>
      <c r="AA589">
        <v>100</v>
      </c>
      <c r="AB589">
        <v>0</v>
      </c>
      <c r="AC589">
        <v>0</v>
      </c>
      <c r="AD589">
        <v>95</v>
      </c>
      <c r="AE589">
        <v>0</v>
      </c>
      <c r="AF589" t="s">
        <v>2593</v>
      </c>
      <c r="AG589" t="s">
        <v>2591</v>
      </c>
    </row>
    <row r="590" spans="1:33">
      <c r="A590" s="2" t="s">
        <v>129</v>
      </c>
      <c r="B590" s="2" t="s">
        <v>17</v>
      </c>
      <c r="C590" s="1">
        <v>0.50422724299999999</v>
      </c>
      <c r="D590">
        <v>0.61050655300000001</v>
      </c>
      <c r="E590">
        <v>0.63007085299999999</v>
      </c>
      <c r="F590" s="1" t="s">
        <v>130</v>
      </c>
      <c r="G590" s="1">
        <v>1.4142988080000001</v>
      </c>
      <c r="H590" s="1">
        <v>58.7</v>
      </c>
      <c r="I590" s="1">
        <v>109.1</v>
      </c>
      <c r="J590" s="1">
        <v>0.58160154966666655</v>
      </c>
      <c r="K590" s="1">
        <v>0.659112378</v>
      </c>
      <c r="L590" s="1">
        <v>0.68333493499999998</v>
      </c>
      <c r="M590" s="3">
        <v>0.70345495199999997</v>
      </c>
      <c r="N590" s="1" t="s">
        <v>18</v>
      </c>
      <c r="O590" s="1">
        <v>1.9463955639999999</v>
      </c>
      <c r="P590" s="1">
        <v>46.3</v>
      </c>
      <c r="Q590" s="1">
        <v>54.1</v>
      </c>
      <c r="R590" s="1">
        <v>0.68196742166666668</v>
      </c>
      <c r="S590" s="1">
        <v>0.18622192205738816</v>
      </c>
      <c r="T590" t="s">
        <v>737</v>
      </c>
      <c r="U590" s="1">
        <v>2339</v>
      </c>
      <c r="V590">
        <f t="shared" si="36"/>
        <v>0.37433669131212816</v>
      </c>
      <c r="W590" s="1">
        <f t="shared" si="37"/>
        <v>12.400000000000006</v>
      </c>
      <c r="X590">
        <f t="shared" si="38"/>
        <v>0.53209675599999984</v>
      </c>
      <c r="Y590">
        <f t="shared" si="39"/>
        <v>54.999999999999993</v>
      </c>
      <c r="Z590" s="1">
        <v>0</v>
      </c>
      <c r="AA590">
        <v>100</v>
      </c>
      <c r="AB590">
        <v>0</v>
      </c>
      <c r="AC590">
        <v>0</v>
      </c>
      <c r="AD590">
        <v>109</v>
      </c>
      <c r="AE590">
        <v>0</v>
      </c>
      <c r="AF590" t="s">
        <v>2593</v>
      </c>
      <c r="AG590" t="s">
        <v>2591</v>
      </c>
    </row>
    <row r="591" spans="1:33">
      <c r="A591" s="2" t="s">
        <v>129</v>
      </c>
      <c r="B591" s="2" t="s">
        <v>19</v>
      </c>
      <c r="C591" s="1">
        <v>0.50422724299999999</v>
      </c>
      <c r="D591">
        <v>0.61050655300000001</v>
      </c>
      <c r="E591">
        <v>0.63007085299999999</v>
      </c>
      <c r="F591" s="1" t="s">
        <v>130</v>
      </c>
      <c r="G591" s="1">
        <v>1.4142988080000001</v>
      </c>
      <c r="H591" s="1">
        <v>58.7</v>
      </c>
      <c r="I591" s="1">
        <v>109.1</v>
      </c>
      <c r="J591" s="1">
        <v>0.58160154966666655</v>
      </c>
      <c r="K591" s="1">
        <v>0.49391595300000002</v>
      </c>
      <c r="L591" s="1">
        <v>0.603599314</v>
      </c>
      <c r="M591" s="3">
        <v>0.63481471599999995</v>
      </c>
      <c r="N591" s="1" t="s">
        <v>20</v>
      </c>
      <c r="O591" s="1">
        <v>1.2140902870000001</v>
      </c>
      <c r="P591" s="1">
        <v>64.900000000000006</v>
      </c>
      <c r="Q591" s="1">
        <v>146.19999999999999</v>
      </c>
      <c r="R591" s="1">
        <v>0.57744332766666662</v>
      </c>
      <c r="S591" s="1">
        <v>1.3286718489905218E-2</v>
      </c>
      <c r="T591" t="s">
        <v>738</v>
      </c>
      <c r="U591" s="1">
        <v>14761</v>
      </c>
      <c r="V591">
        <f t="shared" si="36"/>
        <v>0.46323508669285718</v>
      </c>
      <c r="W591" s="1">
        <f t="shared" si="37"/>
        <v>6.2000000000000028</v>
      </c>
      <c r="X591">
        <f t="shared" si="38"/>
        <v>0.20020852099999997</v>
      </c>
      <c r="Y591">
        <f t="shared" si="39"/>
        <v>37.099999999999994</v>
      </c>
      <c r="Z591" s="1">
        <v>36</v>
      </c>
      <c r="AA591">
        <v>64</v>
      </c>
      <c r="AB591">
        <v>0.5625</v>
      </c>
      <c r="AC591">
        <v>31</v>
      </c>
      <c r="AD591">
        <v>58</v>
      </c>
      <c r="AE591">
        <v>0.53449999999999998</v>
      </c>
      <c r="AF591" t="s">
        <v>2593</v>
      </c>
      <c r="AG591" t="s">
        <v>2593</v>
      </c>
    </row>
    <row r="592" spans="1:33">
      <c r="A592" s="2" t="s">
        <v>129</v>
      </c>
      <c r="B592" s="2" t="s">
        <v>21</v>
      </c>
      <c r="C592" s="1">
        <v>0.50422724299999999</v>
      </c>
      <c r="D592">
        <v>0.61050655300000001</v>
      </c>
      <c r="E592">
        <v>0.63007085299999999</v>
      </c>
      <c r="F592" s="1" t="s">
        <v>130</v>
      </c>
      <c r="G592" s="1">
        <v>1.4142988080000001</v>
      </c>
      <c r="H592" s="1">
        <v>58.7</v>
      </c>
      <c r="I592" s="1">
        <v>109.1</v>
      </c>
      <c r="J592" s="1">
        <v>0.58160154966666655</v>
      </c>
      <c r="K592" s="1">
        <v>0.53276376800000003</v>
      </c>
      <c r="L592" s="1">
        <v>0.65428149899999999</v>
      </c>
      <c r="M592" s="3">
        <v>0.70160154799999996</v>
      </c>
      <c r="N592" s="1" t="s">
        <v>22</v>
      </c>
      <c r="O592" s="1">
        <v>1.2440604749999999</v>
      </c>
      <c r="P592" s="1">
        <v>24.6</v>
      </c>
      <c r="Q592" s="1">
        <v>46.3</v>
      </c>
      <c r="R592" s="1">
        <v>0.62954893833333336</v>
      </c>
      <c r="S592" s="1">
        <v>8.8584532981562658E-2</v>
      </c>
      <c r="T592" t="s">
        <v>739</v>
      </c>
      <c r="U592" s="1">
        <v>10403</v>
      </c>
      <c r="V592">
        <f t="shared" si="36"/>
        <v>0.446350955387535</v>
      </c>
      <c r="W592" s="1">
        <f t="shared" si="37"/>
        <v>34.1</v>
      </c>
      <c r="X592">
        <f t="shared" si="38"/>
        <v>0.17023833300000013</v>
      </c>
      <c r="Y592">
        <f t="shared" si="39"/>
        <v>62.8</v>
      </c>
      <c r="Z592" s="1">
        <v>4</v>
      </c>
      <c r="AA592">
        <v>96</v>
      </c>
      <c r="AB592">
        <v>4.1700000000000001E-2</v>
      </c>
      <c r="AC592">
        <v>6</v>
      </c>
      <c r="AD592">
        <v>89</v>
      </c>
      <c r="AE592">
        <v>6.7400000000000002E-2</v>
      </c>
      <c r="AF592" t="s">
        <v>2593</v>
      </c>
      <c r="AG592" t="s">
        <v>2589</v>
      </c>
    </row>
    <row r="593" spans="1:33">
      <c r="A593" s="2" t="s">
        <v>129</v>
      </c>
      <c r="B593" s="2" t="s">
        <v>23</v>
      </c>
      <c r="C593" s="1">
        <v>0.50422724299999999</v>
      </c>
      <c r="D593">
        <v>0.61050655300000001</v>
      </c>
      <c r="E593">
        <v>0.63007085299999999</v>
      </c>
      <c r="F593" s="1" t="s">
        <v>130</v>
      </c>
      <c r="G593" s="1">
        <v>1.4142988080000001</v>
      </c>
      <c r="H593" s="1">
        <v>58.7</v>
      </c>
      <c r="I593" s="1">
        <v>109.1</v>
      </c>
      <c r="J593" s="1">
        <v>0.58160154966666655</v>
      </c>
      <c r="K593" s="1">
        <v>0.49415677200000002</v>
      </c>
      <c r="L593" s="1">
        <v>0.62090818999999997</v>
      </c>
      <c r="M593" s="3">
        <v>0.63381026900000004</v>
      </c>
      <c r="N593" s="1" t="s">
        <v>24</v>
      </c>
      <c r="O593" s="1">
        <v>1.141304348</v>
      </c>
      <c r="P593" s="1">
        <v>44.4</v>
      </c>
      <c r="Q593" s="1">
        <v>101.2</v>
      </c>
      <c r="R593" s="1">
        <v>0.58295841033333329</v>
      </c>
      <c r="S593" s="1">
        <v>1.4952981992320629E-2</v>
      </c>
      <c r="T593" t="s">
        <v>740</v>
      </c>
      <c r="U593" s="1">
        <v>5549</v>
      </c>
      <c r="V593">
        <f t="shared" si="36"/>
        <v>0.41602385831268512</v>
      </c>
      <c r="W593" s="1">
        <f t="shared" si="37"/>
        <v>14.300000000000004</v>
      </c>
      <c r="X593">
        <f t="shared" si="38"/>
        <v>0.27299446000000005</v>
      </c>
      <c r="Y593">
        <f t="shared" si="39"/>
        <v>7.8999999999999915</v>
      </c>
      <c r="Z593" s="1">
        <v>6</v>
      </c>
      <c r="AA593">
        <v>94</v>
      </c>
      <c r="AB593">
        <v>6.3799999999999996E-2</v>
      </c>
      <c r="AC593">
        <v>9</v>
      </c>
      <c r="AD593">
        <v>82</v>
      </c>
      <c r="AE593">
        <v>0.10979999999999999</v>
      </c>
      <c r="AF593" t="s">
        <v>2593</v>
      </c>
      <c r="AG593" t="s">
        <v>2590</v>
      </c>
    </row>
    <row r="594" spans="1:33">
      <c r="A594" s="2" t="s">
        <v>129</v>
      </c>
      <c r="B594" s="2" t="s">
        <v>25</v>
      </c>
      <c r="C594" s="1">
        <v>0.50422724299999999</v>
      </c>
      <c r="D594">
        <v>0.61050655300000001</v>
      </c>
      <c r="E594">
        <v>0.63007085299999999</v>
      </c>
      <c r="F594" s="1" t="s">
        <v>130</v>
      </c>
      <c r="G594" s="1">
        <v>1.4142988080000001</v>
      </c>
      <c r="H594" s="1">
        <v>58.7</v>
      </c>
      <c r="I594" s="1">
        <v>109.1</v>
      </c>
      <c r="J594" s="1">
        <v>0.58160154966666655</v>
      </c>
      <c r="K594" s="1">
        <v>0.53959274199999996</v>
      </c>
      <c r="L594" s="1">
        <v>0.64971567399999997</v>
      </c>
      <c r="M594" s="3">
        <v>0.65028459999999999</v>
      </c>
      <c r="N594" s="1" t="s">
        <v>26</v>
      </c>
      <c r="O594" s="1">
        <v>1.623046875</v>
      </c>
      <c r="P594" s="1">
        <v>34.700000000000003</v>
      </c>
      <c r="Q594" s="1">
        <v>51.2</v>
      </c>
      <c r="R594" s="1">
        <v>0.61319767199999997</v>
      </c>
      <c r="S594" s="1">
        <v>5.653909494227552E-2</v>
      </c>
      <c r="T594" t="s">
        <v>741</v>
      </c>
      <c r="U594" s="1">
        <v>2452</v>
      </c>
      <c r="V594">
        <f t="shared" si="36"/>
        <v>0.37661338509404196</v>
      </c>
      <c r="W594" s="1">
        <f t="shared" si="37"/>
        <v>24</v>
      </c>
      <c r="X594">
        <f t="shared" si="38"/>
        <v>0.20874806699999993</v>
      </c>
      <c r="Y594">
        <f t="shared" si="39"/>
        <v>57.899999999999991</v>
      </c>
      <c r="Z594" s="1">
        <v>0</v>
      </c>
      <c r="AA594">
        <v>100</v>
      </c>
      <c r="AB594">
        <v>0</v>
      </c>
      <c r="AC594">
        <v>0</v>
      </c>
      <c r="AD594">
        <v>93</v>
      </c>
      <c r="AE594">
        <v>0</v>
      </c>
      <c r="AF594" t="s">
        <v>2593</v>
      </c>
      <c r="AG594" t="s">
        <v>2594</v>
      </c>
    </row>
    <row r="595" spans="1:33">
      <c r="A595" s="2" t="s">
        <v>129</v>
      </c>
      <c r="B595" s="2" t="s">
        <v>27</v>
      </c>
      <c r="C595" s="1">
        <v>0.50422724299999999</v>
      </c>
      <c r="D595">
        <v>0.61050655300000001</v>
      </c>
      <c r="E595">
        <v>0.63007085299999999</v>
      </c>
      <c r="F595" s="1" t="s">
        <v>130</v>
      </c>
      <c r="G595" s="1">
        <v>1.4142988080000001</v>
      </c>
      <c r="H595" s="1">
        <v>58.7</v>
      </c>
      <c r="I595" s="1">
        <v>109.1</v>
      </c>
      <c r="J595" s="1">
        <v>0.58160154966666655</v>
      </c>
      <c r="K595" s="1">
        <v>0.518608662</v>
      </c>
      <c r="L595" s="1">
        <v>0.64320369700000002</v>
      </c>
      <c r="M595" s="3">
        <v>0.62228994199999998</v>
      </c>
      <c r="N595" s="1" t="s">
        <v>28</v>
      </c>
      <c r="O595" s="1">
        <v>1.8717391299999999</v>
      </c>
      <c r="P595" s="1">
        <v>33.700000000000003</v>
      </c>
      <c r="Q595" s="1">
        <v>46</v>
      </c>
      <c r="R595" s="1">
        <v>0.59470076699999996</v>
      </c>
      <c r="S595" s="1">
        <v>3.6557776384788764E-2</v>
      </c>
      <c r="T595" t="s">
        <v>742</v>
      </c>
      <c r="U595" s="1">
        <v>1433</v>
      </c>
      <c r="V595">
        <f t="shared" si="36"/>
        <v>0.35069402115526049</v>
      </c>
      <c r="W595" s="1">
        <f t="shared" si="37"/>
        <v>25</v>
      </c>
      <c r="X595">
        <f t="shared" si="38"/>
        <v>0.45744032199999984</v>
      </c>
      <c r="Y595">
        <f t="shared" si="39"/>
        <v>63.099999999999994</v>
      </c>
      <c r="Z595" s="1">
        <v>3</v>
      </c>
      <c r="AA595">
        <v>97</v>
      </c>
      <c r="AB595">
        <v>3.09E-2</v>
      </c>
      <c r="AC595">
        <v>5</v>
      </c>
      <c r="AD595">
        <v>95</v>
      </c>
      <c r="AE595">
        <v>5.2600000000000001E-2</v>
      </c>
      <c r="AF595" t="s">
        <v>2593</v>
      </c>
      <c r="AG595" t="s">
        <v>2590</v>
      </c>
    </row>
    <row r="596" spans="1:33">
      <c r="A596" s="2" t="s">
        <v>129</v>
      </c>
      <c r="B596" s="2" t="s">
        <v>29</v>
      </c>
      <c r="C596" s="1">
        <v>0.50422724299999999</v>
      </c>
      <c r="D596">
        <v>0.61050655300000001</v>
      </c>
      <c r="E596">
        <v>0.63007085299999999</v>
      </c>
      <c r="F596" s="1" t="s">
        <v>130</v>
      </c>
      <c r="G596" s="1">
        <v>1.4142988080000001</v>
      </c>
      <c r="H596" s="1">
        <v>58.7</v>
      </c>
      <c r="I596" s="1">
        <v>109.1</v>
      </c>
      <c r="J596" s="1">
        <v>0.58160154966666655</v>
      </c>
      <c r="K596" s="1">
        <v>0.59351545100000003</v>
      </c>
      <c r="L596" s="1">
        <v>0.68136602400000001</v>
      </c>
      <c r="M596" s="3">
        <v>0.73518087600000004</v>
      </c>
      <c r="N596" s="1" t="s">
        <v>30</v>
      </c>
      <c r="O596" s="1">
        <v>2.849112426</v>
      </c>
      <c r="P596" s="1">
        <v>37.9</v>
      </c>
      <c r="Q596" s="1">
        <v>33.799999999999997</v>
      </c>
      <c r="R596" s="1">
        <v>0.67002078366666673</v>
      </c>
      <c r="S596" s="1">
        <v>0.15505342838296626</v>
      </c>
      <c r="T596" t="s">
        <v>743</v>
      </c>
      <c r="U596" s="1">
        <v>6181</v>
      </c>
      <c r="V596">
        <f t="shared" si="36"/>
        <v>0.4212287492879806</v>
      </c>
      <c r="W596" s="1">
        <f t="shared" si="37"/>
        <v>20.800000000000004</v>
      </c>
      <c r="X596">
        <f t="shared" si="38"/>
        <v>1.434813618</v>
      </c>
      <c r="Y596">
        <f t="shared" si="39"/>
        <v>75.3</v>
      </c>
      <c r="Z596" s="1">
        <v>0</v>
      </c>
      <c r="AA596">
        <v>100</v>
      </c>
      <c r="AB596">
        <v>0</v>
      </c>
      <c r="AC596">
        <v>0</v>
      </c>
      <c r="AD596">
        <v>89</v>
      </c>
      <c r="AE596">
        <v>0</v>
      </c>
      <c r="AF596" t="s">
        <v>2593</v>
      </c>
      <c r="AG596" t="s">
        <v>2593</v>
      </c>
    </row>
    <row r="597" spans="1:33">
      <c r="A597" s="2" t="s">
        <v>129</v>
      </c>
      <c r="B597" s="2" t="s">
        <v>31</v>
      </c>
      <c r="C597" s="1">
        <v>0.50422724299999999</v>
      </c>
      <c r="D597">
        <v>0.61050655300000001</v>
      </c>
      <c r="E597">
        <v>0.63007085299999999</v>
      </c>
      <c r="F597" s="1" t="s">
        <v>130</v>
      </c>
      <c r="G597" s="1">
        <v>1.4142988080000001</v>
      </c>
      <c r="H597" s="1">
        <v>58.7</v>
      </c>
      <c r="I597" s="1">
        <v>109.1</v>
      </c>
      <c r="J597" s="1">
        <v>0.58160154966666655</v>
      </c>
      <c r="K597" s="1">
        <v>0.47727961800000002</v>
      </c>
      <c r="L597" s="1">
        <v>0.66941086400000005</v>
      </c>
      <c r="M597" s="3">
        <v>0.69294815300000001</v>
      </c>
      <c r="N597" s="1" t="s">
        <v>32</v>
      </c>
      <c r="O597" s="1">
        <v>1.341891892</v>
      </c>
      <c r="P597" s="1">
        <v>42.1</v>
      </c>
      <c r="Q597" s="1">
        <v>74</v>
      </c>
      <c r="R597" s="1">
        <v>0.61321287833333338</v>
      </c>
      <c r="S597" s="1">
        <v>9.0274288713981854E-2</v>
      </c>
      <c r="T597" t="s">
        <v>744</v>
      </c>
      <c r="U597" s="1">
        <v>3730</v>
      </c>
      <c r="V597">
        <f t="shared" si="36"/>
        <v>0.396856536867632</v>
      </c>
      <c r="W597" s="1">
        <f t="shared" si="37"/>
        <v>16.600000000000001</v>
      </c>
      <c r="X597">
        <f t="shared" si="38"/>
        <v>7.2406916000000043E-2</v>
      </c>
      <c r="Y597">
        <f t="shared" si="39"/>
        <v>35.099999999999994</v>
      </c>
      <c r="Z597" s="1">
        <v>11</v>
      </c>
      <c r="AA597">
        <v>89</v>
      </c>
      <c r="AB597">
        <v>0.1236</v>
      </c>
      <c r="AC597">
        <v>13</v>
      </c>
      <c r="AD597">
        <v>84</v>
      </c>
      <c r="AE597">
        <v>0.15479999999999999</v>
      </c>
      <c r="AF597" t="s">
        <v>2593</v>
      </c>
      <c r="AG597" t="s">
        <v>2589</v>
      </c>
    </row>
    <row r="598" spans="1:33">
      <c r="A598" s="2" t="s">
        <v>129</v>
      </c>
      <c r="B598" s="2" t="s">
        <v>33</v>
      </c>
      <c r="C598" s="1">
        <v>0.50422724299999999</v>
      </c>
      <c r="D598">
        <v>0.61050655300000001</v>
      </c>
      <c r="E598">
        <v>0.63007085299999999</v>
      </c>
      <c r="F598" s="1" t="s">
        <v>130</v>
      </c>
      <c r="G598" s="1">
        <v>1.4142988080000001</v>
      </c>
      <c r="H598" s="1">
        <v>58.7</v>
      </c>
      <c r="I598" s="1">
        <v>109.1</v>
      </c>
      <c r="J598" s="1">
        <v>0.58160154966666655</v>
      </c>
      <c r="K598" s="1">
        <v>0.51347926600000005</v>
      </c>
      <c r="L598" s="1">
        <v>0.63144379399999995</v>
      </c>
      <c r="M598" s="3">
        <v>0.64189093500000005</v>
      </c>
      <c r="N598" s="1" t="s">
        <v>34</v>
      </c>
      <c r="O598" s="1">
        <v>2.3123667380000001</v>
      </c>
      <c r="P598" s="1">
        <v>79.099999999999994</v>
      </c>
      <c r="Q598" s="1">
        <v>93.8</v>
      </c>
      <c r="R598" s="1">
        <v>0.59560466500000009</v>
      </c>
      <c r="S598" s="1">
        <v>2.5762032698747474E-2</v>
      </c>
      <c r="T598" t="s">
        <v>745</v>
      </c>
      <c r="U598" s="1">
        <v>15227</v>
      </c>
      <c r="V598">
        <f t="shared" si="36"/>
        <v>0.46473492752626111</v>
      </c>
      <c r="W598" s="1">
        <f t="shared" si="37"/>
        <v>20.399999999999991</v>
      </c>
      <c r="X598">
        <f t="shared" si="38"/>
        <v>0.89806793000000007</v>
      </c>
      <c r="Y598">
        <f t="shared" si="39"/>
        <v>15.299999999999997</v>
      </c>
      <c r="Z598" s="1">
        <v>20</v>
      </c>
      <c r="AA598">
        <v>80</v>
      </c>
      <c r="AB598">
        <v>0.25</v>
      </c>
      <c r="AC598">
        <v>19</v>
      </c>
      <c r="AD598">
        <v>72</v>
      </c>
      <c r="AE598">
        <v>0.26390000000000002</v>
      </c>
      <c r="AF598" t="s">
        <v>2593</v>
      </c>
      <c r="AG598" t="s">
        <v>2590</v>
      </c>
    </row>
    <row r="599" spans="1:33">
      <c r="A599" s="2" t="s">
        <v>129</v>
      </c>
      <c r="B599" s="2" t="s">
        <v>35</v>
      </c>
      <c r="C599" s="1">
        <v>0.50422724299999999</v>
      </c>
      <c r="D599">
        <v>0.61050655300000001</v>
      </c>
      <c r="E599">
        <v>0.63007085299999999</v>
      </c>
      <c r="F599" s="1" t="s">
        <v>130</v>
      </c>
      <c r="G599" s="1">
        <v>1.4142988080000001</v>
      </c>
      <c r="H599" s="1">
        <v>58.7</v>
      </c>
      <c r="I599" s="1">
        <v>109.1</v>
      </c>
      <c r="J599" s="1">
        <v>0.58160154966666655</v>
      </c>
      <c r="K599" s="1">
        <v>0.52542897600000005</v>
      </c>
      <c r="L599" s="1">
        <v>0.60774736299999998</v>
      </c>
      <c r="M599" s="3">
        <v>0.62585751700000003</v>
      </c>
      <c r="N599" s="1" t="s">
        <v>36</v>
      </c>
      <c r="O599" s="1">
        <v>0.98848810399999998</v>
      </c>
      <c r="P599" s="1">
        <v>54.2</v>
      </c>
      <c r="Q599" s="1">
        <v>130.30000000000001</v>
      </c>
      <c r="R599" s="1">
        <v>0.58634461866666665</v>
      </c>
      <c r="S599" s="1">
        <v>2.1791714294848104E-2</v>
      </c>
      <c r="T599" t="s">
        <v>746</v>
      </c>
      <c r="U599" s="1">
        <v>10022</v>
      </c>
      <c r="V599">
        <f t="shared" si="36"/>
        <v>0.44455048871182867</v>
      </c>
      <c r="W599" s="1">
        <f t="shared" si="37"/>
        <v>4.5</v>
      </c>
      <c r="X599">
        <f t="shared" si="38"/>
        <v>0.4258107040000001</v>
      </c>
      <c r="Y599">
        <f t="shared" si="39"/>
        <v>21.200000000000017</v>
      </c>
      <c r="Z599" s="1">
        <v>14</v>
      </c>
      <c r="AA599">
        <v>86</v>
      </c>
      <c r="AB599">
        <v>0.1628</v>
      </c>
      <c r="AC599">
        <v>16</v>
      </c>
      <c r="AD599">
        <v>74</v>
      </c>
      <c r="AE599">
        <v>0.2162</v>
      </c>
      <c r="AF599" t="s">
        <v>2593</v>
      </c>
      <c r="AG599" t="s">
        <v>2589</v>
      </c>
    </row>
    <row r="600" spans="1:33">
      <c r="A600" s="2" t="s">
        <v>129</v>
      </c>
      <c r="B600" s="2" t="s">
        <v>37</v>
      </c>
      <c r="C600" s="1">
        <v>0.50422724299999999</v>
      </c>
      <c r="D600">
        <v>0.61050655300000001</v>
      </c>
      <c r="E600">
        <v>0.63007085299999999</v>
      </c>
      <c r="F600" s="1" t="s">
        <v>130</v>
      </c>
      <c r="G600" s="1">
        <v>1.4142988080000001</v>
      </c>
      <c r="H600" s="1">
        <v>58.7</v>
      </c>
      <c r="I600" s="1">
        <v>109.1</v>
      </c>
      <c r="J600" s="1">
        <v>0.58160154966666655</v>
      </c>
      <c r="K600" s="1">
        <v>0.50856695500000004</v>
      </c>
      <c r="L600" s="1">
        <v>0.654733224</v>
      </c>
      <c r="M600" s="3">
        <v>0.61418267199999999</v>
      </c>
      <c r="N600" s="1" t="s">
        <v>38</v>
      </c>
      <c r="O600" s="1">
        <v>0.64065708399999999</v>
      </c>
      <c r="P600" s="1">
        <v>41.9</v>
      </c>
      <c r="Q600" s="1">
        <v>146.1</v>
      </c>
      <c r="R600" s="1">
        <v>0.59249428366666679</v>
      </c>
      <c r="S600" s="1">
        <v>4.7193917229595872E-2</v>
      </c>
      <c r="T600" t="s">
        <v>747</v>
      </c>
      <c r="U600" s="1">
        <v>6476</v>
      </c>
      <c r="V600">
        <f t="shared" si="36"/>
        <v>0.4234785377868151</v>
      </c>
      <c r="W600" s="1">
        <f t="shared" si="37"/>
        <v>16.800000000000004</v>
      </c>
      <c r="X600">
        <f t="shared" si="38"/>
        <v>0.77364172400000009</v>
      </c>
      <c r="Y600">
        <f t="shared" si="39"/>
        <v>37</v>
      </c>
      <c r="Z600" s="1">
        <v>15</v>
      </c>
      <c r="AA600">
        <v>85</v>
      </c>
      <c r="AB600">
        <v>0.17649999999999999</v>
      </c>
      <c r="AC600">
        <v>15</v>
      </c>
      <c r="AD600">
        <v>74</v>
      </c>
      <c r="AE600">
        <v>0.20269999999999999</v>
      </c>
      <c r="AF600" t="s">
        <v>2593</v>
      </c>
      <c r="AG600" t="s">
        <v>2590</v>
      </c>
    </row>
    <row r="601" spans="1:33">
      <c r="A601" s="2" t="s">
        <v>129</v>
      </c>
      <c r="B601" s="2" t="s">
        <v>39</v>
      </c>
      <c r="C601" s="1">
        <v>0.50422724299999999</v>
      </c>
      <c r="D601">
        <v>0.61050655300000001</v>
      </c>
      <c r="E601">
        <v>0.63007085299999999</v>
      </c>
      <c r="F601" s="1" t="s">
        <v>130</v>
      </c>
      <c r="G601" s="1">
        <v>1.4142988080000001</v>
      </c>
      <c r="H601" s="1">
        <v>58.7</v>
      </c>
      <c r="I601" s="1">
        <v>109.1</v>
      </c>
      <c r="J601" s="1">
        <v>0.58160154966666655</v>
      </c>
      <c r="K601" s="1">
        <v>0.60811616199999996</v>
      </c>
      <c r="L601" s="1">
        <v>0.721105683</v>
      </c>
      <c r="M601" s="3">
        <v>0.741016169</v>
      </c>
      <c r="N601" s="1" t="s">
        <v>40</v>
      </c>
      <c r="O601" s="1">
        <v>1.0601915180000001</v>
      </c>
      <c r="P601" s="1">
        <v>34</v>
      </c>
      <c r="Q601" s="1">
        <v>73.099999999999994</v>
      </c>
      <c r="R601" s="1">
        <v>0.69007933799999999</v>
      </c>
      <c r="S601" s="1">
        <v>0.18797323796244322</v>
      </c>
      <c r="T601" t="s">
        <v>748</v>
      </c>
      <c r="U601" s="1">
        <v>4364</v>
      </c>
      <c r="V601">
        <f t="shared" si="36"/>
        <v>0.40443163799070048</v>
      </c>
      <c r="W601" s="1">
        <f t="shared" si="37"/>
        <v>24.700000000000003</v>
      </c>
      <c r="X601">
        <f t="shared" si="38"/>
        <v>0.35410728999999996</v>
      </c>
      <c r="Y601">
        <f t="shared" si="39"/>
        <v>36</v>
      </c>
      <c r="Z601" s="1">
        <v>5</v>
      </c>
      <c r="AA601">
        <v>95</v>
      </c>
      <c r="AB601">
        <v>5.2600000000000001E-2</v>
      </c>
      <c r="AC601">
        <v>8</v>
      </c>
      <c r="AD601">
        <v>84</v>
      </c>
      <c r="AE601">
        <v>9.5200000000000007E-2</v>
      </c>
      <c r="AF601" t="s">
        <v>2593</v>
      </c>
      <c r="AG601" t="s">
        <v>2589</v>
      </c>
    </row>
    <row r="602" spans="1:33">
      <c r="A602" s="2" t="s">
        <v>129</v>
      </c>
      <c r="B602" s="2" t="s">
        <v>41</v>
      </c>
      <c r="C602" s="1">
        <v>0.50422724299999999</v>
      </c>
      <c r="D602">
        <v>0.61050655300000001</v>
      </c>
      <c r="E602">
        <v>0.63007085299999999</v>
      </c>
      <c r="F602" s="1" t="s">
        <v>130</v>
      </c>
      <c r="G602" s="1">
        <v>1.4142988080000001</v>
      </c>
      <c r="H602" s="1">
        <v>58.7</v>
      </c>
      <c r="I602" s="1">
        <v>109.1</v>
      </c>
      <c r="J602" s="1">
        <v>0.58160154966666655</v>
      </c>
      <c r="K602" s="1">
        <v>0.60402244999999999</v>
      </c>
      <c r="L602" s="1">
        <v>0.669189213</v>
      </c>
      <c r="M602" s="3">
        <v>0.69821693799999995</v>
      </c>
      <c r="N602" s="1" t="s">
        <v>42</v>
      </c>
      <c r="O602" s="1">
        <v>1.3243902439999999</v>
      </c>
      <c r="P602" s="1">
        <v>23</v>
      </c>
      <c r="Q602" s="1">
        <v>41</v>
      </c>
      <c r="R602" s="1">
        <v>0.65714286700000002</v>
      </c>
      <c r="S602" s="1">
        <v>0.13433773418394279</v>
      </c>
      <c r="T602" t="s">
        <v>749</v>
      </c>
      <c r="U602" s="1">
        <v>1589</v>
      </c>
      <c r="V602">
        <f t="shared" si="36"/>
        <v>0.35568043302304214</v>
      </c>
      <c r="W602" s="1">
        <f t="shared" si="37"/>
        <v>35.700000000000003</v>
      </c>
      <c r="X602">
        <f t="shared" si="38"/>
        <v>8.9908564000000135E-2</v>
      </c>
      <c r="Y602">
        <f t="shared" si="39"/>
        <v>68.099999999999994</v>
      </c>
      <c r="Z602" s="1">
        <v>0</v>
      </c>
      <c r="AA602">
        <v>100</v>
      </c>
      <c r="AB602">
        <v>0</v>
      </c>
      <c r="AC602">
        <v>0</v>
      </c>
      <c r="AD602">
        <v>106</v>
      </c>
      <c r="AE602">
        <v>0</v>
      </c>
      <c r="AF602" t="s">
        <v>2593</v>
      </c>
      <c r="AG602" t="s">
        <v>2591</v>
      </c>
    </row>
    <row r="603" spans="1:33">
      <c r="A603" s="2" t="s">
        <v>129</v>
      </c>
      <c r="B603" s="2" t="s">
        <v>43</v>
      </c>
      <c r="C603" s="1">
        <v>0.50422724299999999</v>
      </c>
      <c r="D603">
        <v>0.61050655300000001</v>
      </c>
      <c r="E603">
        <v>0.63007085299999999</v>
      </c>
      <c r="F603" s="1" t="s">
        <v>130</v>
      </c>
      <c r="G603" s="1">
        <v>1.4142988080000001</v>
      </c>
      <c r="H603" s="1">
        <v>58.7</v>
      </c>
      <c r="I603" s="1">
        <v>109.1</v>
      </c>
      <c r="J603" s="1">
        <v>0.58160154966666655</v>
      </c>
      <c r="K603" s="1">
        <v>0.54180634699999997</v>
      </c>
      <c r="L603" s="1">
        <v>0.59470779900000004</v>
      </c>
      <c r="M603" s="3">
        <v>0.69518155599999998</v>
      </c>
      <c r="N603" s="1" t="s">
        <v>44</v>
      </c>
      <c r="O603" s="1">
        <v>1.7403685090000001</v>
      </c>
      <c r="P603" s="1">
        <v>41.2</v>
      </c>
      <c r="Q603" s="1">
        <v>59.7</v>
      </c>
      <c r="R603" s="1">
        <v>0.61056523400000007</v>
      </c>
      <c r="S603" s="1">
        <v>7.6819225006176273E-2</v>
      </c>
      <c r="T603" t="s">
        <v>750</v>
      </c>
      <c r="U603" s="1">
        <v>12911</v>
      </c>
      <c r="V603">
        <f t="shared" si="36"/>
        <v>0.45677332012498645</v>
      </c>
      <c r="W603" s="1">
        <f t="shared" si="37"/>
        <v>17.5</v>
      </c>
      <c r="X603">
        <f t="shared" si="38"/>
        <v>0.32606970099999999</v>
      </c>
      <c r="Y603">
        <f t="shared" si="39"/>
        <v>49.399999999999991</v>
      </c>
      <c r="Z603" s="1">
        <v>12</v>
      </c>
      <c r="AA603">
        <v>88</v>
      </c>
      <c r="AB603">
        <v>0.13639999999999999</v>
      </c>
      <c r="AC603">
        <v>13</v>
      </c>
      <c r="AD603">
        <v>115</v>
      </c>
      <c r="AE603">
        <v>0.113</v>
      </c>
      <c r="AF603" t="s">
        <v>2593</v>
      </c>
      <c r="AG603" t="s">
        <v>2589</v>
      </c>
    </row>
    <row r="604" spans="1:33">
      <c r="A604" s="2" t="s">
        <v>129</v>
      </c>
      <c r="B604" s="2" t="s">
        <v>45</v>
      </c>
      <c r="C604" s="1">
        <v>0.50422724299999999</v>
      </c>
      <c r="D604">
        <v>0.61050655300000001</v>
      </c>
      <c r="E604">
        <v>0.63007085299999999</v>
      </c>
      <c r="F604" s="1" t="s">
        <v>130</v>
      </c>
      <c r="G604" s="1">
        <v>1.4142988080000001</v>
      </c>
      <c r="H604" s="1">
        <v>58.7</v>
      </c>
      <c r="I604" s="1">
        <v>109.1</v>
      </c>
      <c r="J604" s="1">
        <v>0.58160154966666655</v>
      </c>
      <c r="K604" s="1">
        <v>0.50907007599999998</v>
      </c>
      <c r="L604" s="1">
        <v>0.68428041399999995</v>
      </c>
      <c r="M604" s="3">
        <v>0.67454742099999998</v>
      </c>
      <c r="N604" s="1" t="s">
        <v>46</v>
      </c>
      <c r="O604" s="1">
        <v>0.98140043799999999</v>
      </c>
      <c r="P604" s="1">
        <v>38.9</v>
      </c>
      <c r="Q604" s="1">
        <v>91.4</v>
      </c>
      <c r="R604" s="1">
        <v>0.62263263699999993</v>
      </c>
      <c r="S604" s="1">
        <v>8.627978152134963E-2</v>
      </c>
      <c r="T604" t="s">
        <v>751</v>
      </c>
      <c r="U604" s="1">
        <v>3186</v>
      </c>
      <c r="V604">
        <f t="shared" si="36"/>
        <v>0.38924953016279029</v>
      </c>
      <c r="W604" s="1">
        <f t="shared" si="37"/>
        <v>19.800000000000004</v>
      </c>
      <c r="X604">
        <f t="shared" si="38"/>
        <v>0.43289837000000009</v>
      </c>
      <c r="Y604">
        <f t="shared" si="39"/>
        <v>17.699999999999989</v>
      </c>
      <c r="Z604" s="1">
        <v>12</v>
      </c>
      <c r="AA604">
        <v>88</v>
      </c>
      <c r="AB604">
        <v>0.13639999999999999</v>
      </c>
      <c r="AC604">
        <v>14</v>
      </c>
      <c r="AD604">
        <v>94</v>
      </c>
      <c r="AE604">
        <v>0.1489</v>
      </c>
      <c r="AF604" t="s">
        <v>2593</v>
      </c>
      <c r="AG604" t="s">
        <v>2589</v>
      </c>
    </row>
    <row r="605" spans="1:33">
      <c r="A605" s="2" t="s">
        <v>129</v>
      </c>
      <c r="B605" s="2" t="s">
        <v>47</v>
      </c>
      <c r="C605" s="1">
        <v>0.50422724299999999</v>
      </c>
      <c r="D605">
        <v>0.61050655300000001</v>
      </c>
      <c r="E605">
        <v>0.63007085299999999</v>
      </c>
      <c r="F605" s="1" t="s">
        <v>130</v>
      </c>
      <c r="G605" s="1">
        <v>1.4142988080000001</v>
      </c>
      <c r="H605" s="1">
        <v>58.7</v>
      </c>
      <c r="I605" s="1">
        <v>109.1</v>
      </c>
      <c r="J605" s="1">
        <v>0.58160154966666655</v>
      </c>
      <c r="K605" s="1">
        <v>0.50612154099999995</v>
      </c>
      <c r="L605" s="1">
        <v>0.55940039100000005</v>
      </c>
      <c r="M605" s="3">
        <v>0.66789001699999995</v>
      </c>
      <c r="N605" s="1" t="s">
        <v>48</v>
      </c>
      <c r="O605" s="1">
        <v>1.242622951</v>
      </c>
      <c r="P605" s="1">
        <v>17.8</v>
      </c>
      <c r="Q605" s="1">
        <v>30.5</v>
      </c>
      <c r="R605" s="1">
        <v>0.57780398300000002</v>
      </c>
      <c r="S605" s="1">
        <v>6.3605953533784371E-2</v>
      </c>
      <c r="T605" t="s">
        <v>752</v>
      </c>
      <c r="U605" s="1">
        <v>4097</v>
      </c>
      <c r="V605">
        <f t="shared" si="36"/>
        <v>0.40138510710590469</v>
      </c>
      <c r="W605" s="1">
        <f t="shared" si="37"/>
        <v>40.900000000000006</v>
      </c>
      <c r="X605">
        <f t="shared" si="38"/>
        <v>0.1716758570000001</v>
      </c>
      <c r="Y605">
        <f t="shared" si="39"/>
        <v>78.599999999999994</v>
      </c>
      <c r="Z605" s="1">
        <v>1</v>
      </c>
      <c r="AA605">
        <v>99</v>
      </c>
      <c r="AB605">
        <v>1.01E-2</v>
      </c>
      <c r="AC605">
        <v>2</v>
      </c>
      <c r="AD605">
        <v>113</v>
      </c>
      <c r="AE605">
        <v>1.77E-2</v>
      </c>
      <c r="AF605" t="s">
        <v>2593</v>
      </c>
      <c r="AG605" t="s">
        <v>2590</v>
      </c>
    </row>
    <row r="606" spans="1:33">
      <c r="A606" s="2" t="s">
        <v>129</v>
      </c>
      <c r="B606" s="2" t="s">
        <v>49</v>
      </c>
      <c r="C606" s="1">
        <v>0.50422724299999999</v>
      </c>
      <c r="D606">
        <v>0.61050655300000001</v>
      </c>
      <c r="E606">
        <v>0.63007085299999999</v>
      </c>
      <c r="F606" s="1" t="s">
        <v>130</v>
      </c>
      <c r="G606" s="1">
        <v>1.4142988080000001</v>
      </c>
      <c r="H606" s="1">
        <v>58.7</v>
      </c>
      <c r="I606" s="1">
        <v>109.1</v>
      </c>
      <c r="J606" s="1">
        <v>0.58160154966666655</v>
      </c>
      <c r="K606" s="1">
        <v>0.50647110500000003</v>
      </c>
      <c r="L606" s="1">
        <v>0.55713136799999996</v>
      </c>
      <c r="M606" s="3">
        <v>0.63402682300000002</v>
      </c>
      <c r="N606" s="1" t="s">
        <v>50</v>
      </c>
      <c r="O606" s="1">
        <v>1.876675603</v>
      </c>
      <c r="P606" s="1">
        <v>28.8</v>
      </c>
      <c r="Q606" s="1">
        <v>37.299999999999997</v>
      </c>
      <c r="R606" s="1">
        <v>0.56587643200000004</v>
      </c>
      <c r="S606" s="1">
        <v>5.3568600776015933E-2</v>
      </c>
      <c r="T606" t="s">
        <v>753</v>
      </c>
      <c r="U606" s="1">
        <v>21899</v>
      </c>
      <c r="V606">
        <f t="shared" si="36"/>
        <v>0.4822693648432318</v>
      </c>
      <c r="W606" s="1">
        <f t="shared" si="37"/>
        <v>29.900000000000002</v>
      </c>
      <c r="X606">
        <f t="shared" si="38"/>
        <v>0.46237679499999995</v>
      </c>
      <c r="Y606">
        <f t="shared" si="39"/>
        <v>71.8</v>
      </c>
      <c r="Z606" s="1">
        <v>7</v>
      </c>
      <c r="AA606">
        <v>93</v>
      </c>
      <c r="AB606">
        <v>7.5300000000000006E-2</v>
      </c>
      <c r="AC606">
        <v>9</v>
      </c>
      <c r="AD606">
        <v>80</v>
      </c>
      <c r="AE606">
        <v>0.1125</v>
      </c>
      <c r="AF606" t="s">
        <v>2593</v>
      </c>
      <c r="AG606" t="s">
        <v>2590</v>
      </c>
    </row>
    <row r="607" spans="1:33">
      <c r="A607" s="2" t="s">
        <v>129</v>
      </c>
      <c r="B607" s="2" t="s">
        <v>51</v>
      </c>
      <c r="C607" s="1">
        <v>0.50422724299999999</v>
      </c>
      <c r="D607">
        <v>0.61050655300000001</v>
      </c>
      <c r="E607">
        <v>0.63007085299999999</v>
      </c>
      <c r="F607" s="1" t="s">
        <v>130</v>
      </c>
      <c r="G607" s="1">
        <v>1.4142988080000001</v>
      </c>
      <c r="H607" s="1">
        <v>58.7</v>
      </c>
      <c r="I607" s="1">
        <v>109.1</v>
      </c>
      <c r="J607" s="1">
        <v>0.58160154966666655</v>
      </c>
      <c r="K607" s="1">
        <v>0.60067161999999996</v>
      </c>
      <c r="L607" s="1">
        <v>0.68094129999999997</v>
      </c>
      <c r="M607" s="3">
        <v>0.73595931299999995</v>
      </c>
      <c r="N607" s="1" t="s">
        <v>52</v>
      </c>
      <c r="O607" s="1">
        <v>1.858638743</v>
      </c>
      <c r="P607" s="1">
        <v>29.4</v>
      </c>
      <c r="Q607" s="1">
        <v>38.200000000000003</v>
      </c>
      <c r="R607" s="1">
        <v>0.67252407766666666</v>
      </c>
      <c r="S607" s="1">
        <v>0.15960870089391654</v>
      </c>
      <c r="T607" t="s">
        <v>754</v>
      </c>
      <c r="U607" s="1">
        <v>2467</v>
      </c>
      <c r="V607">
        <f t="shared" si="36"/>
        <v>0.37690768327663737</v>
      </c>
      <c r="W607" s="1">
        <f t="shared" si="37"/>
        <v>29.300000000000004</v>
      </c>
      <c r="X607">
        <f t="shared" si="38"/>
        <v>0.44433993499999991</v>
      </c>
      <c r="Y607">
        <f t="shared" si="39"/>
        <v>70.899999999999991</v>
      </c>
      <c r="Z607" s="1">
        <v>3</v>
      </c>
      <c r="AA607">
        <v>97</v>
      </c>
      <c r="AB607">
        <v>3.09E-2</v>
      </c>
      <c r="AC607">
        <v>4</v>
      </c>
      <c r="AD607">
        <v>94</v>
      </c>
      <c r="AE607">
        <v>4.2599999999999999E-2</v>
      </c>
      <c r="AF607" t="s">
        <v>2593</v>
      </c>
      <c r="AG607" t="s">
        <v>2591</v>
      </c>
    </row>
    <row r="608" spans="1:33">
      <c r="A608" s="2" t="s">
        <v>129</v>
      </c>
      <c r="B608" s="2" t="s">
        <v>53</v>
      </c>
      <c r="C608" s="1">
        <v>0.50422724299999999</v>
      </c>
      <c r="D608">
        <v>0.61050655300000001</v>
      </c>
      <c r="E608">
        <v>0.63007085299999999</v>
      </c>
      <c r="F608" s="1" t="s">
        <v>130</v>
      </c>
      <c r="G608" s="1">
        <v>1.4142988080000001</v>
      </c>
      <c r="H608" s="1">
        <v>58.7</v>
      </c>
      <c r="I608" s="1">
        <v>109.1</v>
      </c>
      <c r="J608" s="1">
        <v>0.58160154966666655</v>
      </c>
      <c r="K608" s="1">
        <v>0.54695832700000002</v>
      </c>
      <c r="L608" s="1">
        <v>0.659790137</v>
      </c>
      <c r="M608" s="3">
        <v>0.70662085500000005</v>
      </c>
      <c r="N608" s="1" t="s">
        <v>54</v>
      </c>
      <c r="O608" s="1">
        <v>2.5053995680000001</v>
      </c>
      <c r="P608" s="1">
        <v>43.9</v>
      </c>
      <c r="Q608" s="1">
        <v>46.3</v>
      </c>
      <c r="R608" s="1">
        <v>0.63778977300000006</v>
      </c>
      <c r="S608" s="1">
        <v>0.10057196427384785</v>
      </c>
      <c r="T608" t="s">
        <v>755</v>
      </c>
      <c r="U608" s="1">
        <v>5417</v>
      </c>
      <c r="V608">
        <f t="shared" si="36"/>
        <v>0.41486209284302256</v>
      </c>
      <c r="W608" s="1">
        <f t="shared" si="37"/>
        <v>14.800000000000004</v>
      </c>
      <c r="X608">
        <f t="shared" si="38"/>
        <v>1.09110076</v>
      </c>
      <c r="Y608">
        <f t="shared" si="39"/>
        <v>62.8</v>
      </c>
      <c r="Z608" s="1">
        <v>1</v>
      </c>
      <c r="AA608">
        <v>99</v>
      </c>
      <c r="AB608">
        <v>1.01E-2</v>
      </c>
      <c r="AC608">
        <v>2</v>
      </c>
      <c r="AD608">
        <v>96</v>
      </c>
      <c r="AE608">
        <v>2.0799999999999999E-2</v>
      </c>
      <c r="AF608" t="s">
        <v>2593</v>
      </c>
      <c r="AG608" t="s">
        <v>2593</v>
      </c>
    </row>
    <row r="609" spans="1:33">
      <c r="A609" s="2" t="s">
        <v>129</v>
      </c>
      <c r="B609" s="2" t="s">
        <v>55</v>
      </c>
      <c r="C609" s="1">
        <v>0.50422724299999999</v>
      </c>
      <c r="D609">
        <v>0.61050655300000001</v>
      </c>
      <c r="E609">
        <v>0.63007085299999999</v>
      </c>
      <c r="F609" s="1" t="s">
        <v>130</v>
      </c>
      <c r="G609" s="1">
        <v>1.4142988080000001</v>
      </c>
      <c r="H609" s="1">
        <v>58.7</v>
      </c>
      <c r="I609" s="1">
        <v>109.1</v>
      </c>
      <c r="J609" s="1">
        <v>0.58160154966666655</v>
      </c>
      <c r="K609" s="1">
        <v>0.52971861799999997</v>
      </c>
      <c r="L609" s="1">
        <v>0.62258244500000004</v>
      </c>
      <c r="M609" s="3">
        <v>0.63939760400000001</v>
      </c>
      <c r="N609" s="1" t="s">
        <v>56</v>
      </c>
      <c r="O609" s="1">
        <v>1.0796934869999999</v>
      </c>
      <c r="P609" s="1">
        <v>55.3</v>
      </c>
      <c r="Q609" s="1">
        <v>130.5</v>
      </c>
      <c r="R609" s="1">
        <v>0.59723288899999993</v>
      </c>
      <c r="S609" s="1">
        <v>2.9709016328419397E-2</v>
      </c>
      <c r="T609" t="s">
        <v>756</v>
      </c>
      <c r="U609" s="1">
        <v>28526</v>
      </c>
      <c r="V609">
        <f t="shared" si="36"/>
        <v>0.49502676420788394</v>
      </c>
      <c r="W609" s="1">
        <f t="shared" si="37"/>
        <v>3.4000000000000057</v>
      </c>
      <c r="X609">
        <f t="shared" si="38"/>
        <v>0.33460532100000018</v>
      </c>
      <c r="Y609">
        <f t="shared" si="39"/>
        <v>21.400000000000006</v>
      </c>
      <c r="Z609" s="1">
        <v>35</v>
      </c>
      <c r="AA609">
        <v>65</v>
      </c>
      <c r="AB609">
        <v>0.53849999999999998</v>
      </c>
      <c r="AC609">
        <v>35</v>
      </c>
      <c r="AD609">
        <v>55</v>
      </c>
      <c r="AE609">
        <v>0.63639999999999997</v>
      </c>
      <c r="AF609" t="s">
        <v>2593</v>
      </c>
      <c r="AG609" t="s">
        <v>2592</v>
      </c>
    </row>
    <row r="610" spans="1:33">
      <c r="A610" s="2" t="s">
        <v>129</v>
      </c>
      <c r="B610" s="2" t="s">
        <v>57</v>
      </c>
      <c r="C610" s="1">
        <v>0.50422724299999999</v>
      </c>
      <c r="D610">
        <v>0.61050655300000001</v>
      </c>
      <c r="E610">
        <v>0.63007085299999999</v>
      </c>
      <c r="F610" s="1" t="s">
        <v>130</v>
      </c>
      <c r="G610" s="1">
        <v>1.4142988080000001</v>
      </c>
      <c r="H610" s="1">
        <v>58.7</v>
      </c>
      <c r="I610" s="1">
        <v>109.1</v>
      </c>
      <c r="J610" s="1">
        <v>0.58160154966666655</v>
      </c>
      <c r="K610" s="1">
        <v>0.528732855</v>
      </c>
      <c r="L610" s="1">
        <v>0.63387497599999998</v>
      </c>
      <c r="M610" s="3">
        <v>0.63337360200000004</v>
      </c>
      <c r="N610" s="1" t="s">
        <v>58</v>
      </c>
      <c r="O610" s="1">
        <v>1.386610879</v>
      </c>
      <c r="P610" s="1">
        <v>69</v>
      </c>
      <c r="Q610" s="1">
        <v>119.5</v>
      </c>
      <c r="R610" s="1">
        <v>0.59866047766666663</v>
      </c>
      <c r="S610" s="1">
        <v>3.4022292162029198E-2</v>
      </c>
      <c r="T610" t="s">
        <v>757</v>
      </c>
      <c r="U610" s="1">
        <v>8949</v>
      </c>
      <c r="V610">
        <f t="shared" si="36"/>
        <v>0.439086056453525</v>
      </c>
      <c r="W610" s="1">
        <f t="shared" si="37"/>
        <v>10.299999999999997</v>
      </c>
      <c r="X610">
        <f t="shared" si="38"/>
        <v>2.7687929000000056E-2</v>
      </c>
      <c r="Y610">
        <f t="shared" si="39"/>
        <v>10.400000000000006</v>
      </c>
      <c r="Z610" s="1">
        <v>22</v>
      </c>
      <c r="AA610">
        <v>78</v>
      </c>
      <c r="AB610">
        <v>0.28210000000000002</v>
      </c>
      <c r="AC610">
        <v>21</v>
      </c>
      <c r="AD610">
        <v>75</v>
      </c>
      <c r="AE610">
        <v>0.28000000000000003</v>
      </c>
      <c r="AF610" t="s">
        <v>2593</v>
      </c>
      <c r="AG610" t="s">
        <v>2589</v>
      </c>
    </row>
    <row r="611" spans="1:33">
      <c r="A611" s="2" t="s">
        <v>129</v>
      </c>
      <c r="B611" s="2" t="s">
        <v>59</v>
      </c>
      <c r="C611" s="1">
        <v>0.50422724299999999</v>
      </c>
      <c r="D611">
        <v>0.61050655300000001</v>
      </c>
      <c r="E611">
        <v>0.63007085299999999</v>
      </c>
      <c r="F611" s="1" t="s">
        <v>130</v>
      </c>
      <c r="G611" s="1">
        <v>1.4142988080000001</v>
      </c>
      <c r="H611" s="1">
        <v>58.7</v>
      </c>
      <c r="I611" s="1">
        <v>109.1</v>
      </c>
      <c r="J611" s="1">
        <v>0.58160154966666655</v>
      </c>
      <c r="K611" s="1">
        <v>0.56225432799999997</v>
      </c>
      <c r="L611" s="1">
        <v>0.68100706499999997</v>
      </c>
      <c r="M611" s="3">
        <v>0.67505263699999996</v>
      </c>
      <c r="N611" s="1" t="s">
        <v>60</v>
      </c>
      <c r="O611" s="1">
        <v>1.1501154730000001</v>
      </c>
      <c r="P611" s="1">
        <v>60.5</v>
      </c>
      <c r="Q611" s="1">
        <v>129.9</v>
      </c>
      <c r="R611" s="1">
        <v>0.63943801</v>
      </c>
      <c r="S611" s="1">
        <v>0.10178814114464423</v>
      </c>
      <c r="T611" t="s">
        <v>758</v>
      </c>
      <c r="U611" s="1">
        <v>9501</v>
      </c>
      <c r="V611">
        <f t="shared" si="36"/>
        <v>0.44197436867684159</v>
      </c>
      <c r="W611" s="1">
        <f t="shared" si="37"/>
        <v>1.7999999999999972</v>
      </c>
      <c r="X611">
        <f t="shared" si="38"/>
        <v>0.26418333500000002</v>
      </c>
      <c r="Y611">
        <f t="shared" si="39"/>
        <v>20.800000000000011</v>
      </c>
      <c r="Z611" s="1">
        <v>12</v>
      </c>
      <c r="AA611">
        <v>88</v>
      </c>
      <c r="AB611">
        <v>0.13639999999999999</v>
      </c>
      <c r="AC611">
        <v>15</v>
      </c>
      <c r="AD611">
        <v>100</v>
      </c>
      <c r="AE611">
        <v>0.15</v>
      </c>
      <c r="AF611" t="s">
        <v>2593</v>
      </c>
      <c r="AG611" t="s">
        <v>2589</v>
      </c>
    </row>
    <row r="612" spans="1:33">
      <c r="A612" s="2" t="s">
        <v>129</v>
      </c>
      <c r="B612" s="2" t="s">
        <v>61</v>
      </c>
      <c r="C612" s="1">
        <v>0.50422724299999999</v>
      </c>
      <c r="D612">
        <v>0.61050655300000001</v>
      </c>
      <c r="E612">
        <v>0.63007085299999999</v>
      </c>
      <c r="F612" s="1" t="s">
        <v>130</v>
      </c>
      <c r="G612" s="1">
        <v>1.4142988080000001</v>
      </c>
      <c r="H612" s="1">
        <v>58.7</v>
      </c>
      <c r="I612" s="1">
        <v>109.1</v>
      </c>
      <c r="J612" s="1">
        <v>0.58160154966666655</v>
      </c>
      <c r="K612" s="1">
        <v>0.62063455999999995</v>
      </c>
      <c r="L612" s="1">
        <v>0.67798104299999995</v>
      </c>
      <c r="M612" s="3">
        <v>0.72175371600000005</v>
      </c>
      <c r="N612" s="1" t="s">
        <v>62</v>
      </c>
      <c r="O612" s="1">
        <v>7.5471698109999998</v>
      </c>
      <c r="P612" s="1">
        <v>26.4</v>
      </c>
      <c r="Q612" s="1">
        <v>10.6</v>
      </c>
      <c r="R612" s="1">
        <v>0.6734564396666668</v>
      </c>
      <c r="S612" s="1">
        <v>0.16281651519356183</v>
      </c>
      <c r="T612" t="s">
        <v>759</v>
      </c>
      <c r="U612" s="1">
        <v>12100</v>
      </c>
      <c r="V612">
        <f t="shared" si="36"/>
        <v>0.45364281892405001</v>
      </c>
      <c r="W612" s="1">
        <f t="shared" si="37"/>
        <v>32.300000000000004</v>
      </c>
      <c r="X612">
        <f t="shared" si="38"/>
        <v>6.132871003</v>
      </c>
      <c r="Y612">
        <f t="shared" si="39"/>
        <v>98.5</v>
      </c>
      <c r="Z612" s="1">
        <v>0</v>
      </c>
      <c r="AA612">
        <v>100</v>
      </c>
      <c r="AB612">
        <v>0</v>
      </c>
      <c r="AC612">
        <v>0</v>
      </c>
      <c r="AD612">
        <v>90</v>
      </c>
      <c r="AE612">
        <v>0</v>
      </c>
      <c r="AF612" t="s">
        <v>2593</v>
      </c>
      <c r="AG612" t="s">
        <v>2588</v>
      </c>
    </row>
    <row r="613" spans="1:33">
      <c r="A613" s="2" t="s">
        <v>129</v>
      </c>
      <c r="B613" s="2" t="s">
        <v>63</v>
      </c>
      <c r="C613" s="1">
        <v>0.50422724299999999</v>
      </c>
      <c r="D613">
        <v>0.61050655300000001</v>
      </c>
      <c r="E613">
        <v>0.63007085299999999</v>
      </c>
      <c r="F613" s="1" t="s">
        <v>130</v>
      </c>
      <c r="G613" s="1">
        <v>1.4142988080000001</v>
      </c>
      <c r="H613" s="1">
        <v>58.7</v>
      </c>
      <c r="I613" s="1">
        <v>109.1</v>
      </c>
      <c r="J613" s="1">
        <v>0.58160154966666655</v>
      </c>
      <c r="K613" s="1">
        <v>0.44311141399999998</v>
      </c>
      <c r="L613" s="1">
        <v>0.57053969199999999</v>
      </c>
      <c r="M613" s="3">
        <v>0.59266330599999995</v>
      </c>
      <c r="N613" s="1" t="s">
        <v>64</v>
      </c>
      <c r="O613" s="1">
        <v>0.89618138400000003</v>
      </c>
      <c r="P613" s="1">
        <v>29.7</v>
      </c>
      <c r="Q613" s="1">
        <v>83.8</v>
      </c>
      <c r="R613" s="1">
        <v>0.53543813733333334</v>
      </c>
      <c r="S613" s="1">
        <v>8.2047663617605696E-2</v>
      </c>
      <c r="T613" t="s">
        <v>760</v>
      </c>
      <c r="U613" s="1">
        <v>2220</v>
      </c>
      <c r="V613">
        <f t="shared" si="36"/>
        <v>0.37181699716118211</v>
      </c>
      <c r="W613" s="1">
        <f t="shared" si="37"/>
        <v>29.000000000000004</v>
      </c>
      <c r="X613">
        <f t="shared" si="38"/>
        <v>0.51811742400000005</v>
      </c>
      <c r="Y613">
        <f t="shared" si="39"/>
        <v>25.299999999999997</v>
      </c>
      <c r="Z613" s="1">
        <v>12</v>
      </c>
      <c r="AA613">
        <v>88</v>
      </c>
      <c r="AB613">
        <v>0.13639999999999999</v>
      </c>
      <c r="AC613">
        <v>14</v>
      </c>
      <c r="AD613">
        <v>83</v>
      </c>
      <c r="AE613">
        <v>0.16869999999999999</v>
      </c>
      <c r="AF613" t="s">
        <v>2593</v>
      </c>
      <c r="AG613" t="s">
        <v>2590</v>
      </c>
    </row>
    <row r="614" spans="1:33">
      <c r="A614" s="2" t="s">
        <v>129</v>
      </c>
      <c r="B614" s="2" t="s">
        <v>65</v>
      </c>
      <c r="C614" s="1">
        <v>0.50422724299999999</v>
      </c>
      <c r="D614">
        <v>0.61050655300000001</v>
      </c>
      <c r="E614">
        <v>0.63007085299999999</v>
      </c>
      <c r="F614" s="1" t="s">
        <v>130</v>
      </c>
      <c r="G614" s="1">
        <v>1.4142988080000001</v>
      </c>
      <c r="H614" s="1">
        <v>58.7</v>
      </c>
      <c r="I614" s="1">
        <v>109.1</v>
      </c>
      <c r="J614" s="1">
        <v>0.58160154966666655</v>
      </c>
      <c r="K614" s="1">
        <v>0.67377447499999998</v>
      </c>
      <c r="L614" s="1">
        <v>0.69144672900000004</v>
      </c>
      <c r="M614" s="3">
        <v>0.73046409700000003</v>
      </c>
      <c r="N614" s="1" t="s">
        <v>66</v>
      </c>
      <c r="O614" s="1">
        <v>1.8507462690000001</v>
      </c>
      <c r="P614" s="1">
        <v>34.5</v>
      </c>
      <c r="Q614" s="1">
        <v>46.9</v>
      </c>
      <c r="R614" s="1">
        <v>0.69856176700000006</v>
      </c>
      <c r="S614" s="1">
        <v>0.21301732185579733</v>
      </c>
      <c r="T614" t="s">
        <v>761</v>
      </c>
      <c r="U614" s="1">
        <v>5762</v>
      </c>
      <c r="V614">
        <f t="shared" si="36"/>
        <v>0.41784147266048827</v>
      </c>
      <c r="W614" s="1">
        <f t="shared" si="37"/>
        <v>24.200000000000003</v>
      </c>
      <c r="X614">
        <f t="shared" si="38"/>
        <v>0.43644746099999998</v>
      </c>
      <c r="Y614">
        <f t="shared" si="39"/>
        <v>62.199999999999996</v>
      </c>
      <c r="Z614" s="1">
        <v>0</v>
      </c>
      <c r="AA614">
        <v>100</v>
      </c>
      <c r="AB614">
        <v>0</v>
      </c>
      <c r="AC614">
        <v>0</v>
      </c>
      <c r="AD614">
        <v>79</v>
      </c>
      <c r="AE614">
        <v>0</v>
      </c>
      <c r="AF614" t="s">
        <v>2593</v>
      </c>
      <c r="AG614" t="s">
        <v>2593</v>
      </c>
    </row>
    <row r="615" spans="1:33">
      <c r="A615" s="2" t="s">
        <v>129</v>
      </c>
      <c r="B615" s="2" t="s">
        <v>67</v>
      </c>
      <c r="C615" s="1">
        <v>0.50422724299999999</v>
      </c>
      <c r="D615">
        <v>0.61050655300000001</v>
      </c>
      <c r="E615">
        <v>0.63007085299999999</v>
      </c>
      <c r="F615" s="1" t="s">
        <v>130</v>
      </c>
      <c r="G615" s="1">
        <v>1.4142988080000001</v>
      </c>
      <c r="H615" s="1">
        <v>58.7</v>
      </c>
      <c r="I615" s="1">
        <v>109.1</v>
      </c>
      <c r="J615" s="1">
        <v>0.58160154966666655</v>
      </c>
      <c r="K615" s="1">
        <v>0.53971122199999999</v>
      </c>
      <c r="L615" s="1">
        <v>0.621203065</v>
      </c>
      <c r="M615" s="3">
        <v>0.67806811499999997</v>
      </c>
      <c r="N615" s="1" t="s">
        <v>68</v>
      </c>
      <c r="O615" s="1">
        <v>1.5131894480000001</v>
      </c>
      <c r="P615" s="1">
        <v>27.2</v>
      </c>
      <c r="Q615" s="1">
        <v>41.7</v>
      </c>
      <c r="R615" s="1">
        <v>0.61299413400000002</v>
      </c>
      <c r="S615" s="1">
        <v>6.0640459217713938E-2</v>
      </c>
      <c r="T615" t="s">
        <v>762</v>
      </c>
      <c r="U615" s="1">
        <v>5962</v>
      </c>
      <c r="V615">
        <f t="shared" si="36"/>
        <v>0.41948799685517912</v>
      </c>
      <c r="W615" s="1">
        <f t="shared" si="37"/>
        <v>31.500000000000004</v>
      </c>
      <c r="X615">
        <f t="shared" si="38"/>
        <v>9.889064000000003E-2</v>
      </c>
      <c r="Y615">
        <f t="shared" si="39"/>
        <v>67.399999999999991</v>
      </c>
      <c r="Z615" s="1">
        <v>1</v>
      </c>
      <c r="AA615">
        <v>99</v>
      </c>
      <c r="AB615">
        <v>1.01E-2</v>
      </c>
      <c r="AC615">
        <v>2</v>
      </c>
      <c r="AD615">
        <v>88</v>
      </c>
      <c r="AE615">
        <v>2.2700000000000001E-2</v>
      </c>
      <c r="AF615" t="s">
        <v>2593</v>
      </c>
      <c r="AG615" t="s">
        <v>2588</v>
      </c>
    </row>
    <row r="616" spans="1:33">
      <c r="A616" s="2" t="s">
        <v>129</v>
      </c>
      <c r="B616" s="2" t="s">
        <v>69</v>
      </c>
      <c r="C616" s="1">
        <v>0.50422724299999999</v>
      </c>
      <c r="D616">
        <v>0.61050655300000001</v>
      </c>
      <c r="E616">
        <v>0.63007085299999999</v>
      </c>
      <c r="F616" s="1" t="s">
        <v>130</v>
      </c>
      <c r="G616" s="1">
        <v>1.4142988080000001</v>
      </c>
      <c r="H616" s="1">
        <v>58.7</v>
      </c>
      <c r="I616" s="1">
        <v>109.1</v>
      </c>
      <c r="J616" s="1">
        <v>0.58160154966666655</v>
      </c>
      <c r="K616" s="1">
        <v>0.50188385300000005</v>
      </c>
      <c r="L616" s="1">
        <v>0.64580031500000001</v>
      </c>
      <c r="M616" s="3">
        <v>0.66006355800000005</v>
      </c>
      <c r="N616" s="1" t="s">
        <v>70</v>
      </c>
      <c r="O616" s="1">
        <v>1.2401055409999999</v>
      </c>
      <c r="P616" s="1">
        <v>43.4</v>
      </c>
      <c r="Q616" s="1">
        <v>75.8</v>
      </c>
      <c r="R616" s="1">
        <v>0.60258257533333337</v>
      </c>
      <c r="S616" s="1">
        <v>4.637567752628282E-2</v>
      </c>
      <c r="T616" t="s">
        <v>763</v>
      </c>
      <c r="U616" s="1">
        <v>4472</v>
      </c>
      <c r="V616">
        <f t="shared" si="36"/>
        <v>0.40561131054204075</v>
      </c>
      <c r="W616" s="1">
        <f t="shared" si="37"/>
        <v>15.300000000000004</v>
      </c>
      <c r="X616">
        <f t="shared" si="38"/>
        <v>0.17419326700000015</v>
      </c>
      <c r="Y616">
        <f t="shared" si="39"/>
        <v>33.299999999999997</v>
      </c>
      <c r="Z616" s="1">
        <v>22</v>
      </c>
      <c r="AA616">
        <v>78</v>
      </c>
      <c r="AB616">
        <v>0.28210000000000002</v>
      </c>
      <c r="AC616">
        <v>24</v>
      </c>
      <c r="AD616">
        <v>73</v>
      </c>
      <c r="AE616">
        <v>0.32879999999999998</v>
      </c>
      <c r="AF616" t="s">
        <v>2593</v>
      </c>
      <c r="AG616" t="s">
        <v>2589</v>
      </c>
    </row>
    <row r="617" spans="1:33">
      <c r="A617" s="2" t="s">
        <v>129</v>
      </c>
      <c r="B617" s="2" t="s">
        <v>71</v>
      </c>
      <c r="C617" s="1">
        <v>0.50422724299999999</v>
      </c>
      <c r="D617">
        <v>0.61050655300000001</v>
      </c>
      <c r="E617">
        <v>0.63007085299999999</v>
      </c>
      <c r="F617" s="1" t="s">
        <v>130</v>
      </c>
      <c r="G617" s="1">
        <v>1.4142988080000001</v>
      </c>
      <c r="H617" s="1">
        <v>58.7</v>
      </c>
      <c r="I617" s="1">
        <v>109.1</v>
      </c>
      <c r="J617" s="1">
        <v>0.58160154966666655</v>
      </c>
      <c r="K617" s="1">
        <v>0.53267569100000001</v>
      </c>
      <c r="L617" s="1">
        <v>0.64507433599999997</v>
      </c>
      <c r="M617" s="3">
        <v>0.66598465100000004</v>
      </c>
      <c r="N617" s="1" t="s">
        <v>72</v>
      </c>
      <c r="O617" s="1">
        <v>0.97289666900000005</v>
      </c>
      <c r="P617" s="1">
        <v>64.8</v>
      </c>
      <c r="Q617" s="1">
        <v>177.1</v>
      </c>
      <c r="R617" s="1">
        <v>0.61457822600000001</v>
      </c>
      <c r="S617" s="1">
        <v>5.7393786265837167E-2</v>
      </c>
      <c r="T617" t="s">
        <v>764</v>
      </c>
      <c r="U617" s="1">
        <v>15232</v>
      </c>
      <c r="V617">
        <f t="shared" si="36"/>
        <v>0.4647507701155999</v>
      </c>
      <c r="W617" s="1">
        <f t="shared" si="37"/>
        <v>6.0999999999999943</v>
      </c>
      <c r="X617">
        <f t="shared" si="38"/>
        <v>0.44140213900000003</v>
      </c>
      <c r="Y617">
        <f t="shared" si="39"/>
        <v>68</v>
      </c>
      <c r="Z617" s="1">
        <v>18</v>
      </c>
      <c r="AA617">
        <v>82</v>
      </c>
      <c r="AB617">
        <v>0.2195</v>
      </c>
      <c r="AC617">
        <v>20</v>
      </c>
      <c r="AD617">
        <v>88</v>
      </c>
      <c r="AE617">
        <v>0.2273</v>
      </c>
      <c r="AF617" t="s">
        <v>2593</v>
      </c>
      <c r="AG617" t="s">
        <v>2589</v>
      </c>
    </row>
    <row r="618" spans="1:33">
      <c r="A618" s="2" t="s">
        <v>129</v>
      </c>
      <c r="B618" s="2" t="s">
        <v>73</v>
      </c>
      <c r="C618" s="1">
        <v>0.50422724299999999</v>
      </c>
      <c r="D618">
        <v>0.61050655300000001</v>
      </c>
      <c r="E618">
        <v>0.63007085299999999</v>
      </c>
      <c r="F618" s="1" t="s">
        <v>130</v>
      </c>
      <c r="G618" s="1">
        <v>1.4142988080000001</v>
      </c>
      <c r="H618" s="1">
        <v>58.7</v>
      </c>
      <c r="I618" s="1">
        <v>109.1</v>
      </c>
      <c r="J618" s="1">
        <v>0.58160154966666655</v>
      </c>
      <c r="K618" s="1">
        <v>0.55697925299999995</v>
      </c>
      <c r="L618" s="1">
        <v>0.64461978399999997</v>
      </c>
      <c r="M618" s="3">
        <v>0.69570690000000002</v>
      </c>
      <c r="N618" s="1" t="s">
        <v>74</v>
      </c>
      <c r="O618" s="1">
        <v>1.23433584</v>
      </c>
      <c r="P618" s="1">
        <v>44</v>
      </c>
      <c r="Q618" s="1">
        <v>79.8</v>
      </c>
      <c r="R618" s="1">
        <v>0.63243531233333328</v>
      </c>
      <c r="S618" s="1">
        <v>9.085470683506533E-2</v>
      </c>
      <c r="T618" t="s">
        <v>765</v>
      </c>
      <c r="U618" s="1">
        <v>2694</v>
      </c>
      <c r="V618">
        <f t="shared" si="36"/>
        <v>0.38115528793188519</v>
      </c>
      <c r="W618" s="1">
        <f t="shared" si="37"/>
        <v>14.700000000000003</v>
      </c>
      <c r="X618">
        <f t="shared" si="38"/>
        <v>0.17996296800000011</v>
      </c>
      <c r="Y618">
        <f t="shared" si="39"/>
        <v>29.299999999999997</v>
      </c>
      <c r="Z618" s="1">
        <v>17</v>
      </c>
      <c r="AA618">
        <v>83</v>
      </c>
      <c r="AB618">
        <v>0.20480000000000001</v>
      </c>
      <c r="AC618">
        <v>19</v>
      </c>
      <c r="AD618">
        <v>74</v>
      </c>
      <c r="AE618">
        <v>0.25679999999999997</v>
      </c>
      <c r="AF618" t="s">
        <v>2593</v>
      </c>
      <c r="AG618" t="s">
        <v>2589</v>
      </c>
    </row>
    <row r="619" spans="1:33">
      <c r="A619" s="2" t="s">
        <v>129</v>
      </c>
      <c r="B619" s="2" t="s">
        <v>75</v>
      </c>
      <c r="C619" s="1">
        <v>0.50422724299999999</v>
      </c>
      <c r="D619">
        <v>0.61050655300000001</v>
      </c>
      <c r="E619">
        <v>0.63007085299999999</v>
      </c>
      <c r="F619" s="1" t="s">
        <v>130</v>
      </c>
      <c r="G619" s="1">
        <v>1.4142988080000001</v>
      </c>
      <c r="H619" s="1">
        <v>58.7</v>
      </c>
      <c r="I619" s="1">
        <v>109.1</v>
      </c>
      <c r="J619" s="1">
        <v>0.58160154966666655</v>
      </c>
      <c r="K619" s="1">
        <v>0.50354843500000002</v>
      </c>
      <c r="L619" s="1">
        <v>0.59724402499999996</v>
      </c>
      <c r="M619" s="3">
        <v>0.70308254199999998</v>
      </c>
      <c r="N619" s="1" t="s">
        <v>76</v>
      </c>
      <c r="O619" s="1">
        <v>1.2696850390000001</v>
      </c>
      <c r="P619" s="1">
        <v>26.6</v>
      </c>
      <c r="Q619" s="1">
        <v>50.8</v>
      </c>
      <c r="R619" s="1">
        <v>0.60129166733333339</v>
      </c>
      <c r="S619" s="1">
        <v>7.4209582668846544E-2</v>
      </c>
      <c r="T619" t="s">
        <v>766</v>
      </c>
      <c r="U619" s="1">
        <v>1815</v>
      </c>
      <c r="V619">
        <f t="shared" si="36"/>
        <v>0.36209740326357015</v>
      </c>
      <c r="W619" s="1">
        <f t="shared" si="37"/>
        <v>32.1</v>
      </c>
      <c r="X619">
        <f t="shared" si="38"/>
        <v>0.144613769</v>
      </c>
      <c r="Y619">
        <f t="shared" si="39"/>
        <v>58.3</v>
      </c>
      <c r="Z619" s="1">
        <v>5</v>
      </c>
      <c r="AA619">
        <v>95</v>
      </c>
      <c r="AB619">
        <v>5.2600000000000001E-2</v>
      </c>
      <c r="AC619">
        <v>6</v>
      </c>
      <c r="AD619">
        <v>87</v>
      </c>
      <c r="AE619">
        <v>6.9000000000000006E-2</v>
      </c>
      <c r="AF619" t="s">
        <v>2593</v>
      </c>
      <c r="AG619" t="s">
        <v>2594</v>
      </c>
    </row>
    <row r="620" spans="1:33">
      <c r="A620" s="2" t="s">
        <v>129</v>
      </c>
      <c r="B620" s="2" t="s">
        <v>77</v>
      </c>
      <c r="C620" s="1">
        <v>0.50422724299999999</v>
      </c>
      <c r="D620">
        <v>0.61050655300000001</v>
      </c>
      <c r="E620">
        <v>0.63007085299999999</v>
      </c>
      <c r="F620" s="1" t="s">
        <v>130</v>
      </c>
      <c r="G620" s="1">
        <v>1.4142988080000001</v>
      </c>
      <c r="H620" s="1">
        <v>58.7</v>
      </c>
      <c r="I620" s="1">
        <v>109.1</v>
      </c>
      <c r="J620" s="1">
        <v>0.58160154966666655</v>
      </c>
      <c r="K620" s="1">
        <v>0.54630843299999998</v>
      </c>
      <c r="L620" s="1">
        <v>0.68935555900000001</v>
      </c>
      <c r="M620" s="3">
        <v>0.65478744899999997</v>
      </c>
      <c r="N620" s="1" t="s">
        <v>78</v>
      </c>
      <c r="O620" s="1">
        <v>1.3914285710000001</v>
      </c>
      <c r="P620" s="1">
        <v>56.5</v>
      </c>
      <c r="Q620" s="1">
        <v>105</v>
      </c>
      <c r="R620" s="1">
        <v>0.63015048033333343</v>
      </c>
      <c r="S620" s="1">
        <v>9.2730266994284827E-2</v>
      </c>
      <c r="T620" t="s">
        <v>767</v>
      </c>
      <c r="U620" s="1">
        <v>7034</v>
      </c>
      <c r="V620">
        <f t="shared" si="36"/>
        <v>0.42746692933121377</v>
      </c>
      <c r="W620" s="1">
        <f t="shared" si="37"/>
        <v>2.2000000000000028</v>
      </c>
      <c r="X620">
        <f t="shared" si="38"/>
        <v>2.2870237000000015E-2</v>
      </c>
      <c r="Y620">
        <f t="shared" si="39"/>
        <v>4.0999999999999943</v>
      </c>
      <c r="Z620" s="1">
        <v>4</v>
      </c>
      <c r="AA620">
        <v>96</v>
      </c>
      <c r="AB620">
        <v>4.1700000000000001E-2</v>
      </c>
      <c r="AC620">
        <v>6</v>
      </c>
      <c r="AD620">
        <v>76</v>
      </c>
      <c r="AE620">
        <v>7.8899999999999998E-2</v>
      </c>
      <c r="AF620" t="s">
        <v>2593</v>
      </c>
      <c r="AG620" t="s">
        <v>2590</v>
      </c>
    </row>
    <row r="621" spans="1:33">
      <c r="A621" s="2" t="s">
        <v>129</v>
      </c>
      <c r="B621" s="2" t="s">
        <v>79</v>
      </c>
      <c r="C621" s="1">
        <v>0.50422724299999999</v>
      </c>
      <c r="D621">
        <v>0.61050655300000001</v>
      </c>
      <c r="E621">
        <v>0.63007085299999999</v>
      </c>
      <c r="F621" s="1" t="s">
        <v>130</v>
      </c>
      <c r="G621" s="1">
        <v>1.4142988080000001</v>
      </c>
      <c r="H621" s="1">
        <v>58.7</v>
      </c>
      <c r="I621" s="1">
        <v>109.1</v>
      </c>
      <c r="J621" s="1">
        <v>0.58160154966666655</v>
      </c>
      <c r="K621" s="1">
        <v>0.63652882899999996</v>
      </c>
      <c r="L621" s="1">
        <v>0.77536518600000004</v>
      </c>
      <c r="M621" s="3">
        <v>0.610415606</v>
      </c>
      <c r="N621" s="1" t="s">
        <v>80</v>
      </c>
      <c r="O621" s="1">
        <v>0.95325542600000002</v>
      </c>
      <c r="P621" s="1">
        <v>45.6</v>
      </c>
      <c r="Q621" s="1">
        <v>119.8</v>
      </c>
      <c r="R621" s="1">
        <v>0.67410320700000004</v>
      </c>
      <c r="S621" s="1">
        <v>0.21229321060122269</v>
      </c>
      <c r="T621" t="s">
        <v>768</v>
      </c>
      <c r="U621" s="1">
        <v>5914</v>
      </c>
      <c r="V621">
        <f t="shared" si="36"/>
        <v>0.41909792446556654</v>
      </c>
      <c r="W621" s="1">
        <f t="shared" si="37"/>
        <v>13.100000000000001</v>
      </c>
      <c r="X621">
        <f t="shared" si="38"/>
        <v>0.46104338200000006</v>
      </c>
      <c r="Y621">
        <f t="shared" si="39"/>
        <v>10.700000000000003</v>
      </c>
      <c r="Z621" s="1">
        <v>1</v>
      </c>
      <c r="AA621">
        <v>99</v>
      </c>
      <c r="AB621">
        <v>1.01E-2</v>
      </c>
      <c r="AC621">
        <v>2</v>
      </c>
      <c r="AD621">
        <v>71</v>
      </c>
      <c r="AE621">
        <v>2.8199999999999999E-2</v>
      </c>
      <c r="AF621" t="s">
        <v>2593</v>
      </c>
      <c r="AG621" t="s">
        <v>2590</v>
      </c>
    </row>
    <row r="622" spans="1:33">
      <c r="A622" s="2" t="s">
        <v>129</v>
      </c>
      <c r="B622" s="2" t="s">
        <v>81</v>
      </c>
      <c r="C622" s="1">
        <v>0.50422724299999999</v>
      </c>
      <c r="D622">
        <v>0.61050655300000001</v>
      </c>
      <c r="E622">
        <v>0.63007085299999999</v>
      </c>
      <c r="F622" s="1" t="s">
        <v>130</v>
      </c>
      <c r="G622" s="1">
        <v>1.4142988080000001</v>
      </c>
      <c r="H622" s="1">
        <v>58.7</v>
      </c>
      <c r="I622" s="1">
        <v>109.1</v>
      </c>
      <c r="J622" s="1">
        <v>0.58160154966666655</v>
      </c>
      <c r="K622" s="1">
        <v>0.50183280699999999</v>
      </c>
      <c r="L622" s="1">
        <v>0.68550824600000004</v>
      </c>
      <c r="M622" s="3">
        <v>0.66941488999999998</v>
      </c>
      <c r="N622" s="1" t="s">
        <v>82</v>
      </c>
      <c r="O622" s="1">
        <v>1.4359576970000001</v>
      </c>
      <c r="P622" s="1">
        <v>51</v>
      </c>
      <c r="Q622" s="1">
        <v>85.1</v>
      </c>
      <c r="R622" s="1">
        <v>0.61891864766666671</v>
      </c>
      <c r="S622" s="1">
        <v>8.472862871592883E-2</v>
      </c>
      <c r="T622" t="s">
        <v>769</v>
      </c>
      <c r="U622" s="1">
        <v>5819</v>
      </c>
      <c r="V622">
        <f t="shared" si="36"/>
        <v>0.4183164841326012</v>
      </c>
      <c r="W622" s="1">
        <f t="shared" si="37"/>
        <v>7.7000000000000028</v>
      </c>
      <c r="X622">
        <f t="shared" si="38"/>
        <v>2.1658889000000014E-2</v>
      </c>
      <c r="Y622">
        <f t="shared" si="39"/>
        <v>24</v>
      </c>
      <c r="Z622" s="1">
        <v>0</v>
      </c>
      <c r="AA622">
        <v>100</v>
      </c>
      <c r="AB622">
        <v>0</v>
      </c>
      <c r="AC622">
        <v>0</v>
      </c>
      <c r="AD622">
        <v>84</v>
      </c>
      <c r="AE622">
        <v>0</v>
      </c>
      <c r="AF622" t="s">
        <v>2593</v>
      </c>
      <c r="AG622" t="s">
        <v>2589</v>
      </c>
    </row>
    <row r="623" spans="1:33">
      <c r="A623" s="2" t="s">
        <v>129</v>
      </c>
      <c r="B623" s="2" t="s">
        <v>83</v>
      </c>
      <c r="C623" s="1">
        <v>0.50422724299999999</v>
      </c>
      <c r="D623">
        <v>0.61050655300000001</v>
      </c>
      <c r="E623">
        <v>0.63007085299999999</v>
      </c>
      <c r="F623" s="1" t="s">
        <v>130</v>
      </c>
      <c r="G623" s="1">
        <v>1.4142988080000001</v>
      </c>
      <c r="H623" s="1">
        <v>58.7</v>
      </c>
      <c r="I623" s="1">
        <v>109.1</v>
      </c>
      <c r="J623" s="1">
        <v>0.58160154966666655</v>
      </c>
      <c r="K623" s="1">
        <v>0.51815179099999997</v>
      </c>
      <c r="L623" s="1">
        <v>0.50115949400000004</v>
      </c>
      <c r="M623" s="3">
        <v>0.68053170600000001</v>
      </c>
      <c r="N623" s="1" t="s">
        <v>84</v>
      </c>
      <c r="O623" s="1">
        <v>1.760323887</v>
      </c>
      <c r="P623" s="1">
        <v>83.4</v>
      </c>
      <c r="Q623" s="1">
        <v>123.5</v>
      </c>
      <c r="R623" s="1">
        <v>0.56661433033333342</v>
      </c>
      <c r="S623" s="1">
        <v>0.12123106051850487</v>
      </c>
      <c r="T623" t="s">
        <v>770</v>
      </c>
      <c r="U623" s="1">
        <v>12386</v>
      </c>
      <c r="V623">
        <f t="shared" si="36"/>
        <v>0.45477011951928364</v>
      </c>
      <c r="W623" s="1">
        <f t="shared" si="37"/>
        <v>24.700000000000003</v>
      </c>
      <c r="X623">
        <f t="shared" si="38"/>
        <v>0.3460250789999999</v>
      </c>
      <c r="Y623">
        <f t="shared" si="39"/>
        <v>14.400000000000006</v>
      </c>
      <c r="Z623" s="1">
        <v>7</v>
      </c>
      <c r="AA623">
        <v>93</v>
      </c>
      <c r="AB623">
        <v>7.5300000000000006E-2</v>
      </c>
      <c r="AC623">
        <v>8</v>
      </c>
      <c r="AD623">
        <v>71</v>
      </c>
      <c r="AE623">
        <v>0.11269999999999999</v>
      </c>
      <c r="AF623" t="s">
        <v>2593</v>
      </c>
      <c r="AG623" t="s">
        <v>2589</v>
      </c>
    </row>
    <row r="624" spans="1:33">
      <c r="A624" s="2" t="s">
        <v>129</v>
      </c>
      <c r="B624" s="2" t="s">
        <v>85</v>
      </c>
      <c r="C624" s="1">
        <v>0.50422724299999999</v>
      </c>
      <c r="D624">
        <v>0.61050655300000001</v>
      </c>
      <c r="E624">
        <v>0.63007085299999999</v>
      </c>
      <c r="F624" s="1" t="s">
        <v>130</v>
      </c>
      <c r="G624" s="1">
        <v>1.4142988080000001</v>
      </c>
      <c r="H624" s="1">
        <v>58.7</v>
      </c>
      <c r="I624" s="1">
        <v>109.1</v>
      </c>
      <c r="J624" s="1">
        <v>0.58160154966666655</v>
      </c>
      <c r="K624" s="1">
        <v>0.522280945</v>
      </c>
      <c r="L624" s="1">
        <v>0.58016629799999997</v>
      </c>
      <c r="M624" s="3">
        <v>0.62446713499999995</v>
      </c>
      <c r="N624" s="1" t="s">
        <v>86</v>
      </c>
      <c r="O624" s="1">
        <v>0.57177615599999998</v>
      </c>
      <c r="P624" s="1">
        <v>19.5</v>
      </c>
      <c r="Q624" s="1">
        <v>82.2</v>
      </c>
      <c r="R624" s="1">
        <v>0.57563812599999997</v>
      </c>
      <c r="S624" s="1">
        <v>3.5747291992448263E-2</v>
      </c>
      <c r="T624" t="s">
        <v>771</v>
      </c>
      <c r="U624" s="1">
        <v>6069</v>
      </c>
      <c r="V624">
        <f t="shared" si="36"/>
        <v>0.42034634861005193</v>
      </c>
      <c r="W624" s="1">
        <f t="shared" si="37"/>
        <v>39.200000000000003</v>
      </c>
      <c r="X624">
        <f t="shared" si="38"/>
        <v>0.84252265200000009</v>
      </c>
      <c r="Y624">
        <f t="shared" si="39"/>
        <v>26.899999999999991</v>
      </c>
      <c r="Z624" s="1">
        <v>1</v>
      </c>
      <c r="AA624">
        <v>99</v>
      </c>
      <c r="AB624">
        <v>1.01E-2</v>
      </c>
      <c r="AC624">
        <v>2</v>
      </c>
      <c r="AD624">
        <v>142</v>
      </c>
      <c r="AE624">
        <v>1.41E-2</v>
      </c>
      <c r="AF624" t="s">
        <v>2593</v>
      </c>
      <c r="AG624" t="s">
        <v>2590</v>
      </c>
    </row>
    <row r="625" spans="1:33">
      <c r="A625" s="2" t="s">
        <v>129</v>
      </c>
      <c r="B625" s="2" t="s">
        <v>87</v>
      </c>
      <c r="C625" s="1">
        <v>0.50422724299999999</v>
      </c>
      <c r="D625">
        <v>0.61050655300000001</v>
      </c>
      <c r="E625">
        <v>0.63007085299999999</v>
      </c>
      <c r="F625" s="1" t="s">
        <v>130</v>
      </c>
      <c r="G625" s="1">
        <v>1.4142988080000001</v>
      </c>
      <c r="H625" s="1">
        <v>58.7</v>
      </c>
      <c r="I625" s="1">
        <v>109.1</v>
      </c>
      <c r="J625" s="1">
        <v>0.58160154966666655</v>
      </c>
      <c r="K625" s="1">
        <v>0.46780425199999998</v>
      </c>
      <c r="L625" s="1">
        <v>0.54149707400000002</v>
      </c>
      <c r="M625" s="3">
        <v>0.61626236400000001</v>
      </c>
      <c r="N625" s="1" t="s">
        <v>88</v>
      </c>
      <c r="O625" s="1">
        <v>1.395454545</v>
      </c>
      <c r="P625" s="1">
        <v>65.2</v>
      </c>
      <c r="Q625" s="1">
        <v>110</v>
      </c>
      <c r="R625" s="1">
        <v>0.54185456333333337</v>
      </c>
      <c r="S625" s="1">
        <v>7.9244033426502478E-2</v>
      </c>
      <c r="T625" t="s">
        <v>772</v>
      </c>
      <c r="U625" s="1">
        <v>16052</v>
      </c>
      <c r="V625">
        <f t="shared" si="36"/>
        <v>0.46728101678464451</v>
      </c>
      <c r="W625" s="1">
        <f t="shared" si="37"/>
        <v>6.5</v>
      </c>
      <c r="X625">
        <f t="shared" si="38"/>
        <v>1.8844263000000083E-2</v>
      </c>
      <c r="Y625">
        <f t="shared" si="39"/>
        <v>0.90000000000000568</v>
      </c>
      <c r="Z625" s="1">
        <v>8</v>
      </c>
      <c r="AA625">
        <v>92</v>
      </c>
      <c r="AB625">
        <v>8.6999999999999994E-2</v>
      </c>
      <c r="AC625">
        <v>10</v>
      </c>
      <c r="AD625">
        <v>67</v>
      </c>
      <c r="AE625">
        <v>0.14929999999999999</v>
      </c>
      <c r="AF625" t="s">
        <v>2593</v>
      </c>
      <c r="AG625" t="s">
        <v>2590</v>
      </c>
    </row>
    <row r="626" spans="1:33">
      <c r="A626" s="2" t="s">
        <v>129</v>
      </c>
      <c r="B626" s="2" t="s">
        <v>89</v>
      </c>
      <c r="C626" s="1">
        <v>0.50422724299999999</v>
      </c>
      <c r="D626">
        <v>0.61050655300000001</v>
      </c>
      <c r="E626">
        <v>0.63007085299999999</v>
      </c>
      <c r="F626" s="1" t="s">
        <v>130</v>
      </c>
      <c r="G626" s="1">
        <v>1.4142988080000001</v>
      </c>
      <c r="H626" s="1">
        <v>58.7</v>
      </c>
      <c r="I626" s="1">
        <v>109.1</v>
      </c>
      <c r="J626" s="1">
        <v>0.58160154966666655</v>
      </c>
      <c r="K626" s="1">
        <v>0.51097051500000001</v>
      </c>
      <c r="L626" s="1">
        <v>0.61917891400000002</v>
      </c>
      <c r="M626" s="3">
        <v>0.60984479800000002</v>
      </c>
      <c r="N626" s="1" t="s">
        <v>90</v>
      </c>
      <c r="O626" s="1">
        <v>1.429752066</v>
      </c>
      <c r="P626" s="1">
        <v>59.8</v>
      </c>
      <c r="Q626" s="1">
        <v>108.9</v>
      </c>
      <c r="R626" s="1">
        <v>0.57999807566666661</v>
      </c>
      <c r="S626" s="1">
        <v>2.3016838693515868E-2</v>
      </c>
      <c r="T626" t="s">
        <v>773</v>
      </c>
      <c r="U626" s="1">
        <v>27720</v>
      </c>
      <c r="V626">
        <f t="shared" si="36"/>
        <v>0.49364369177108547</v>
      </c>
      <c r="W626" s="1">
        <f t="shared" si="37"/>
        <v>1.0999999999999943</v>
      </c>
      <c r="X626">
        <f t="shared" si="38"/>
        <v>1.545325799999997E-2</v>
      </c>
      <c r="Y626">
        <f t="shared" si="39"/>
        <v>0.19999999999998863</v>
      </c>
      <c r="Z626" s="1">
        <v>30</v>
      </c>
      <c r="AA626">
        <v>70</v>
      </c>
      <c r="AB626">
        <v>0.42859999999999998</v>
      </c>
      <c r="AC626">
        <v>28</v>
      </c>
      <c r="AD626">
        <v>58</v>
      </c>
      <c r="AE626">
        <v>0.48280000000000001</v>
      </c>
      <c r="AF626" t="s">
        <v>2593</v>
      </c>
      <c r="AG626" t="s">
        <v>2589</v>
      </c>
    </row>
    <row r="627" spans="1:33">
      <c r="A627" s="2" t="s">
        <v>129</v>
      </c>
      <c r="B627" s="2" t="s">
        <v>91</v>
      </c>
      <c r="C627" s="1">
        <v>0.50422724299999999</v>
      </c>
      <c r="D627">
        <v>0.61050655300000001</v>
      </c>
      <c r="E627">
        <v>0.63007085299999999</v>
      </c>
      <c r="F627" s="1" t="s">
        <v>130</v>
      </c>
      <c r="G627" s="1">
        <v>1.4142988080000001</v>
      </c>
      <c r="H627" s="1">
        <v>58.7</v>
      </c>
      <c r="I627" s="1">
        <v>109.1</v>
      </c>
      <c r="J627" s="1">
        <v>0.58160154966666655</v>
      </c>
      <c r="K627" s="1">
        <v>0.37439919700000002</v>
      </c>
      <c r="L627" s="1">
        <v>0.508839347</v>
      </c>
      <c r="M627" s="3">
        <v>0.52701193599999996</v>
      </c>
      <c r="N627" s="1" t="s">
        <v>92</v>
      </c>
      <c r="O627" s="1">
        <v>1.911504425</v>
      </c>
      <c r="P627" s="1">
        <v>24.6</v>
      </c>
      <c r="Q627" s="1">
        <v>33.9</v>
      </c>
      <c r="R627" s="1">
        <v>0.47008349333333332</v>
      </c>
      <c r="S627" s="1">
        <v>0.19445483454323639</v>
      </c>
      <c r="T627" t="s">
        <v>774</v>
      </c>
      <c r="U627" s="1">
        <v>423</v>
      </c>
      <c r="V627">
        <f t="shared" si="36"/>
        <v>0.2918155963750047</v>
      </c>
      <c r="W627" s="1">
        <f t="shared" si="37"/>
        <v>34.1</v>
      </c>
      <c r="X627">
        <f t="shared" si="38"/>
        <v>0.49720561699999988</v>
      </c>
      <c r="Y627">
        <f t="shared" si="39"/>
        <v>75.199999999999989</v>
      </c>
      <c r="Z627" s="1">
        <v>6</v>
      </c>
      <c r="AA627">
        <v>94</v>
      </c>
      <c r="AB627">
        <v>6.3799999999999996E-2</v>
      </c>
      <c r="AC627">
        <v>6</v>
      </c>
      <c r="AD627">
        <v>87</v>
      </c>
      <c r="AE627">
        <v>6.9000000000000006E-2</v>
      </c>
      <c r="AF627" t="s">
        <v>2593</v>
      </c>
      <c r="AG627" t="s">
        <v>2590</v>
      </c>
    </row>
    <row r="628" spans="1:33">
      <c r="A628" s="2" t="s">
        <v>129</v>
      </c>
      <c r="B628" s="2" t="s">
        <v>93</v>
      </c>
      <c r="C628" s="1">
        <v>0.50422724299999999</v>
      </c>
      <c r="D628">
        <v>0.61050655300000001</v>
      </c>
      <c r="E628">
        <v>0.63007085299999999</v>
      </c>
      <c r="F628" s="1" t="s">
        <v>130</v>
      </c>
      <c r="G628" s="1">
        <v>1.4142988080000001</v>
      </c>
      <c r="H628" s="1">
        <v>58.7</v>
      </c>
      <c r="I628" s="1">
        <v>109.1</v>
      </c>
      <c r="J628" s="1">
        <v>0.58160154966666655</v>
      </c>
      <c r="K628" s="1">
        <v>0.54134617200000001</v>
      </c>
      <c r="L628" s="1">
        <v>0.674899633</v>
      </c>
      <c r="M628" s="3">
        <v>0.719840174</v>
      </c>
      <c r="N628" s="1" t="s">
        <v>94</v>
      </c>
      <c r="O628" s="1">
        <v>1.175388967</v>
      </c>
      <c r="P628" s="1">
        <v>36.6</v>
      </c>
      <c r="Q628" s="1">
        <v>70.7</v>
      </c>
      <c r="R628" s="1">
        <v>0.64536199299999997</v>
      </c>
      <c r="S628" s="1">
        <v>0.1165453329601597</v>
      </c>
      <c r="T628" t="s">
        <v>775</v>
      </c>
      <c r="U628" s="1">
        <v>4417</v>
      </c>
      <c r="V628">
        <f t="shared" si="36"/>
        <v>0.40501415547315456</v>
      </c>
      <c r="W628" s="1">
        <f t="shared" si="37"/>
        <v>22.1</v>
      </c>
      <c r="X628">
        <f t="shared" si="38"/>
        <v>0.23890984100000012</v>
      </c>
      <c r="Y628">
        <f t="shared" si="39"/>
        <v>38.399999999999991</v>
      </c>
      <c r="Z628" s="1">
        <v>13</v>
      </c>
      <c r="AA628">
        <v>87</v>
      </c>
      <c r="AB628">
        <v>0.14940000000000001</v>
      </c>
      <c r="AC628">
        <v>16</v>
      </c>
      <c r="AD628">
        <v>68</v>
      </c>
      <c r="AE628">
        <v>0.23530000000000001</v>
      </c>
      <c r="AF628" t="s">
        <v>2593</v>
      </c>
      <c r="AG628" t="s">
        <v>2589</v>
      </c>
    </row>
    <row r="629" spans="1:33">
      <c r="A629" s="2" t="s">
        <v>129</v>
      </c>
      <c r="B629" s="2" t="s">
        <v>95</v>
      </c>
      <c r="C629" s="1">
        <v>0.50422724299999999</v>
      </c>
      <c r="D629">
        <v>0.61050655300000001</v>
      </c>
      <c r="E629">
        <v>0.63007085299999999</v>
      </c>
      <c r="F629" s="1" t="s">
        <v>130</v>
      </c>
      <c r="G629" s="1">
        <v>1.4142988080000001</v>
      </c>
      <c r="H629" s="1">
        <v>58.7</v>
      </c>
      <c r="I629" s="1">
        <v>109.1</v>
      </c>
      <c r="J629" s="1">
        <v>0.58160154966666655</v>
      </c>
      <c r="K629" s="1">
        <v>0.59462093100000002</v>
      </c>
      <c r="L629" s="1">
        <v>0.68038960500000001</v>
      </c>
      <c r="M629" s="3">
        <v>0.72533004899999998</v>
      </c>
      <c r="N629" s="1" t="s">
        <v>96</v>
      </c>
      <c r="O629" s="1">
        <v>1.9717647060000001</v>
      </c>
      <c r="P629" s="1">
        <v>34.6</v>
      </c>
      <c r="Q629" s="1">
        <v>42.5</v>
      </c>
      <c r="R629" s="1">
        <v>0.66678019499999996</v>
      </c>
      <c r="S629" s="1">
        <v>0.14875810636614889</v>
      </c>
      <c r="T629" t="s">
        <v>776</v>
      </c>
      <c r="U629" s="1">
        <v>3325</v>
      </c>
      <c r="V629">
        <f t="shared" si="36"/>
        <v>0.39131018329323591</v>
      </c>
      <c r="W629" s="1">
        <f t="shared" si="37"/>
        <v>24.1</v>
      </c>
      <c r="X629">
        <f t="shared" si="38"/>
        <v>0.55746589800000002</v>
      </c>
      <c r="Y629">
        <f t="shared" si="39"/>
        <v>66.599999999999994</v>
      </c>
      <c r="Z629" s="1">
        <v>0</v>
      </c>
      <c r="AA629">
        <v>100</v>
      </c>
      <c r="AB629">
        <v>0</v>
      </c>
      <c r="AC629">
        <v>0</v>
      </c>
      <c r="AD629">
        <v>90</v>
      </c>
      <c r="AE629">
        <v>0</v>
      </c>
      <c r="AF629" t="s">
        <v>2593</v>
      </c>
      <c r="AG629" t="s">
        <v>2593</v>
      </c>
    </row>
    <row r="630" spans="1:33">
      <c r="A630" s="2" t="s">
        <v>129</v>
      </c>
      <c r="B630" s="2" t="s">
        <v>97</v>
      </c>
      <c r="C630" s="1">
        <v>0.50422724299999999</v>
      </c>
      <c r="D630">
        <v>0.61050655300000001</v>
      </c>
      <c r="E630">
        <v>0.63007085299999999</v>
      </c>
      <c r="F630" s="1" t="s">
        <v>130</v>
      </c>
      <c r="G630" s="1">
        <v>1.4142988080000001</v>
      </c>
      <c r="H630" s="1">
        <v>58.7</v>
      </c>
      <c r="I630" s="1">
        <v>109.1</v>
      </c>
      <c r="J630" s="1">
        <v>0.58160154966666655</v>
      </c>
      <c r="K630" s="1">
        <v>0.63674842300000001</v>
      </c>
      <c r="L630" s="1">
        <v>0.68532635500000005</v>
      </c>
      <c r="M630" s="3">
        <v>0.727031494</v>
      </c>
      <c r="N630" s="1" t="s">
        <v>98</v>
      </c>
      <c r="O630" s="1">
        <v>2.360103627</v>
      </c>
      <c r="P630" s="1">
        <v>36.799999999999997</v>
      </c>
      <c r="Q630" s="1">
        <v>38.6</v>
      </c>
      <c r="R630" s="1">
        <v>0.68303542400000017</v>
      </c>
      <c r="S630" s="1">
        <v>0.18044731037907574</v>
      </c>
      <c r="T630" t="s">
        <v>777</v>
      </c>
      <c r="U630" s="1">
        <v>4137</v>
      </c>
      <c r="V630">
        <f t="shared" si="36"/>
        <v>0.40185394676616798</v>
      </c>
      <c r="W630" s="1">
        <f t="shared" si="37"/>
        <v>21.900000000000006</v>
      </c>
      <c r="X630">
        <f t="shared" si="38"/>
        <v>0.94580481899999991</v>
      </c>
      <c r="Y630">
        <f t="shared" si="39"/>
        <v>70.5</v>
      </c>
      <c r="Z630" s="1">
        <v>0</v>
      </c>
      <c r="AA630">
        <v>100</v>
      </c>
      <c r="AB630">
        <v>0</v>
      </c>
      <c r="AC630">
        <v>0</v>
      </c>
      <c r="AD630">
        <v>90</v>
      </c>
      <c r="AE630">
        <v>0</v>
      </c>
      <c r="AF630" t="s">
        <v>2593</v>
      </c>
      <c r="AG630" t="s">
        <v>2593</v>
      </c>
    </row>
    <row r="631" spans="1:33">
      <c r="A631" s="2" t="s">
        <v>129</v>
      </c>
      <c r="B631" s="2" t="s">
        <v>99</v>
      </c>
      <c r="C631" s="1">
        <v>0.50422724299999999</v>
      </c>
      <c r="D631">
        <v>0.61050655300000001</v>
      </c>
      <c r="E631">
        <v>0.63007085299999999</v>
      </c>
      <c r="F631" s="1" t="s">
        <v>130</v>
      </c>
      <c r="G631" s="1">
        <v>1.4142988080000001</v>
      </c>
      <c r="H631" s="1">
        <v>58.7</v>
      </c>
      <c r="I631" s="1">
        <v>109.1</v>
      </c>
      <c r="J631" s="1">
        <v>0.58160154966666655</v>
      </c>
      <c r="K631" s="1">
        <v>0.52525630099999998</v>
      </c>
      <c r="L631" s="1">
        <v>0.68706170200000005</v>
      </c>
      <c r="M631" s="3">
        <v>0.71473597300000002</v>
      </c>
      <c r="N631" s="1" t="s">
        <v>100</v>
      </c>
      <c r="O631" s="1">
        <v>1.72605042</v>
      </c>
      <c r="P631" s="1">
        <v>46.5</v>
      </c>
      <c r="Q631" s="1">
        <v>59.5</v>
      </c>
      <c r="R631" s="1">
        <v>0.64235132533333339</v>
      </c>
      <c r="S631" s="1">
        <v>0.11606504496787126</v>
      </c>
      <c r="T631" t="s">
        <v>778</v>
      </c>
      <c r="U631" s="1">
        <v>8213</v>
      </c>
      <c r="V631">
        <f t="shared" si="36"/>
        <v>0.43494464698081264</v>
      </c>
      <c r="W631" s="1">
        <f t="shared" si="37"/>
        <v>12.200000000000003</v>
      </c>
      <c r="X631">
        <f t="shared" si="38"/>
        <v>0.3117516119999999</v>
      </c>
      <c r="Y631">
        <f t="shared" si="39"/>
        <v>49.599999999999994</v>
      </c>
      <c r="Z631" s="1">
        <v>0</v>
      </c>
      <c r="AA631">
        <v>100</v>
      </c>
      <c r="AB631">
        <v>0</v>
      </c>
      <c r="AC631">
        <v>0</v>
      </c>
      <c r="AD631">
        <v>92</v>
      </c>
      <c r="AE631">
        <v>0</v>
      </c>
      <c r="AF631" t="s">
        <v>2593</v>
      </c>
      <c r="AG631" t="s">
        <v>2589</v>
      </c>
    </row>
    <row r="632" spans="1:33">
      <c r="A632" s="2" t="s">
        <v>129</v>
      </c>
      <c r="B632" s="2" t="s">
        <v>148</v>
      </c>
      <c r="C632" s="1">
        <v>0.50422724299999999</v>
      </c>
      <c r="D632">
        <v>0.61050655300000001</v>
      </c>
      <c r="E632">
        <v>0.63007085299999999</v>
      </c>
      <c r="F632" s="1" t="s">
        <v>130</v>
      </c>
      <c r="G632" s="1">
        <v>1.4142988080000001</v>
      </c>
      <c r="H632" s="1">
        <v>58.7</v>
      </c>
      <c r="I632" s="1">
        <v>109.1</v>
      </c>
      <c r="J632" s="1">
        <v>0.58160154966666655</v>
      </c>
      <c r="K632" s="1">
        <v>0.52246277500000005</v>
      </c>
      <c r="L632" s="1">
        <v>0.64036274199999998</v>
      </c>
      <c r="M632" s="3">
        <v>0.62317592099999997</v>
      </c>
      <c r="N632" s="1" t="s">
        <v>149</v>
      </c>
      <c r="O632" s="1">
        <v>1.201000834</v>
      </c>
      <c r="P632" s="1">
        <v>59.2</v>
      </c>
      <c r="Q632" s="1">
        <v>119.9</v>
      </c>
      <c r="R632" s="1">
        <v>0.59533381266666663</v>
      </c>
      <c r="S632" s="1">
        <v>3.5657632229459231E-2</v>
      </c>
      <c r="T632" t="s">
        <v>793</v>
      </c>
      <c r="U632" s="1">
        <v>18754</v>
      </c>
      <c r="V632">
        <f t="shared" si="36"/>
        <v>0.47478821240800034</v>
      </c>
      <c r="W632" s="1">
        <f t="shared" si="37"/>
        <v>0.5</v>
      </c>
      <c r="X632">
        <f t="shared" si="38"/>
        <v>0.21329797400000006</v>
      </c>
      <c r="Y632">
        <f t="shared" si="39"/>
        <v>10.800000000000011</v>
      </c>
      <c r="Z632" s="1">
        <v>32</v>
      </c>
      <c r="AA632">
        <v>68</v>
      </c>
      <c r="AB632">
        <v>0.47060000000000002</v>
      </c>
      <c r="AC632">
        <v>30</v>
      </c>
      <c r="AD632">
        <v>57</v>
      </c>
      <c r="AE632">
        <v>0.52629999999999999</v>
      </c>
      <c r="AF632" t="s">
        <v>2593</v>
      </c>
      <c r="AG632" t="s">
        <v>2589</v>
      </c>
    </row>
    <row r="633" spans="1:33">
      <c r="A633" s="2" t="s">
        <v>129</v>
      </c>
      <c r="B633" s="2" t="s">
        <v>101</v>
      </c>
      <c r="C633" s="1">
        <v>0.50422724299999999</v>
      </c>
      <c r="D633">
        <v>0.61050655300000001</v>
      </c>
      <c r="E633">
        <v>0.63007085299999999</v>
      </c>
      <c r="F633" s="1" t="s">
        <v>130</v>
      </c>
      <c r="G633" s="1">
        <v>1.4142988080000001</v>
      </c>
      <c r="H633" s="1">
        <v>58.7</v>
      </c>
      <c r="I633" s="1">
        <v>109.1</v>
      </c>
      <c r="J633" s="1">
        <v>0.58160154966666655</v>
      </c>
      <c r="K633" s="1">
        <v>0.57277697599999999</v>
      </c>
      <c r="L633" s="1">
        <v>0.64568820599999999</v>
      </c>
      <c r="M633" s="3">
        <v>0.70909993500000001</v>
      </c>
      <c r="N633" s="1" t="s">
        <v>102</v>
      </c>
      <c r="O633" s="1">
        <v>1.2818181820000001</v>
      </c>
      <c r="P633" s="1">
        <v>58</v>
      </c>
      <c r="Q633" s="1">
        <v>110</v>
      </c>
      <c r="R633" s="1">
        <v>0.64252170566666666</v>
      </c>
      <c r="S633" s="1">
        <v>0.11037395709109295</v>
      </c>
      <c r="T633" t="s">
        <v>779</v>
      </c>
      <c r="U633" s="1">
        <v>13329</v>
      </c>
      <c r="V633">
        <f t="shared" si="36"/>
        <v>0.45831084088450375</v>
      </c>
      <c r="W633" s="1">
        <f t="shared" si="37"/>
        <v>0.70000000000000284</v>
      </c>
      <c r="X633">
        <f t="shared" si="38"/>
        <v>0.13248062599999999</v>
      </c>
      <c r="Y633">
        <f t="shared" si="39"/>
        <v>0.90000000000000568</v>
      </c>
      <c r="Z633" s="1">
        <v>6</v>
      </c>
      <c r="AA633">
        <v>94</v>
      </c>
      <c r="AB633">
        <v>6.3799999999999996E-2</v>
      </c>
      <c r="AC633">
        <v>8</v>
      </c>
      <c r="AD633">
        <v>77</v>
      </c>
      <c r="AE633">
        <v>0.10390000000000001</v>
      </c>
      <c r="AF633" t="s">
        <v>2593</v>
      </c>
      <c r="AG633" t="s">
        <v>2589</v>
      </c>
    </row>
    <row r="634" spans="1:33">
      <c r="A634" s="2" t="s">
        <v>129</v>
      </c>
      <c r="B634" s="2" t="s">
        <v>103</v>
      </c>
      <c r="C634" s="1">
        <v>0.50422724299999999</v>
      </c>
      <c r="D634">
        <v>0.61050655300000001</v>
      </c>
      <c r="E634">
        <v>0.63007085299999999</v>
      </c>
      <c r="F634" s="1" t="s">
        <v>130</v>
      </c>
      <c r="G634" s="1">
        <v>1.4142988080000001</v>
      </c>
      <c r="H634" s="1">
        <v>58.7</v>
      </c>
      <c r="I634" s="1">
        <v>109.1</v>
      </c>
      <c r="J634" s="1">
        <v>0.58160154966666655</v>
      </c>
      <c r="K634" s="1">
        <v>0.58538445800000005</v>
      </c>
      <c r="L634" s="1">
        <v>0.70461059999999998</v>
      </c>
      <c r="M634" s="3">
        <v>0.67846608399999997</v>
      </c>
      <c r="N634" s="1" t="s">
        <v>104</v>
      </c>
      <c r="O634" s="1">
        <v>1.1020080320000001</v>
      </c>
      <c r="P634" s="1">
        <v>58.7</v>
      </c>
      <c r="Q634" s="1">
        <v>124.5</v>
      </c>
      <c r="R634" s="1">
        <v>0.65615371400000011</v>
      </c>
      <c r="S634" s="1">
        <v>0.1333572779861594</v>
      </c>
      <c r="T634" t="s">
        <v>780</v>
      </c>
      <c r="U634" s="1">
        <v>6782</v>
      </c>
      <c r="V634">
        <f t="shared" si="36"/>
        <v>0.42570642060467417</v>
      </c>
      <c r="W634" s="1">
        <f t="shared" si="37"/>
        <v>0</v>
      </c>
      <c r="X634">
        <f t="shared" si="38"/>
        <v>0.31229077599999999</v>
      </c>
      <c r="Y634">
        <f t="shared" si="39"/>
        <v>15.400000000000006</v>
      </c>
      <c r="Z634" s="1">
        <v>2</v>
      </c>
      <c r="AA634">
        <v>98</v>
      </c>
      <c r="AB634">
        <v>2.0400000000000001E-2</v>
      </c>
      <c r="AC634">
        <v>3</v>
      </c>
      <c r="AD634">
        <v>83</v>
      </c>
      <c r="AE634">
        <v>3.61E-2</v>
      </c>
      <c r="AF634" t="s">
        <v>2593</v>
      </c>
      <c r="AG634" t="s">
        <v>2589</v>
      </c>
    </row>
    <row r="635" spans="1:33">
      <c r="A635" s="2" t="s">
        <v>129</v>
      </c>
      <c r="B635" s="2" t="s">
        <v>105</v>
      </c>
      <c r="C635" s="1">
        <v>0.50422724299999999</v>
      </c>
      <c r="D635">
        <v>0.61050655300000001</v>
      </c>
      <c r="E635">
        <v>0.63007085299999999</v>
      </c>
      <c r="F635" s="1" t="s">
        <v>130</v>
      </c>
      <c r="G635" s="1">
        <v>1.4142988080000001</v>
      </c>
      <c r="H635" s="1">
        <v>58.7</v>
      </c>
      <c r="I635" s="1">
        <v>109.1</v>
      </c>
      <c r="J635" s="1">
        <v>0.58160154966666655</v>
      </c>
      <c r="K635" s="1">
        <v>0.56210716000000005</v>
      </c>
      <c r="L635" s="1">
        <v>0.68032504299999996</v>
      </c>
      <c r="M635" s="3">
        <v>0.71115907899999997</v>
      </c>
      <c r="N635" s="1" t="s">
        <v>106</v>
      </c>
      <c r="O635" s="1">
        <v>1.0978593270000001</v>
      </c>
      <c r="P635" s="1">
        <v>43.5</v>
      </c>
      <c r="Q635" s="1">
        <v>98.1</v>
      </c>
      <c r="R635" s="1">
        <v>0.65119709399999992</v>
      </c>
      <c r="S635" s="1">
        <v>0.12165527828102676</v>
      </c>
      <c r="T635" t="s">
        <v>781</v>
      </c>
      <c r="U635" s="1">
        <v>4730</v>
      </c>
      <c r="V635">
        <f t="shared" si="36"/>
        <v>0.40831790452642353</v>
      </c>
      <c r="W635" s="1">
        <f t="shared" si="37"/>
        <v>15.200000000000003</v>
      </c>
      <c r="X635">
        <f t="shared" si="38"/>
        <v>0.31643948099999997</v>
      </c>
      <c r="Y635">
        <f t="shared" si="39"/>
        <v>11</v>
      </c>
      <c r="Z635" s="1">
        <v>0</v>
      </c>
      <c r="AA635">
        <v>100</v>
      </c>
      <c r="AB635">
        <v>0</v>
      </c>
      <c r="AC635">
        <v>0</v>
      </c>
      <c r="AD635">
        <v>104</v>
      </c>
      <c r="AE635">
        <v>0</v>
      </c>
      <c r="AF635" t="s">
        <v>2593</v>
      </c>
      <c r="AG635" t="s">
        <v>2589</v>
      </c>
    </row>
    <row r="636" spans="1:33">
      <c r="A636" s="2" t="s">
        <v>129</v>
      </c>
      <c r="B636" s="2" t="s">
        <v>107</v>
      </c>
      <c r="C636" s="1">
        <v>0.50422724299999999</v>
      </c>
      <c r="D636">
        <v>0.61050655300000001</v>
      </c>
      <c r="E636">
        <v>0.63007085299999999</v>
      </c>
      <c r="F636" s="1" t="s">
        <v>130</v>
      </c>
      <c r="G636" s="1">
        <v>1.4142988080000001</v>
      </c>
      <c r="H636" s="1">
        <v>58.7</v>
      </c>
      <c r="I636" s="1">
        <v>109.1</v>
      </c>
      <c r="J636" s="1">
        <v>0.58160154966666655</v>
      </c>
      <c r="K636" s="1">
        <v>0.61734740899999996</v>
      </c>
      <c r="L636" s="1">
        <v>0.68293216999999995</v>
      </c>
      <c r="M636" s="3">
        <v>0.69981194099999999</v>
      </c>
      <c r="N636" s="1" t="s">
        <v>108</v>
      </c>
      <c r="O636" s="1">
        <v>2</v>
      </c>
      <c r="P636" s="1">
        <v>19</v>
      </c>
      <c r="Q636" s="1">
        <v>21.1</v>
      </c>
      <c r="R636" s="1">
        <v>0.66669717333333323</v>
      </c>
      <c r="S636" s="1">
        <v>0.15134550310175052</v>
      </c>
      <c r="T636" t="s">
        <v>782</v>
      </c>
      <c r="U636" s="1">
        <v>2378</v>
      </c>
      <c r="V636">
        <f t="shared" si="36"/>
        <v>0.37513465003140811</v>
      </c>
      <c r="W636" s="1">
        <f t="shared" si="37"/>
        <v>39.700000000000003</v>
      </c>
      <c r="X636">
        <f t="shared" si="38"/>
        <v>0.58570119199999993</v>
      </c>
      <c r="Y636">
        <f t="shared" si="39"/>
        <v>88</v>
      </c>
      <c r="Z636" s="1">
        <v>1</v>
      </c>
      <c r="AA636">
        <v>99</v>
      </c>
      <c r="AB636">
        <v>1.01E-2</v>
      </c>
      <c r="AC636">
        <v>1</v>
      </c>
      <c r="AD636">
        <v>79</v>
      </c>
      <c r="AE636">
        <v>1.2699999999999999E-2</v>
      </c>
      <c r="AF636" t="s">
        <v>2593</v>
      </c>
      <c r="AG636" t="s">
        <v>2588</v>
      </c>
    </row>
    <row r="637" spans="1:33">
      <c r="A637" s="2" t="s">
        <v>129</v>
      </c>
      <c r="B637" s="2" t="s">
        <v>109</v>
      </c>
      <c r="C637" s="1">
        <v>0.50422724299999999</v>
      </c>
      <c r="D637">
        <v>0.61050655300000001</v>
      </c>
      <c r="E637">
        <v>0.63007085299999999</v>
      </c>
      <c r="F637" s="1" t="s">
        <v>130</v>
      </c>
      <c r="G637" s="1">
        <v>1.4142988080000001</v>
      </c>
      <c r="H637" s="1">
        <v>58.7</v>
      </c>
      <c r="I637" s="1">
        <v>109.1</v>
      </c>
      <c r="J637" s="1">
        <v>0.58160154966666655</v>
      </c>
      <c r="K637" s="1">
        <v>0.51638908800000005</v>
      </c>
      <c r="L637" s="1">
        <v>0.68684605300000001</v>
      </c>
      <c r="M637" s="3">
        <v>0.66065444600000001</v>
      </c>
      <c r="N637" s="1" t="s">
        <v>110</v>
      </c>
      <c r="O637" s="1">
        <v>1.2897862229999999</v>
      </c>
      <c r="P637" s="1">
        <v>49.4</v>
      </c>
      <c r="Q637" s="1">
        <v>84.2</v>
      </c>
      <c r="R637" s="1">
        <v>0.62129652899999999</v>
      </c>
      <c r="S637" s="1">
        <v>8.3132339644952119E-2</v>
      </c>
      <c r="T637" t="s">
        <v>783</v>
      </c>
      <c r="U637" s="1">
        <v>4810</v>
      </c>
      <c r="V637">
        <f t="shared" si="36"/>
        <v>0.40912723070820356</v>
      </c>
      <c r="W637" s="1">
        <f t="shared" si="37"/>
        <v>9.3000000000000043</v>
      </c>
      <c r="X637">
        <f t="shared" si="38"/>
        <v>0.12451258500000018</v>
      </c>
      <c r="Y637">
        <f t="shared" si="39"/>
        <v>24.899999999999991</v>
      </c>
      <c r="Z637" s="1">
        <v>21</v>
      </c>
      <c r="AA637">
        <v>79</v>
      </c>
      <c r="AB637">
        <v>0.26579999999999998</v>
      </c>
      <c r="AC637">
        <v>22</v>
      </c>
      <c r="AD637">
        <v>79</v>
      </c>
      <c r="AE637">
        <v>0.27850000000000003</v>
      </c>
      <c r="AF637" t="s">
        <v>2593</v>
      </c>
      <c r="AG637" t="s">
        <v>2589</v>
      </c>
    </row>
    <row r="638" spans="1:33">
      <c r="A638" s="2" t="s">
        <v>129</v>
      </c>
      <c r="B638" s="2" t="s">
        <v>111</v>
      </c>
      <c r="C638" s="1">
        <v>0.50422724299999999</v>
      </c>
      <c r="D638">
        <v>0.61050655300000001</v>
      </c>
      <c r="E638">
        <v>0.63007085299999999</v>
      </c>
      <c r="F638" s="1" t="s">
        <v>130</v>
      </c>
      <c r="G638" s="1">
        <v>1.4142988080000001</v>
      </c>
      <c r="H638" s="1">
        <v>58.7</v>
      </c>
      <c r="I638" s="1">
        <v>109.1</v>
      </c>
      <c r="J638" s="1">
        <v>0.58160154966666655</v>
      </c>
      <c r="K638" s="1">
        <v>0.60132418300000001</v>
      </c>
      <c r="L638" s="1">
        <v>0.67605095299999995</v>
      </c>
      <c r="M638" s="3">
        <v>0.74222981799999999</v>
      </c>
      <c r="N638" s="1" t="s">
        <v>112</v>
      </c>
      <c r="O638" s="1">
        <v>1.561403509</v>
      </c>
      <c r="P638" s="1">
        <v>30</v>
      </c>
      <c r="Q638" s="1">
        <v>45.6</v>
      </c>
      <c r="R638" s="1">
        <v>0.67320165133333332</v>
      </c>
      <c r="S638" s="1">
        <v>0.16218359213741329</v>
      </c>
      <c r="T638" t="s">
        <v>784</v>
      </c>
      <c r="U638" s="1">
        <v>3119</v>
      </c>
      <c r="V638">
        <f t="shared" si="36"/>
        <v>0.38822393052857151</v>
      </c>
      <c r="W638" s="1">
        <f t="shared" si="37"/>
        <v>28.700000000000003</v>
      </c>
      <c r="X638">
        <f t="shared" si="38"/>
        <v>0.14710470099999995</v>
      </c>
      <c r="Y638">
        <f t="shared" si="39"/>
        <v>63.499999999999993</v>
      </c>
      <c r="Z638" s="1">
        <v>1</v>
      </c>
      <c r="AA638">
        <v>99</v>
      </c>
      <c r="AB638">
        <v>1.01E-2</v>
      </c>
      <c r="AC638">
        <v>2</v>
      </c>
      <c r="AD638">
        <v>94</v>
      </c>
      <c r="AE638">
        <v>2.1299999999999999E-2</v>
      </c>
      <c r="AF638" t="s">
        <v>2593</v>
      </c>
      <c r="AG638" t="s">
        <v>2591</v>
      </c>
    </row>
    <row r="639" spans="1:33">
      <c r="A639" s="2" t="s">
        <v>129</v>
      </c>
      <c r="B639" s="2" t="s">
        <v>113</v>
      </c>
      <c r="C639" s="1">
        <v>0.50422724299999999</v>
      </c>
      <c r="D639">
        <v>0.61050655300000001</v>
      </c>
      <c r="E639">
        <v>0.63007085299999999</v>
      </c>
      <c r="F639" s="1" t="s">
        <v>130</v>
      </c>
      <c r="G639" s="1">
        <v>1.4142988080000001</v>
      </c>
      <c r="H639" s="1">
        <v>58.7</v>
      </c>
      <c r="I639" s="1">
        <v>109.1</v>
      </c>
      <c r="J639" s="1">
        <v>0.58160154966666655</v>
      </c>
      <c r="K639" s="1">
        <v>0.57440698499999998</v>
      </c>
      <c r="L639" s="1">
        <v>0.66920790399999996</v>
      </c>
      <c r="M639" s="3">
        <v>0.71602402300000001</v>
      </c>
      <c r="N639" s="1" t="s">
        <v>114</v>
      </c>
      <c r="O639" s="1">
        <v>2.5573248409999998</v>
      </c>
      <c r="P639" s="1">
        <v>34.299999999999997</v>
      </c>
      <c r="Q639" s="1">
        <v>31.4</v>
      </c>
      <c r="R639" s="1">
        <v>0.65321297066666661</v>
      </c>
      <c r="S639" s="1">
        <v>0.12553482476771399</v>
      </c>
      <c r="T639" t="s">
        <v>785</v>
      </c>
      <c r="U639" s="1">
        <v>9842</v>
      </c>
      <c r="V639">
        <f t="shared" si="36"/>
        <v>0.44367592896645136</v>
      </c>
      <c r="W639" s="1">
        <f t="shared" si="37"/>
        <v>24.400000000000006</v>
      </c>
      <c r="X639">
        <f t="shared" si="38"/>
        <v>1.1430260329999997</v>
      </c>
      <c r="Y639">
        <f t="shared" si="39"/>
        <v>77.699999999999989</v>
      </c>
      <c r="Z639" s="1">
        <v>0</v>
      </c>
      <c r="AA639">
        <v>100</v>
      </c>
      <c r="AB639">
        <v>0</v>
      </c>
      <c r="AC639">
        <v>0</v>
      </c>
      <c r="AD639">
        <v>90</v>
      </c>
      <c r="AE639">
        <v>0</v>
      </c>
      <c r="AF639" t="s">
        <v>2593</v>
      </c>
      <c r="AG639" t="s">
        <v>2593</v>
      </c>
    </row>
    <row r="640" spans="1:33">
      <c r="A640" s="2" t="s">
        <v>129</v>
      </c>
      <c r="B640" s="2" t="s">
        <v>115</v>
      </c>
      <c r="C640" s="1">
        <v>0.50422724299999999</v>
      </c>
      <c r="D640">
        <v>0.61050655300000001</v>
      </c>
      <c r="E640">
        <v>0.63007085299999999</v>
      </c>
      <c r="F640" s="1" t="s">
        <v>130</v>
      </c>
      <c r="G640" s="1">
        <v>1.4142988080000001</v>
      </c>
      <c r="H640" s="1">
        <v>58.7</v>
      </c>
      <c r="I640" s="1">
        <v>109.1</v>
      </c>
      <c r="J640" s="1">
        <v>0.58160154966666655</v>
      </c>
      <c r="K640" s="1">
        <v>0.55237211100000005</v>
      </c>
      <c r="L640" s="1">
        <v>0.65961031000000003</v>
      </c>
      <c r="M640" s="3">
        <v>0.69215541599999997</v>
      </c>
      <c r="N640" s="1" t="s">
        <v>116</v>
      </c>
      <c r="O640" s="1">
        <v>1.149700599</v>
      </c>
      <c r="P640" s="1">
        <v>66.900000000000006</v>
      </c>
      <c r="Q640" s="1">
        <v>133.6</v>
      </c>
      <c r="R640" s="1">
        <v>0.63471261233333331</v>
      </c>
      <c r="S640" s="1">
        <v>9.264772112228907E-2</v>
      </c>
      <c r="T640" t="s">
        <v>786</v>
      </c>
      <c r="U640" s="1">
        <v>7081</v>
      </c>
      <c r="V640">
        <f t="shared" si="36"/>
        <v>0.42778828826518894</v>
      </c>
      <c r="W640" s="1">
        <f t="shared" si="37"/>
        <v>8.2000000000000028</v>
      </c>
      <c r="X640">
        <f t="shared" si="38"/>
        <v>0.26459820900000008</v>
      </c>
      <c r="Y640">
        <f t="shared" si="39"/>
        <v>24.5</v>
      </c>
      <c r="Z640" s="1">
        <v>10</v>
      </c>
      <c r="AA640">
        <v>90</v>
      </c>
      <c r="AB640">
        <v>0.1111</v>
      </c>
      <c r="AC640">
        <v>12</v>
      </c>
      <c r="AD640">
        <v>83</v>
      </c>
      <c r="AE640">
        <v>0.14460000000000001</v>
      </c>
      <c r="AF640" t="s">
        <v>2593</v>
      </c>
      <c r="AG640" t="s">
        <v>2589</v>
      </c>
    </row>
    <row r="641" spans="1:33">
      <c r="A641" s="2" t="s">
        <v>129</v>
      </c>
      <c r="B641" s="2" t="s">
        <v>117</v>
      </c>
      <c r="C641" s="1">
        <v>0.50422724299999999</v>
      </c>
      <c r="D641">
        <v>0.61050655300000001</v>
      </c>
      <c r="E641">
        <v>0.63007085299999999</v>
      </c>
      <c r="F641" s="1" t="s">
        <v>130</v>
      </c>
      <c r="G641" s="1">
        <v>1.4142988080000001</v>
      </c>
      <c r="H641" s="1">
        <v>58.7</v>
      </c>
      <c r="I641" s="1">
        <v>109.1</v>
      </c>
      <c r="J641" s="1">
        <v>0.58160154966666655</v>
      </c>
      <c r="K641" s="1">
        <v>0.52788907299999999</v>
      </c>
      <c r="L641" s="1">
        <v>0.665074418</v>
      </c>
      <c r="M641" s="3">
        <v>0.69056128699999997</v>
      </c>
      <c r="N641" s="1" t="s">
        <v>118</v>
      </c>
      <c r="O641" s="1">
        <v>1.0818253339999999</v>
      </c>
      <c r="P641" s="1">
        <v>58.4</v>
      </c>
      <c r="Q641" s="1">
        <v>127.1</v>
      </c>
      <c r="R641" s="1">
        <v>0.62784159266666661</v>
      </c>
      <c r="S641" s="1">
        <v>8.4832934023971365E-2</v>
      </c>
      <c r="T641" t="s">
        <v>787</v>
      </c>
      <c r="U641" s="1">
        <v>8094</v>
      </c>
      <c r="V641">
        <f t="shared" si="36"/>
        <v>0.43424035556172752</v>
      </c>
      <c r="W641" s="1">
        <f t="shared" si="37"/>
        <v>0.30000000000000426</v>
      </c>
      <c r="X641">
        <f t="shared" si="38"/>
        <v>0.33247347400000016</v>
      </c>
      <c r="Y641">
        <f t="shared" si="39"/>
        <v>18</v>
      </c>
      <c r="Z641" s="1">
        <v>10</v>
      </c>
      <c r="AA641">
        <v>90</v>
      </c>
      <c r="AB641">
        <v>0.1111</v>
      </c>
      <c r="AC641">
        <v>12</v>
      </c>
      <c r="AD641">
        <v>95</v>
      </c>
      <c r="AE641">
        <v>0.1263</v>
      </c>
      <c r="AF641" t="s">
        <v>2593</v>
      </c>
      <c r="AG641" t="s">
        <v>2589</v>
      </c>
    </row>
    <row r="642" spans="1:33">
      <c r="A642" s="2" t="s">
        <v>129</v>
      </c>
      <c r="B642" s="2" t="s">
        <v>119</v>
      </c>
      <c r="C642" s="1">
        <v>0.50422724299999999</v>
      </c>
      <c r="D642">
        <v>0.61050655300000001</v>
      </c>
      <c r="E642">
        <v>0.63007085299999999</v>
      </c>
      <c r="F642" s="1" t="s">
        <v>130</v>
      </c>
      <c r="G642" s="1">
        <v>1.4142988080000001</v>
      </c>
      <c r="H642" s="1">
        <v>58.7</v>
      </c>
      <c r="I642" s="1">
        <v>109.1</v>
      </c>
      <c r="J642" s="1">
        <v>0.58160154966666655</v>
      </c>
      <c r="K642" s="1">
        <v>0.48582609999999998</v>
      </c>
      <c r="L642" s="1">
        <v>0.67226483999999997</v>
      </c>
      <c r="M642" s="3">
        <v>0.68571362400000002</v>
      </c>
      <c r="N642" s="1" t="s">
        <v>120</v>
      </c>
      <c r="O642" s="1">
        <v>1.1435028249999999</v>
      </c>
      <c r="P642" s="1">
        <v>42.6</v>
      </c>
      <c r="Q642" s="1">
        <v>88.5</v>
      </c>
      <c r="R642" s="1">
        <v>0.61460152133333334</v>
      </c>
      <c r="S642" s="1">
        <v>8.5139920374870323E-2</v>
      </c>
      <c r="T642" t="s">
        <v>788</v>
      </c>
      <c r="U642" s="1">
        <v>4165</v>
      </c>
      <c r="V642">
        <f t="shared" ref="V642:V705" si="40">LOG10(U642) / 9</f>
        <v>0.402179445082534</v>
      </c>
      <c r="W642" s="1">
        <f t="shared" ref="W642:W705" si="41">ABS(H642-P642)</f>
        <v>16.100000000000001</v>
      </c>
      <c r="X642">
        <f t="shared" ref="X642:X705" si="42">ABS(G642-O642)</f>
        <v>0.27079598300000018</v>
      </c>
      <c r="Y642">
        <f t="shared" ref="Y642:Y705" si="43">ABS(I642-Q642)</f>
        <v>20.599999999999994</v>
      </c>
      <c r="Z642" s="1">
        <v>11</v>
      </c>
      <c r="AA642">
        <v>89</v>
      </c>
      <c r="AB642">
        <v>0.1236</v>
      </c>
      <c r="AC642">
        <v>13</v>
      </c>
      <c r="AD642">
        <v>82</v>
      </c>
      <c r="AE642">
        <v>0.1585</v>
      </c>
      <c r="AF642" t="s">
        <v>2593</v>
      </c>
      <c r="AG642" t="s">
        <v>2589</v>
      </c>
    </row>
    <row r="643" spans="1:33">
      <c r="A643" s="2" t="s">
        <v>129</v>
      </c>
      <c r="B643" s="2" t="s">
        <v>121</v>
      </c>
      <c r="C643" s="1">
        <v>0.50422724299999999</v>
      </c>
      <c r="D643">
        <v>0.61050655300000001</v>
      </c>
      <c r="E643">
        <v>0.63007085299999999</v>
      </c>
      <c r="F643" s="1" t="s">
        <v>130</v>
      </c>
      <c r="G643" s="1">
        <v>1.4142988080000001</v>
      </c>
      <c r="H643" s="1">
        <v>58.7</v>
      </c>
      <c r="I643" s="1">
        <v>109.1</v>
      </c>
      <c r="J643" s="1">
        <v>0.58160154966666655</v>
      </c>
      <c r="K643" s="1">
        <v>0.57363214500000004</v>
      </c>
      <c r="L643" s="1">
        <v>0.65876685800000001</v>
      </c>
      <c r="M643" s="3">
        <v>0.71110834000000001</v>
      </c>
      <c r="N643" s="1" t="s">
        <v>122</v>
      </c>
      <c r="O643" s="1">
        <v>2.4518664050000001</v>
      </c>
      <c r="P643" s="1">
        <v>50.1</v>
      </c>
      <c r="Q643" s="1">
        <v>50.9</v>
      </c>
      <c r="R643" s="1">
        <v>0.64783578100000005</v>
      </c>
      <c r="S643" s="1">
        <v>0.11710325255772279</v>
      </c>
      <c r="T643" t="s">
        <v>789</v>
      </c>
      <c r="U643" s="1">
        <v>9352</v>
      </c>
      <c r="V643">
        <f t="shared" si="40"/>
        <v>0.44121161090597594</v>
      </c>
      <c r="W643" s="1">
        <f t="shared" si="41"/>
        <v>8.6000000000000014</v>
      </c>
      <c r="X643">
        <f t="shared" si="42"/>
        <v>1.037567597</v>
      </c>
      <c r="Y643">
        <f t="shared" si="43"/>
        <v>58.199999999999996</v>
      </c>
      <c r="Z643" s="1">
        <v>1</v>
      </c>
      <c r="AA643">
        <v>99</v>
      </c>
      <c r="AB643">
        <v>1.01E-2</v>
      </c>
      <c r="AC643">
        <v>2</v>
      </c>
      <c r="AD643">
        <v>100</v>
      </c>
      <c r="AE643">
        <v>0.02</v>
      </c>
      <c r="AF643" t="s">
        <v>2593</v>
      </c>
      <c r="AG643" t="s">
        <v>2593</v>
      </c>
    </row>
    <row r="644" spans="1:33">
      <c r="A644" s="2" t="s">
        <v>129</v>
      </c>
      <c r="B644" s="2" t="s">
        <v>123</v>
      </c>
      <c r="C644" s="1">
        <v>0.50422724299999999</v>
      </c>
      <c r="D644">
        <v>0.61050655300000001</v>
      </c>
      <c r="E644">
        <v>0.63007085299999999</v>
      </c>
      <c r="F644" s="1" t="s">
        <v>130</v>
      </c>
      <c r="G644" s="1">
        <v>1.4142988080000001</v>
      </c>
      <c r="H644" s="1">
        <v>58.7</v>
      </c>
      <c r="I644" s="1">
        <v>109.1</v>
      </c>
      <c r="J644" s="1">
        <v>0.58160154966666655</v>
      </c>
      <c r="K644" s="1">
        <v>0.59184352799999995</v>
      </c>
      <c r="L644" s="1">
        <v>0.67011857600000002</v>
      </c>
      <c r="M644" s="3">
        <v>0.74025419199999998</v>
      </c>
      <c r="N644" s="1" t="s">
        <v>124</v>
      </c>
      <c r="O644" s="1">
        <v>1.7166666669999999</v>
      </c>
      <c r="P644" s="1">
        <v>26</v>
      </c>
      <c r="Q644" s="1">
        <v>36</v>
      </c>
      <c r="R644" s="1">
        <v>0.66740543199999991</v>
      </c>
      <c r="S644" s="1">
        <v>0.15287437612805707</v>
      </c>
      <c r="T644" t="s">
        <v>790</v>
      </c>
      <c r="U644" s="1">
        <v>5771</v>
      </c>
      <c r="V644">
        <f t="shared" si="40"/>
        <v>0.41791678603429588</v>
      </c>
      <c r="W644" s="1">
        <f t="shared" si="41"/>
        <v>32.700000000000003</v>
      </c>
      <c r="X644">
        <f t="shared" si="42"/>
        <v>0.30236785899999985</v>
      </c>
      <c r="Y644">
        <f t="shared" si="43"/>
        <v>73.099999999999994</v>
      </c>
      <c r="Z644" s="1">
        <v>0</v>
      </c>
      <c r="AA644">
        <v>100</v>
      </c>
      <c r="AB644">
        <v>0</v>
      </c>
      <c r="AC644">
        <v>0</v>
      </c>
      <c r="AD644">
        <v>97</v>
      </c>
      <c r="AE644">
        <v>0</v>
      </c>
      <c r="AF644" t="s">
        <v>2593</v>
      </c>
      <c r="AG644" t="s">
        <v>2591</v>
      </c>
    </row>
    <row r="645" spans="1:33">
      <c r="A645" s="2" t="s">
        <v>129</v>
      </c>
      <c r="B645" s="2" t="s">
        <v>125</v>
      </c>
      <c r="C645" s="1">
        <v>0.50422724299999999</v>
      </c>
      <c r="D645">
        <v>0.61050655300000001</v>
      </c>
      <c r="E645">
        <v>0.63007085299999999</v>
      </c>
      <c r="F645" s="1" t="s">
        <v>130</v>
      </c>
      <c r="G645" s="1">
        <v>1.4142988080000001</v>
      </c>
      <c r="H645" s="1">
        <v>58.7</v>
      </c>
      <c r="I645" s="1">
        <v>109.1</v>
      </c>
      <c r="J645" s="1">
        <v>0.58160154966666655</v>
      </c>
      <c r="K645" s="1">
        <v>0.611478776</v>
      </c>
      <c r="L645" s="1">
        <v>0.67681801600000002</v>
      </c>
      <c r="M645" s="3">
        <v>0.73326355300000001</v>
      </c>
      <c r="N645" s="1" t="s">
        <v>126</v>
      </c>
      <c r="O645" s="1">
        <v>1.6431372550000001</v>
      </c>
      <c r="P645" s="1">
        <v>35.1</v>
      </c>
      <c r="Q645" s="1">
        <v>51</v>
      </c>
      <c r="R645" s="1">
        <v>0.67385344833333338</v>
      </c>
      <c r="S645" s="1">
        <v>0.16293813178424646</v>
      </c>
      <c r="T645" t="s">
        <v>791</v>
      </c>
      <c r="U645" s="1">
        <v>4590</v>
      </c>
      <c r="V645">
        <f t="shared" si="40"/>
        <v>0.40686807617080678</v>
      </c>
      <c r="W645" s="1">
        <f t="shared" si="41"/>
        <v>23.6</v>
      </c>
      <c r="X645">
        <f t="shared" si="42"/>
        <v>0.228838447</v>
      </c>
      <c r="Y645">
        <f t="shared" si="43"/>
        <v>58.099999999999994</v>
      </c>
      <c r="Z645" s="1">
        <v>1</v>
      </c>
      <c r="AA645">
        <v>99</v>
      </c>
      <c r="AB645">
        <v>1.01E-2</v>
      </c>
      <c r="AC645">
        <v>2</v>
      </c>
      <c r="AD645">
        <v>105</v>
      </c>
      <c r="AE645">
        <v>1.9E-2</v>
      </c>
      <c r="AF645" t="s">
        <v>2593</v>
      </c>
      <c r="AG645" t="s">
        <v>2591</v>
      </c>
    </row>
    <row r="646" spans="1:33">
      <c r="A646" s="2" t="s">
        <v>129</v>
      </c>
      <c r="B646" s="2" t="s">
        <v>127</v>
      </c>
      <c r="C646" s="1">
        <v>0.50422724299999999</v>
      </c>
      <c r="D646">
        <v>0.61050655300000001</v>
      </c>
      <c r="E646">
        <v>0.63007085299999999</v>
      </c>
      <c r="F646" s="1" t="s">
        <v>130</v>
      </c>
      <c r="G646" s="1">
        <v>1.4142988080000001</v>
      </c>
      <c r="H646" s="1">
        <v>58.7</v>
      </c>
      <c r="I646" s="1">
        <v>109.1</v>
      </c>
      <c r="J646" s="1">
        <v>0.58160154966666655</v>
      </c>
      <c r="K646" s="1">
        <v>0.50688118500000001</v>
      </c>
      <c r="L646" s="1">
        <v>0.64616698699999997</v>
      </c>
      <c r="M646" s="3">
        <v>0.65580376299999998</v>
      </c>
      <c r="N646" s="1" t="s">
        <v>128</v>
      </c>
      <c r="O646" s="1">
        <v>1.5447714459999999</v>
      </c>
      <c r="P646" s="1">
        <v>98.4</v>
      </c>
      <c r="Q646" s="1">
        <v>159.69999999999999</v>
      </c>
      <c r="R646" s="1">
        <v>0.60295064500000006</v>
      </c>
      <c r="S646" s="1">
        <v>4.4055562852786452E-2</v>
      </c>
      <c r="T646" t="s">
        <v>792</v>
      </c>
      <c r="U646" s="1">
        <v>17526</v>
      </c>
      <c r="V646">
        <f t="shared" si="40"/>
        <v>0.47152031192857702</v>
      </c>
      <c r="W646" s="1">
        <f t="shared" si="41"/>
        <v>39.700000000000003</v>
      </c>
      <c r="X646">
        <f t="shared" si="42"/>
        <v>0.13047263799999986</v>
      </c>
      <c r="Y646">
        <f t="shared" si="43"/>
        <v>50.599999999999994</v>
      </c>
      <c r="Z646" s="1">
        <v>18</v>
      </c>
      <c r="AA646">
        <v>82</v>
      </c>
      <c r="AB646">
        <v>0.2195</v>
      </c>
      <c r="AC646">
        <v>20</v>
      </c>
      <c r="AD646">
        <v>87</v>
      </c>
      <c r="AE646">
        <v>0.22989999999999999</v>
      </c>
      <c r="AF646" t="s">
        <v>2593</v>
      </c>
      <c r="AG646" t="s">
        <v>2589</v>
      </c>
    </row>
    <row r="647" spans="1:33">
      <c r="A647" s="2" t="s">
        <v>127</v>
      </c>
      <c r="B647" s="2" t="s">
        <v>10</v>
      </c>
      <c r="C647" s="1">
        <v>0.50688118500000001</v>
      </c>
      <c r="D647">
        <v>0.64616698699999997</v>
      </c>
      <c r="E647">
        <v>0.65580376299999998</v>
      </c>
      <c r="F647" s="1" t="s">
        <v>128</v>
      </c>
      <c r="G647" s="1">
        <v>1.5447714459999999</v>
      </c>
      <c r="H647" s="1">
        <v>98.4</v>
      </c>
      <c r="I647" s="1">
        <v>159.69999999999999</v>
      </c>
      <c r="J647" s="1">
        <v>0.60295064500000006</v>
      </c>
      <c r="K647" s="1">
        <v>0.52456325500000001</v>
      </c>
      <c r="L647" s="1">
        <v>0.61925627999999999</v>
      </c>
      <c r="M647" s="3">
        <v>0.72111139899999999</v>
      </c>
      <c r="N647" s="1" t="s">
        <v>12</v>
      </c>
      <c r="O647" s="1">
        <v>0.61690647499999995</v>
      </c>
      <c r="P647" s="1">
        <v>30</v>
      </c>
      <c r="Q647" s="1">
        <v>111.2</v>
      </c>
      <c r="R647" s="1">
        <v>0.62164364466666666</v>
      </c>
      <c r="S647" s="1">
        <v>7.2814346598958399E-2</v>
      </c>
      <c r="T647" t="s">
        <v>794</v>
      </c>
      <c r="U647" s="1">
        <v>2513</v>
      </c>
      <c r="V647">
        <f t="shared" si="40"/>
        <v>0.37779916539917507</v>
      </c>
      <c r="W647" s="1">
        <f t="shared" si="41"/>
        <v>68.400000000000006</v>
      </c>
      <c r="X647">
        <f t="shared" si="42"/>
        <v>0.92786497099999998</v>
      </c>
      <c r="Y647">
        <f t="shared" si="43"/>
        <v>48.499999999999986</v>
      </c>
      <c r="Z647" s="1">
        <v>4</v>
      </c>
      <c r="AA647">
        <v>96</v>
      </c>
      <c r="AB647">
        <v>4.1700000000000001E-2</v>
      </c>
      <c r="AC647">
        <v>5</v>
      </c>
      <c r="AD647">
        <v>164</v>
      </c>
      <c r="AE647">
        <v>3.0499999999999999E-2</v>
      </c>
      <c r="AF647" t="s">
        <v>2589</v>
      </c>
      <c r="AG647" t="s">
        <v>2588</v>
      </c>
    </row>
    <row r="648" spans="1:33">
      <c r="A648" s="2" t="s">
        <v>127</v>
      </c>
      <c r="B648" s="2" t="s">
        <v>13</v>
      </c>
      <c r="C648" s="1">
        <v>0.50688118500000001</v>
      </c>
      <c r="D648">
        <v>0.64616698699999997</v>
      </c>
      <c r="E648">
        <v>0.65580376299999998</v>
      </c>
      <c r="F648" s="1" t="s">
        <v>128</v>
      </c>
      <c r="G648" s="1">
        <v>1.5447714459999999</v>
      </c>
      <c r="H648" s="1">
        <v>98.4</v>
      </c>
      <c r="I648" s="1">
        <v>159.69999999999999</v>
      </c>
      <c r="J648" s="1">
        <v>0.60295064500000006</v>
      </c>
      <c r="K648" s="1">
        <v>0.48695497399999998</v>
      </c>
      <c r="L648" s="1">
        <v>0.54991327199999995</v>
      </c>
      <c r="M648" s="3">
        <v>0.67282609299999996</v>
      </c>
      <c r="N648" s="1" t="s">
        <v>14</v>
      </c>
      <c r="O648" s="1">
        <v>1.6052009460000001</v>
      </c>
      <c r="P648" s="1">
        <v>26.6</v>
      </c>
      <c r="Q648" s="1">
        <v>42.3</v>
      </c>
      <c r="R648" s="1">
        <v>0.56989811299999993</v>
      </c>
      <c r="S648" s="1">
        <v>9.9757662636745098E-2</v>
      </c>
      <c r="T648" t="s">
        <v>795</v>
      </c>
      <c r="U648" s="1">
        <v>1133</v>
      </c>
      <c r="V648">
        <f t="shared" si="40"/>
        <v>0.3393588788737108</v>
      </c>
      <c r="W648" s="1">
        <f t="shared" si="41"/>
        <v>71.800000000000011</v>
      </c>
      <c r="X648">
        <f t="shared" si="42"/>
        <v>6.0429500000000136E-2</v>
      </c>
      <c r="Y648">
        <f t="shared" si="43"/>
        <v>117.39999999999999</v>
      </c>
      <c r="Z648" s="1">
        <v>1</v>
      </c>
      <c r="AA648">
        <v>99</v>
      </c>
      <c r="AB648">
        <v>1.01E-2</v>
      </c>
      <c r="AC648">
        <v>2</v>
      </c>
      <c r="AD648">
        <v>114</v>
      </c>
      <c r="AE648">
        <v>1.7500000000000002E-2</v>
      </c>
      <c r="AF648" t="s">
        <v>2589</v>
      </c>
      <c r="AG648" t="s">
        <v>2590</v>
      </c>
    </row>
    <row r="649" spans="1:33">
      <c r="A649" s="2" t="s">
        <v>127</v>
      </c>
      <c r="B649" s="2" t="s">
        <v>15</v>
      </c>
      <c r="C649" s="1">
        <v>0.50688118500000001</v>
      </c>
      <c r="D649">
        <v>0.64616698699999997</v>
      </c>
      <c r="E649">
        <v>0.65580376299999998</v>
      </c>
      <c r="F649" s="1" t="s">
        <v>128</v>
      </c>
      <c r="G649" s="1">
        <v>1.5447714459999999</v>
      </c>
      <c r="H649" s="1">
        <v>98.4</v>
      </c>
      <c r="I649" s="1">
        <v>159.69999999999999</v>
      </c>
      <c r="J649" s="1">
        <v>0.60295064500000006</v>
      </c>
      <c r="K649" s="1">
        <v>0.54560998800000005</v>
      </c>
      <c r="L649" s="1">
        <v>0.66721428400000005</v>
      </c>
      <c r="M649" s="3">
        <v>0.72650398400000005</v>
      </c>
      <c r="N649" s="1" t="s">
        <v>16</v>
      </c>
      <c r="O649" s="1">
        <v>5.1392405060000002</v>
      </c>
      <c r="P649" s="1">
        <v>35.9</v>
      </c>
      <c r="Q649" s="1">
        <v>15.8</v>
      </c>
      <c r="R649" s="1">
        <v>0.64644275200000012</v>
      </c>
      <c r="S649" s="1">
        <v>8.3315245557268047E-2</v>
      </c>
      <c r="T649" t="s">
        <v>796</v>
      </c>
      <c r="U649" s="1">
        <v>3081</v>
      </c>
      <c r="V649">
        <f t="shared" si="40"/>
        <v>0.3876324109241045</v>
      </c>
      <c r="W649" s="1">
        <f t="shared" si="41"/>
        <v>62.500000000000007</v>
      </c>
      <c r="X649">
        <f t="shared" si="42"/>
        <v>3.5944690600000002</v>
      </c>
      <c r="Y649">
        <f t="shared" si="43"/>
        <v>143.89999999999998</v>
      </c>
      <c r="Z649" s="1">
        <v>4</v>
      </c>
      <c r="AA649">
        <v>96</v>
      </c>
      <c r="AB649">
        <v>4.1700000000000001E-2</v>
      </c>
      <c r="AC649">
        <v>2</v>
      </c>
      <c r="AD649">
        <v>110</v>
      </c>
      <c r="AE649">
        <v>1.8200000000000001E-2</v>
      </c>
      <c r="AF649" t="s">
        <v>2589</v>
      </c>
      <c r="AG649" t="s">
        <v>2591</v>
      </c>
    </row>
    <row r="650" spans="1:33">
      <c r="A650" s="2" t="s">
        <v>127</v>
      </c>
      <c r="B650" s="2" t="s">
        <v>17</v>
      </c>
      <c r="C650" s="1">
        <v>0.50688118500000001</v>
      </c>
      <c r="D650">
        <v>0.64616698699999997</v>
      </c>
      <c r="E650">
        <v>0.65580376299999998</v>
      </c>
      <c r="F650" s="1" t="s">
        <v>128</v>
      </c>
      <c r="G650" s="1">
        <v>1.5447714459999999</v>
      </c>
      <c r="H650" s="1">
        <v>98.4</v>
      </c>
      <c r="I650" s="1">
        <v>159.69999999999999</v>
      </c>
      <c r="J650" s="1">
        <v>0.60295064500000006</v>
      </c>
      <c r="K650" s="1">
        <v>0.659112378</v>
      </c>
      <c r="L650" s="1">
        <v>0.68333493499999998</v>
      </c>
      <c r="M650" s="3">
        <v>0.70345495199999997</v>
      </c>
      <c r="N650" s="1" t="s">
        <v>18</v>
      </c>
      <c r="O650" s="1">
        <v>1.9463955639999999</v>
      </c>
      <c r="P650" s="1">
        <v>46.3</v>
      </c>
      <c r="Q650" s="1">
        <v>54.1</v>
      </c>
      <c r="R650" s="1">
        <v>0.68196742166666668</v>
      </c>
      <c r="S650" s="1">
        <v>0.16378775379694194</v>
      </c>
      <c r="T650" t="s">
        <v>797</v>
      </c>
      <c r="U650" s="1">
        <v>6405</v>
      </c>
      <c r="V650">
        <f t="shared" si="40"/>
        <v>0.42294657045341166</v>
      </c>
      <c r="W650" s="1">
        <f t="shared" si="41"/>
        <v>52.100000000000009</v>
      </c>
      <c r="X650">
        <f t="shared" si="42"/>
        <v>0.40162411799999997</v>
      </c>
      <c r="Y650">
        <f t="shared" si="43"/>
        <v>105.6</v>
      </c>
      <c r="Z650" s="1">
        <v>4</v>
      </c>
      <c r="AA650">
        <v>96</v>
      </c>
      <c r="AB650">
        <v>4.1700000000000001E-2</v>
      </c>
      <c r="AC650">
        <v>2</v>
      </c>
      <c r="AD650">
        <v>124</v>
      </c>
      <c r="AE650">
        <v>1.61E-2</v>
      </c>
      <c r="AF650" t="s">
        <v>2589</v>
      </c>
      <c r="AG650" t="s">
        <v>2591</v>
      </c>
    </row>
    <row r="651" spans="1:33">
      <c r="A651" s="2" t="s">
        <v>127</v>
      </c>
      <c r="B651" s="2" t="s">
        <v>19</v>
      </c>
      <c r="C651" s="1">
        <v>0.50688118500000001</v>
      </c>
      <c r="D651">
        <v>0.64616698699999997</v>
      </c>
      <c r="E651">
        <v>0.65580376299999998</v>
      </c>
      <c r="F651" s="1" t="s">
        <v>128</v>
      </c>
      <c r="G651" s="1">
        <v>1.5447714459999999</v>
      </c>
      <c r="H651" s="1">
        <v>98.4</v>
      </c>
      <c r="I651" s="1">
        <v>159.69999999999999</v>
      </c>
      <c r="J651" s="1">
        <v>0.60295064500000006</v>
      </c>
      <c r="K651" s="1">
        <v>0.49391595300000002</v>
      </c>
      <c r="L651" s="1">
        <v>0.603599314</v>
      </c>
      <c r="M651" s="3">
        <v>0.63481471599999995</v>
      </c>
      <c r="N651" s="1" t="s">
        <v>20</v>
      </c>
      <c r="O651" s="1">
        <v>1.2140902870000001</v>
      </c>
      <c r="P651" s="1">
        <v>64.900000000000006</v>
      </c>
      <c r="Q651" s="1">
        <v>146.19999999999999</v>
      </c>
      <c r="R651" s="1">
        <v>0.57744332766666662</v>
      </c>
      <c r="S651" s="1">
        <v>4.9200041863975696E-2</v>
      </c>
      <c r="T651" t="s">
        <v>798</v>
      </c>
      <c r="U651" s="1">
        <v>6700</v>
      </c>
      <c r="V651">
        <f t="shared" si="40"/>
        <v>0.42511942252231405</v>
      </c>
      <c r="W651" s="1">
        <f t="shared" si="41"/>
        <v>33.5</v>
      </c>
      <c r="X651">
        <f t="shared" si="42"/>
        <v>0.33068115899999984</v>
      </c>
      <c r="Y651">
        <f t="shared" si="43"/>
        <v>13.5</v>
      </c>
      <c r="Z651" s="1">
        <v>16</v>
      </c>
      <c r="AA651">
        <v>84</v>
      </c>
      <c r="AB651">
        <v>0.1905</v>
      </c>
      <c r="AC651">
        <v>18</v>
      </c>
      <c r="AD651">
        <v>88</v>
      </c>
      <c r="AE651">
        <v>0.20449999999999999</v>
      </c>
      <c r="AF651" t="s">
        <v>2589</v>
      </c>
      <c r="AG651" t="s">
        <v>2593</v>
      </c>
    </row>
    <row r="652" spans="1:33">
      <c r="A652" s="2" t="s">
        <v>127</v>
      </c>
      <c r="B652" s="2" t="s">
        <v>21</v>
      </c>
      <c r="C652" s="1">
        <v>0.50688118500000001</v>
      </c>
      <c r="D652">
        <v>0.64616698699999997</v>
      </c>
      <c r="E652">
        <v>0.65580376299999998</v>
      </c>
      <c r="F652" s="1" t="s">
        <v>128</v>
      </c>
      <c r="G652" s="1">
        <v>1.5447714459999999</v>
      </c>
      <c r="H652" s="1">
        <v>98.4</v>
      </c>
      <c r="I652" s="1">
        <v>159.69999999999999</v>
      </c>
      <c r="J652" s="1">
        <v>0.60295064500000006</v>
      </c>
      <c r="K652" s="1">
        <v>0.53276376800000003</v>
      </c>
      <c r="L652" s="1">
        <v>0.65428149899999999</v>
      </c>
      <c r="M652" s="3">
        <v>0.70160154799999996</v>
      </c>
      <c r="N652" s="1" t="s">
        <v>22</v>
      </c>
      <c r="O652" s="1">
        <v>1.2440604749999999</v>
      </c>
      <c r="P652" s="1">
        <v>24.6</v>
      </c>
      <c r="Q652" s="1">
        <v>46.3</v>
      </c>
      <c r="R652" s="1">
        <v>0.62954893833333336</v>
      </c>
      <c r="S652" s="1">
        <v>5.3227723215033884E-2</v>
      </c>
      <c r="T652" t="s">
        <v>799</v>
      </c>
      <c r="U652" s="1">
        <v>25762</v>
      </c>
      <c r="V652">
        <f t="shared" si="40"/>
        <v>0.49010884176606329</v>
      </c>
      <c r="W652" s="1">
        <f t="shared" si="41"/>
        <v>73.800000000000011</v>
      </c>
      <c r="X652">
        <f t="shared" si="42"/>
        <v>0.30071097099999999</v>
      </c>
      <c r="Y652">
        <f t="shared" si="43"/>
        <v>113.39999999999999</v>
      </c>
      <c r="Z652" s="1">
        <v>5</v>
      </c>
      <c r="AA652">
        <v>95</v>
      </c>
      <c r="AB652">
        <v>5.2600000000000001E-2</v>
      </c>
      <c r="AC652">
        <v>6</v>
      </c>
      <c r="AD652">
        <v>106</v>
      </c>
      <c r="AE652">
        <v>5.6599999999999998E-2</v>
      </c>
      <c r="AF652" t="s">
        <v>2589</v>
      </c>
      <c r="AG652" t="s">
        <v>2589</v>
      </c>
    </row>
    <row r="653" spans="1:33">
      <c r="A653" s="2" t="s">
        <v>127</v>
      </c>
      <c r="B653" s="2" t="s">
        <v>23</v>
      </c>
      <c r="C653" s="1">
        <v>0.50688118500000001</v>
      </c>
      <c r="D653">
        <v>0.64616698699999997</v>
      </c>
      <c r="E653">
        <v>0.65580376299999998</v>
      </c>
      <c r="F653" s="1" t="s">
        <v>128</v>
      </c>
      <c r="G653" s="1">
        <v>1.5447714459999999</v>
      </c>
      <c r="H653" s="1">
        <v>98.4</v>
      </c>
      <c r="I653" s="1">
        <v>159.69999999999999</v>
      </c>
      <c r="J653" s="1">
        <v>0.60295064500000006</v>
      </c>
      <c r="K653" s="1">
        <v>0.49415677200000002</v>
      </c>
      <c r="L653" s="1">
        <v>0.62090818999999997</v>
      </c>
      <c r="M653" s="3">
        <v>0.63381026900000004</v>
      </c>
      <c r="N653" s="1" t="s">
        <v>24</v>
      </c>
      <c r="O653" s="1">
        <v>1.141304348</v>
      </c>
      <c r="P653" s="1">
        <v>44.4</v>
      </c>
      <c r="Q653" s="1">
        <v>101.2</v>
      </c>
      <c r="R653" s="1">
        <v>0.58295841033333329</v>
      </c>
      <c r="S653" s="1">
        <v>3.5827800524310886E-2</v>
      </c>
      <c r="T653" t="s">
        <v>800</v>
      </c>
      <c r="U653" s="1">
        <v>2461</v>
      </c>
      <c r="V653">
        <f t="shared" si="40"/>
        <v>0.37679017930031139</v>
      </c>
      <c r="W653" s="1">
        <f t="shared" si="41"/>
        <v>54.000000000000007</v>
      </c>
      <c r="X653">
        <f t="shared" si="42"/>
        <v>0.40346709799999991</v>
      </c>
      <c r="Y653">
        <f t="shared" si="43"/>
        <v>58.499999999999986</v>
      </c>
      <c r="Z653" s="1">
        <v>3</v>
      </c>
      <c r="AA653">
        <v>97</v>
      </c>
      <c r="AB653">
        <v>3.09E-2</v>
      </c>
      <c r="AC653">
        <v>5</v>
      </c>
      <c r="AD653">
        <v>103</v>
      </c>
      <c r="AE653">
        <v>4.8500000000000001E-2</v>
      </c>
      <c r="AF653" t="s">
        <v>2589</v>
      </c>
      <c r="AG653" t="s">
        <v>2590</v>
      </c>
    </row>
    <row r="654" spans="1:33">
      <c r="A654" s="2" t="s">
        <v>127</v>
      </c>
      <c r="B654" s="2" t="s">
        <v>25</v>
      </c>
      <c r="C654" s="1">
        <v>0.50688118500000001</v>
      </c>
      <c r="D654">
        <v>0.64616698699999997</v>
      </c>
      <c r="E654">
        <v>0.65580376299999998</v>
      </c>
      <c r="F654" s="1" t="s">
        <v>128</v>
      </c>
      <c r="G654" s="1">
        <v>1.5447714459999999</v>
      </c>
      <c r="H654" s="1">
        <v>98.4</v>
      </c>
      <c r="I654" s="1">
        <v>159.69999999999999</v>
      </c>
      <c r="J654" s="1">
        <v>0.60295064500000006</v>
      </c>
      <c r="K654" s="1">
        <v>0.53959274199999996</v>
      </c>
      <c r="L654" s="1">
        <v>0.64971567399999997</v>
      </c>
      <c r="M654" s="3">
        <v>0.65028459999999999</v>
      </c>
      <c r="N654" s="1" t="s">
        <v>26</v>
      </c>
      <c r="O654" s="1">
        <v>1.623046875</v>
      </c>
      <c r="P654" s="1">
        <v>34.700000000000003</v>
      </c>
      <c r="Q654" s="1">
        <v>51.2</v>
      </c>
      <c r="R654" s="1">
        <v>0.61319767199999997</v>
      </c>
      <c r="S654" s="1">
        <v>3.3363157839281093E-2</v>
      </c>
      <c r="T654" t="s">
        <v>801</v>
      </c>
      <c r="U654" s="1">
        <v>14084</v>
      </c>
      <c r="V654">
        <f t="shared" si="40"/>
        <v>0.46096955737757184</v>
      </c>
      <c r="W654" s="1">
        <f t="shared" si="41"/>
        <v>63.7</v>
      </c>
      <c r="X654">
        <f t="shared" si="42"/>
        <v>7.8275429000000063E-2</v>
      </c>
      <c r="Y654">
        <f t="shared" si="43"/>
        <v>108.49999999999999</v>
      </c>
      <c r="Z654" s="1">
        <v>0</v>
      </c>
      <c r="AA654">
        <v>100</v>
      </c>
      <c r="AB654">
        <v>0</v>
      </c>
      <c r="AC654">
        <v>0</v>
      </c>
      <c r="AD654">
        <v>110</v>
      </c>
      <c r="AE654">
        <v>0</v>
      </c>
      <c r="AF654" t="s">
        <v>2589</v>
      </c>
      <c r="AG654" t="s">
        <v>2594</v>
      </c>
    </row>
    <row r="655" spans="1:33">
      <c r="A655" s="2" t="s">
        <v>127</v>
      </c>
      <c r="B655" s="2" t="s">
        <v>27</v>
      </c>
      <c r="C655" s="1">
        <v>0.50688118500000001</v>
      </c>
      <c r="D655">
        <v>0.64616698699999997</v>
      </c>
      <c r="E655">
        <v>0.65580376299999998</v>
      </c>
      <c r="F655" s="1" t="s">
        <v>128</v>
      </c>
      <c r="G655" s="1">
        <v>1.5447714459999999</v>
      </c>
      <c r="H655" s="1">
        <v>98.4</v>
      </c>
      <c r="I655" s="1">
        <v>159.69999999999999</v>
      </c>
      <c r="J655" s="1">
        <v>0.60295064500000006</v>
      </c>
      <c r="K655" s="1">
        <v>0.518608662</v>
      </c>
      <c r="L655" s="1">
        <v>0.64320369700000002</v>
      </c>
      <c r="M655" s="3">
        <v>0.62228994199999998</v>
      </c>
      <c r="N655" s="1" t="s">
        <v>28</v>
      </c>
      <c r="O655" s="1">
        <v>1.8717391299999999</v>
      </c>
      <c r="P655" s="1">
        <v>33.700000000000003</v>
      </c>
      <c r="Q655" s="1">
        <v>46</v>
      </c>
      <c r="R655" s="1">
        <v>0.59470076699999996</v>
      </c>
      <c r="S655" s="1">
        <v>3.5629917238602579E-2</v>
      </c>
      <c r="T655" t="s">
        <v>802</v>
      </c>
      <c r="U655" s="1">
        <v>5236</v>
      </c>
      <c r="V655">
        <f t="shared" si="40"/>
        <v>0.41322218198652422</v>
      </c>
      <c r="W655" s="1">
        <f t="shared" si="41"/>
        <v>64.7</v>
      </c>
      <c r="X655">
        <f t="shared" si="42"/>
        <v>0.32696768399999998</v>
      </c>
      <c r="Y655">
        <f t="shared" si="43"/>
        <v>113.69999999999999</v>
      </c>
      <c r="Z655" s="1">
        <v>2</v>
      </c>
      <c r="AA655">
        <v>98</v>
      </c>
      <c r="AB655">
        <v>2.0400000000000001E-2</v>
      </c>
      <c r="AC655">
        <v>4</v>
      </c>
      <c r="AD655">
        <v>113</v>
      </c>
      <c r="AE655">
        <v>3.5400000000000001E-2</v>
      </c>
      <c r="AF655" t="s">
        <v>2589</v>
      </c>
      <c r="AG655" t="s">
        <v>2590</v>
      </c>
    </row>
    <row r="656" spans="1:33">
      <c r="A656" s="2" t="s">
        <v>127</v>
      </c>
      <c r="B656" s="2" t="s">
        <v>29</v>
      </c>
      <c r="C656" s="1">
        <v>0.50688118500000001</v>
      </c>
      <c r="D656">
        <v>0.64616698699999997</v>
      </c>
      <c r="E656">
        <v>0.65580376299999998</v>
      </c>
      <c r="F656" s="1" t="s">
        <v>128</v>
      </c>
      <c r="G656" s="1">
        <v>1.5447714459999999</v>
      </c>
      <c r="H656" s="1">
        <v>98.4</v>
      </c>
      <c r="I656" s="1">
        <v>159.69999999999999</v>
      </c>
      <c r="J656" s="1">
        <v>0.60295064500000006</v>
      </c>
      <c r="K656" s="1">
        <v>0.59351545100000003</v>
      </c>
      <c r="L656" s="1">
        <v>0.68136602400000001</v>
      </c>
      <c r="M656" s="3">
        <v>0.73518087600000004</v>
      </c>
      <c r="N656" s="1" t="s">
        <v>30</v>
      </c>
      <c r="O656" s="1">
        <v>2.849112426</v>
      </c>
      <c r="P656" s="1">
        <v>37.9</v>
      </c>
      <c r="Q656" s="1">
        <v>33.799999999999997</v>
      </c>
      <c r="R656" s="1">
        <v>0.67002078366666673</v>
      </c>
      <c r="S656" s="1">
        <v>0.1226588534077378</v>
      </c>
      <c r="T656" t="s">
        <v>803</v>
      </c>
      <c r="U656" s="1">
        <v>2343</v>
      </c>
      <c r="V656">
        <f t="shared" si="40"/>
        <v>0.37441914317744035</v>
      </c>
      <c r="W656" s="1">
        <f t="shared" si="41"/>
        <v>60.500000000000007</v>
      </c>
      <c r="X656">
        <f t="shared" si="42"/>
        <v>1.3043409800000001</v>
      </c>
      <c r="Y656">
        <f t="shared" si="43"/>
        <v>125.89999999999999</v>
      </c>
      <c r="Z656" s="1">
        <v>4</v>
      </c>
      <c r="AA656">
        <v>96</v>
      </c>
      <c r="AB656">
        <v>4.1700000000000001E-2</v>
      </c>
      <c r="AC656">
        <v>2</v>
      </c>
      <c r="AD656">
        <v>104</v>
      </c>
      <c r="AE656">
        <v>1.9199999999999998E-2</v>
      </c>
      <c r="AF656" t="s">
        <v>2589</v>
      </c>
      <c r="AG656" t="s">
        <v>2593</v>
      </c>
    </row>
    <row r="657" spans="1:33">
      <c r="A657" s="2" t="s">
        <v>127</v>
      </c>
      <c r="B657" s="2" t="s">
        <v>31</v>
      </c>
      <c r="C657" s="1">
        <v>0.50688118500000001</v>
      </c>
      <c r="D657">
        <v>0.64616698699999997</v>
      </c>
      <c r="E657">
        <v>0.65580376299999998</v>
      </c>
      <c r="F657" s="1" t="s">
        <v>128</v>
      </c>
      <c r="G657" s="1">
        <v>1.5447714459999999</v>
      </c>
      <c r="H657" s="1">
        <v>98.4</v>
      </c>
      <c r="I657" s="1">
        <v>159.69999999999999</v>
      </c>
      <c r="J657" s="1">
        <v>0.60295064500000006</v>
      </c>
      <c r="K657" s="1">
        <v>0.47727961800000002</v>
      </c>
      <c r="L657" s="1">
        <v>0.66941086400000005</v>
      </c>
      <c r="M657" s="3">
        <v>0.69294815300000001</v>
      </c>
      <c r="N657" s="1" t="s">
        <v>32</v>
      </c>
      <c r="O657" s="1">
        <v>1.341891892</v>
      </c>
      <c r="P657" s="1">
        <v>42.1</v>
      </c>
      <c r="Q657" s="1">
        <v>74</v>
      </c>
      <c r="R657" s="1">
        <v>0.61321287833333338</v>
      </c>
      <c r="S657" s="1">
        <v>5.2879450595847942E-2</v>
      </c>
      <c r="T657" t="s">
        <v>804</v>
      </c>
      <c r="U657" s="1">
        <v>52466</v>
      </c>
      <c r="V657">
        <f t="shared" si="40"/>
        <v>0.52443088387933801</v>
      </c>
      <c r="W657" s="1">
        <f t="shared" si="41"/>
        <v>56.300000000000004</v>
      </c>
      <c r="X657">
        <f t="shared" si="42"/>
        <v>0.20287955399999991</v>
      </c>
      <c r="Y657">
        <f t="shared" si="43"/>
        <v>85.699999999999989</v>
      </c>
      <c r="Z657" s="1">
        <v>12</v>
      </c>
      <c r="AA657">
        <v>88</v>
      </c>
      <c r="AB657">
        <v>0.13639999999999999</v>
      </c>
      <c r="AC657">
        <v>13</v>
      </c>
      <c r="AD657">
        <v>101</v>
      </c>
      <c r="AE657">
        <v>0.12870000000000001</v>
      </c>
      <c r="AF657" t="s">
        <v>2589</v>
      </c>
      <c r="AG657" t="s">
        <v>2589</v>
      </c>
    </row>
    <row r="658" spans="1:33">
      <c r="A658" s="2" t="s">
        <v>127</v>
      </c>
      <c r="B658" s="2" t="s">
        <v>33</v>
      </c>
      <c r="C658" s="1">
        <v>0.50688118500000001</v>
      </c>
      <c r="D658">
        <v>0.64616698699999997</v>
      </c>
      <c r="E658">
        <v>0.65580376299999998</v>
      </c>
      <c r="F658" s="1" t="s">
        <v>128</v>
      </c>
      <c r="G658" s="1">
        <v>1.5447714459999999</v>
      </c>
      <c r="H658" s="1">
        <v>98.4</v>
      </c>
      <c r="I658" s="1">
        <v>159.69999999999999</v>
      </c>
      <c r="J658" s="1">
        <v>0.60295064500000006</v>
      </c>
      <c r="K658" s="1">
        <v>0.51347926600000005</v>
      </c>
      <c r="L658" s="1">
        <v>0.63144379399999995</v>
      </c>
      <c r="M658" s="3">
        <v>0.64189093500000005</v>
      </c>
      <c r="N658" s="1" t="s">
        <v>34</v>
      </c>
      <c r="O658" s="1">
        <v>2.3123667380000001</v>
      </c>
      <c r="P658" s="1">
        <v>79.099999999999994</v>
      </c>
      <c r="Q658" s="1">
        <v>93.8</v>
      </c>
      <c r="R658" s="1">
        <v>0.59560466500000009</v>
      </c>
      <c r="S658" s="1">
        <v>2.1304315711972381E-2</v>
      </c>
      <c r="T658" t="s">
        <v>805</v>
      </c>
      <c r="U658" s="1">
        <v>13719</v>
      </c>
      <c r="V658">
        <f t="shared" si="40"/>
        <v>0.45970249512226047</v>
      </c>
      <c r="W658" s="1">
        <f t="shared" si="41"/>
        <v>19.300000000000011</v>
      </c>
      <c r="X658">
        <f t="shared" si="42"/>
        <v>0.76759529200000021</v>
      </c>
      <c r="Y658">
        <f t="shared" si="43"/>
        <v>65.899999999999991</v>
      </c>
      <c r="Z658" s="1">
        <v>10</v>
      </c>
      <c r="AA658">
        <v>90</v>
      </c>
      <c r="AB658">
        <v>0.1111</v>
      </c>
      <c r="AC658">
        <v>12</v>
      </c>
      <c r="AD658">
        <v>96</v>
      </c>
      <c r="AE658">
        <v>0.125</v>
      </c>
      <c r="AF658" t="s">
        <v>2589</v>
      </c>
      <c r="AG658" t="s">
        <v>2590</v>
      </c>
    </row>
    <row r="659" spans="1:33">
      <c r="A659" s="2" t="s">
        <v>127</v>
      </c>
      <c r="B659" s="2" t="s">
        <v>35</v>
      </c>
      <c r="C659" s="1">
        <v>0.50688118500000001</v>
      </c>
      <c r="D659">
        <v>0.64616698699999997</v>
      </c>
      <c r="E659">
        <v>0.65580376299999998</v>
      </c>
      <c r="F659" s="1" t="s">
        <v>128</v>
      </c>
      <c r="G659" s="1">
        <v>1.5447714459999999</v>
      </c>
      <c r="H659" s="1">
        <v>98.4</v>
      </c>
      <c r="I659" s="1">
        <v>159.69999999999999</v>
      </c>
      <c r="J659" s="1">
        <v>0.60295064500000006</v>
      </c>
      <c r="K659" s="1">
        <v>0.52542897600000005</v>
      </c>
      <c r="L659" s="1">
        <v>0.60774736299999998</v>
      </c>
      <c r="M659" s="3">
        <v>0.62585751700000003</v>
      </c>
      <c r="N659" s="1" t="s">
        <v>36</v>
      </c>
      <c r="O659" s="1">
        <v>0.98848810399999998</v>
      </c>
      <c r="P659" s="1">
        <v>54.2</v>
      </c>
      <c r="Q659" s="1">
        <v>130.30000000000001</v>
      </c>
      <c r="R659" s="1">
        <v>0.58634461866666665</v>
      </c>
      <c r="S659" s="1">
        <v>5.2123561934825313E-2</v>
      </c>
      <c r="T659" t="s">
        <v>806</v>
      </c>
      <c r="U659" s="1">
        <v>36644</v>
      </c>
      <c r="V659">
        <f t="shared" si="40"/>
        <v>0.50711143049659446</v>
      </c>
      <c r="W659" s="1">
        <f t="shared" si="41"/>
        <v>44.2</v>
      </c>
      <c r="X659">
        <f t="shared" si="42"/>
        <v>0.55628334199999996</v>
      </c>
      <c r="Y659">
        <f t="shared" si="43"/>
        <v>29.399999999999977</v>
      </c>
      <c r="Z659" s="1">
        <v>14</v>
      </c>
      <c r="AA659">
        <v>86</v>
      </c>
      <c r="AB659">
        <v>0.1628</v>
      </c>
      <c r="AC659">
        <v>15</v>
      </c>
      <c r="AD659">
        <v>92</v>
      </c>
      <c r="AE659">
        <v>0.16300000000000001</v>
      </c>
      <c r="AF659" t="s">
        <v>2589</v>
      </c>
      <c r="AG659" t="s">
        <v>2589</v>
      </c>
    </row>
    <row r="660" spans="1:33">
      <c r="A660" s="2" t="s">
        <v>127</v>
      </c>
      <c r="B660" s="2" t="s">
        <v>37</v>
      </c>
      <c r="C660" s="1">
        <v>0.50688118500000001</v>
      </c>
      <c r="D660">
        <v>0.64616698699999997</v>
      </c>
      <c r="E660">
        <v>0.65580376299999998</v>
      </c>
      <c r="F660" s="1" t="s">
        <v>128</v>
      </c>
      <c r="G660" s="1">
        <v>1.5447714459999999</v>
      </c>
      <c r="H660" s="1">
        <v>98.4</v>
      </c>
      <c r="I660" s="1">
        <v>159.69999999999999</v>
      </c>
      <c r="J660" s="1">
        <v>0.60295064500000006</v>
      </c>
      <c r="K660" s="1">
        <v>0.50856695500000004</v>
      </c>
      <c r="L660" s="1">
        <v>0.654733224</v>
      </c>
      <c r="M660" s="3">
        <v>0.61418267199999999</v>
      </c>
      <c r="N660" s="1" t="s">
        <v>38</v>
      </c>
      <c r="O660" s="1">
        <v>0.64065708399999999</v>
      </c>
      <c r="P660" s="1">
        <v>41.9</v>
      </c>
      <c r="Q660" s="1">
        <v>146.1</v>
      </c>
      <c r="R660" s="1">
        <v>0.59249428366666679</v>
      </c>
      <c r="S660" s="1">
        <v>4.2526902695392131E-2</v>
      </c>
      <c r="T660" t="s">
        <v>807</v>
      </c>
      <c r="U660" s="1">
        <v>3712</v>
      </c>
      <c r="V660">
        <f t="shared" si="40"/>
        <v>0.39662310750520269</v>
      </c>
      <c r="W660" s="1">
        <f t="shared" si="41"/>
        <v>56.500000000000007</v>
      </c>
      <c r="X660">
        <f t="shared" si="42"/>
        <v>0.90411436199999995</v>
      </c>
      <c r="Y660">
        <f t="shared" si="43"/>
        <v>13.599999999999994</v>
      </c>
      <c r="Z660" s="1">
        <v>9</v>
      </c>
      <c r="AA660">
        <v>91</v>
      </c>
      <c r="AB660">
        <v>9.8900000000000002E-2</v>
      </c>
      <c r="AC660">
        <v>11</v>
      </c>
      <c r="AD660">
        <v>95</v>
      </c>
      <c r="AE660">
        <v>0.1158</v>
      </c>
      <c r="AF660" t="s">
        <v>2589</v>
      </c>
      <c r="AG660" t="s">
        <v>2590</v>
      </c>
    </row>
    <row r="661" spans="1:33">
      <c r="A661" s="2" t="s">
        <v>127</v>
      </c>
      <c r="B661" s="2" t="s">
        <v>39</v>
      </c>
      <c r="C661" s="1">
        <v>0.50688118500000001</v>
      </c>
      <c r="D661">
        <v>0.64616698699999997</v>
      </c>
      <c r="E661">
        <v>0.65580376299999998</v>
      </c>
      <c r="F661" s="1" t="s">
        <v>128</v>
      </c>
      <c r="G661" s="1">
        <v>1.5447714459999999</v>
      </c>
      <c r="H661" s="1">
        <v>98.4</v>
      </c>
      <c r="I661" s="1">
        <v>159.69999999999999</v>
      </c>
      <c r="J661" s="1">
        <v>0.60295064500000006</v>
      </c>
      <c r="K661" s="1">
        <v>0.60811616199999996</v>
      </c>
      <c r="L661" s="1">
        <v>0.721105683</v>
      </c>
      <c r="M661" s="3">
        <v>0.741016169</v>
      </c>
      <c r="N661" s="1" t="s">
        <v>40</v>
      </c>
      <c r="O661" s="1">
        <v>1.0601915180000001</v>
      </c>
      <c r="P661" s="1">
        <v>34</v>
      </c>
      <c r="Q661" s="1">
        <v>73.099999999999994</v>
      </c>
      <c r="R661" s="1">
        <v>0.69007933799999999</v>
      </c>
      <c r="S661" s="1">
        <v>0.15207065089187913</v>
      </c>
      <c r="T661" t="s">
        <v>808</v>
      </c>
      <c r="U661" s="1">
        <v>50645</v>
      </c>
      <c r="V661">
        <f t="shared" si="40"/>
        <v>0.522726286163257</v>
      </c>
      <c r="W661" s="1">
        <f t="shared" si="41"/>
        <v>64.400000000000006</v>
      </c>
      <c r="X661">
        <f t="shared" si="42"/>
        <v>0.48457992799999983</v>
      </c>
      <c r="Y661">
        <f t="shared" si="43"/>
        <v>86.6</v>
      </c>
      <c r="Z661" s="1">
        <v>6</v>
      </c>
      <c r="AA661">
        <v>94</v>
      </c>
      <c r="AB661">
        <v>6.3799999999999996E-2</v>
      </c>
      <c r="AC661">
        <v>10</v>
      </c>
      <c r="AD661">
        <v>99</v>
      </c>
      <c r="AE661">
        <v>0.10100000000000001</v>
      </c>
      <c r="AF661" t="s">
        <v>2589</v>
      </c>
      <c r="AG661" t="s">
        <v>2589</v>
      </c>
    </row>
    <row r="662" spans="1:33">
      <c r="A662" s="2" t="s">
        <v>127</v>
      </c>
      <c r="B662" s="2" t="s">
        <v>41</v>
      </c>
      <c r="C662" s="1">
        <v>0.50688118500000001</v>
      </c>
      <c r="D662">
        <v>0.64616698699999997</v>
      </c>
      <c r="E662">
        <v>0.65580376299999998</v>
      </c>
      <c r="F662" s="1" t="s">
        <v>128</v>
      </c>
      <c r="G662" s="1">
        <v>1.5447714459999999</v>
      </c>
      <c r="H662" s="1">
        <v>98.4</v>
      </c>
      <c r="I662" s="1">
        <v>159.69999999999999</v>
      </c>
      <c r="J662" s="1">
        <v>0.60295064500000006</v>
      </c>
      <c r="K662" s="1">
        <v>0.60402244999999999</v>
      </c>
      <c r="L662" s="1">
        <v>0.669189213</v>
      </c>
      <c r="M662" s="3">
        <v>0.69821693799999995</v>
      </c>
      <c r="N662" s="1" t="s">
        <v>42</v>
      </c>
      <c r="O662" s="1">
        <v>1.3243902439999999</v>
      </c>
      <c r="P662" s="1">
        <v>23</v>
      </c>
      <c r="Q662" s="1">
        <v>41</v>
      </c>
      <c r="R662" s="1">
        <v>0.65714286700000002</v>
      </c>
      <c r="S662" s="1">
        <v>0.10846808594870622</v>
      </c>
      <c r="T662" t="s">
        <v>809</v>
      </c>
      <c r="U662" s="1">
        <v>10481</v>
      </c>
      <c r="V662">
        <f t="shared" si="40"/>
        <v>0.44671141344265308</v>
      </c>
      <c r="W662" s="1">
        <f t="shared" si="41"/>
        <v>75.400000000000006</v>
      </c>
      <c r="X662">
        <f t="shared" si="42"/>
        <v>0.220381202</v>
      </c>
      <c r="Y662">
        <f t="shared" si="43"/>
        <v>118.69999999999999</v>
      </c>
      <c r="Z662" s="1">
        <v>4</v>
      </c>
      <c r="AA662">
        <v>96</v>
      </c>
      <c r="AB662">
        <v>4.1700000000000001E-2</v>
      </c>
      <c r="AC662">
        <v>2</v>
      </c>
      <c r="AD662">
        <v>121</v>
      </c>
      <c r="AE662">
        <v>1.6500000000000001E-2</v>
      </c>
      <c r="AF662" t="s">
        <v>2589</v>
      </c>
      <c r="AG662" t="s">
        <v>2591</v>
      </c>
    </row>
    <row r="663" spans="1:33">
      <c r="A663" s="2" t="s">
        <v>127</v>
      </c>
      <c r="B663" s="2" t="s">
        <v>43</v>
      </c>
      <c r="C663" s="1">
        <v>0.50688118500000001</v>
      </c>
      <c r="D663">
        <v>0.64616698699999997</v>
      </c>
      <c r="E663">
        <v>0.65580376299999998</v>
      </c>
      <c r="F663" s="1" t="s">
        <v>128</v>
      </c>
      <c r="G663" s="1">
        <v>1.5447714459999999</v>
      </c>
      <c r="H663" s="1">
        <v>98.4</v>
      </c>
      <c r="I663" s="1">
        <v>159.69999999999999</v>
      </c>
      <c r="J663" s="1">
        <v>0.60295064500000006</v>
      </c>
      <c r="K663" s="1">
        <v>0.54180634699999997</v>
      </c>
      <c r="L663" s="1">
        <v>0.59470779900000004</v>
      </c>
      <c r="M663" s="3">
        <v>0.69518155599999998</v>
      </c>
      <c r="N663" s="1" t="s">
        <v>44</v>
      </c>
      <c r="O663" s="1">
        <v>1.7403685090000001</v>
      </c>
      <c r="P663" s="1">
        <v>41.2</v>
      </c>
      <c r="Q663" s="1">
        <v>59.7</v>
      </c>
      <c r="R663" s="1">
        <v>0.61056523400000007</v>
      </c>
      <c r="S663" s="1">
        <v>7.3609955521630535E-2</v>
      </c>
      <c r="T663" t="s">
        <v>810</v>
      </c>
      <c r="U663" s="1">
        <v>363855</v>
      </c>
      <c r="V663">
        <f t="shared" si="40"/>
        <v>0.61788092747326284</v>
      </c>
      <c r="W663" s="1">
        <f t="shared" si="41"/>
        <v>57.2</v>
      </c>
      <c r="X663">
        <f t="shared" si="42"/>
        <v>0.19559706300000013</v>
      </c>
      <c r="Y663">
        <f t="shared" si="43"/>
        <v>99.999999999999986</v>
      </c>
      <c r="Z663" s="1">
        <v>15</v>
      </c>
      <c r="AA663">
        <v>85</v>
      </c>
      <c r="AB663">
        <v>0.17649999999999999</v>
      </c>
      <c r="AC663">
        <v>19</v>
      </c>
      <c r="AD663">
        <v>126</v>
      </c>
      <c r="AE663">
        <v>0.15079999999999999</v>
      </c>
      <c r="AF663" t="s">
        <v>2589</v>
      </c>
      <c r="AG663" t="s">
        <v>2589</v>
      </c>
    </row>
    <row r="664" spans="1:33">
      <c r="A664" s="2" t="s">
        <v>127</v>
      </c>
      <c r="B664" s="2" t="s">
        <v>45</v>
      </c>
      <c r="C664" s="1">
        <v>0.50688118500000001</v>
      </c>
      <c r="D664">
        <v>0.64616698699999997</v>
      </c>
      <c r="E664">
        <v>0.65580376299999998</v>
      </c>
      <c r="F664" s="1" t="s">
        <v>128</v>
      </c>
      <c r="G664" s="1">
        <v>1.5447714459999999</v>
      </c>
      <c r="H664" s="1">
        <v>98.4</v>
      </c>
      <c r="I664" s="1">
        <v>159.69999999999999</v>
      </c>
      <c r="J664" s="1">
        <v>0.60295064500000006</v>
      </c>
      <c r="K664" s="1">
        <v>0.50907007599999998</v>
      </c>
      <c r="L664" s="1">
        <v>0.68428041399999995</v>
      </c>
      <c r="M664" s="3">
        <v>0.67454742099999998</v>
      </c>
      <c r="N664" s="1" t="s">
        <v>46</v>
      </c>
      <c r="O664" s="1">
        <v>0.98140043799999999</v>
      </c>
      <c r="P664" s="1">
        <v>38.9</v>
      </c>
      <c r="Q664" s="1">
        <v>91.4</v>
      </c>
      <c r="R664" s="1">
        <v>0.62263263699999993</v>
      </c>
      <c r="S664" s="1">
        <v>4.2529393091310062E-2</v>
      </c>
      <c r="T664" t="s">
        <v>811</v>
      </c>
      <c r="U664" s="1">
        <v>24173</v>
      </c>
      <c r="V664">
        <f t="shared" si="40"/>
        <v>0.48703672800509273</v>
      </c>
      <c r="W664" s="1">
        <f t="shared" si="41"/>
        <v>59.500000000000007</v>
      </c>
      <c r="X664">
        <f t="shared" si="42"/>
        <v>0.56337100799999995</v>
      </c>
      <c r="Y664">
        <f t="shared" si="43"/>
        <v>68.299999999999983</v>
      </c>
      <c r="Z664" s="1">
        <v>12</v>
      </c>
      <c r="AA664">
        <v>88</v>
      </c>
      <c r="AB664">
        <v>0.13639999999999999</v>
      </c>
      <c r="AC664">
        <v>13</v>
      </c>
      <c r="AD664">
        <v>112</v>
      </c>
      <c r="AE664">
        <v>0.11609999999999999</v>
      </c>
      <c r="AF664" t="s">
        <v>2589</v>
      </c>
      <c r="AG664" t="s">
        <v>2589</v>
      </c>
    </row>
    <row r="665" spans="1:33">
      <c r="A665" s="2" t="s">
        <v>127</v>
      </c>
      <c r="B665" s="2" t="s">
        <v>47</v>
      </c>
      <c r="C665" s="1">
        <v>0.50688118500000001</v>
      </c>
      <c r="D665">
        <v>0.64616698699999997</v>
      </c>
      <c r="E665">
        <v>0.65580376299999998</v>
      </c>
      <c r="F665" s="1" t="s">
        <v>128</v>
      </c>
      <c r="G665" s="1">
        <v>1.5447714459999999</v>
      </c>
      <c r="H665" s="1">
        <v>98.4</v>
      </c>
      <c r="I665" s="1">
        <v>159.69999999999999</v>
      </c>
      <c r="J665" s="1">
        <v>0.60295064500000006</v>
      </c>
      <c r="K665" s="1">
        <v>0.50612154099999995</v>
      </c>
      <c r="L665" s="1">
        <v>0.55940039100000005</v>
      </c>
      <c r="M665" s="3">
        <v>0.66789001699999995</v>
      </c>
      <c r="N665" s="1" t="s">
        <v>48</v>
      </c>
      <c r="O665" s="1">
        <v>1.242622951</v>
      </c>
      <c r="P665" s="1">
        <v>17.8</v>
      </c>
      <c r="Q665" s="1">
        <v>30.5</v>
      </c>
      <c r="R665" s="1">
        <v>0.57780398300000002</v>
      </c>
      <c r="S665" s="1">
        <v>8.7607629668804837E-2</v>
      </c>
      <c r="T665" t="s">
        <v>812</v>
      </c>
      <c r="U665" s="1">
        <v>1910</v>
      </c>
      <c r="V665">
        <f t="shared" si="40"/>
        <v>0.36455926302752528</v>
      </c>
      <c r="W665" s="1">
        <f t="shared" si="41"/>
        <v>80.600000000000009</v>
      </c>
      <c r="X665">
        <f t="shared" si="42"/>
        <v>0.30214849499999996</v>
      </c>
      <c r="Y665">
        <f t="shared" si="43"/>
        <v>129.19999999999999</v>
      </c>
      <c r="Z665" s="1">
        <v>1</v>
      </c>
      <c r="AA665">
        <v>99</v>
      </c>
      <c r="AB665">
        <v>1.01E-2</v>
      </c>
      <c r="AC665">
        <v>2</v>
      </c>
      <c r="AD665">
        <v>130</v>
      </c>
      <c r="AE665">
        <v>1.54E-2</v>
      </c>
      <c r="AF665" t="s">
        <v>2589</v>
      </c>
      <c r="AG665" t="s">
        <v>2590</v>
      </c>
    </row>
    <row r="666" spans="1:33">
      <c r="A666" s="2" t="s">
        <v>127</v>
      </c>
      <c r="B666" s="2" t="s">
        <v>49</v>
      </c>
      <c r="C666" s="1">
        <v>0.50688118500000001</v>
      </c>
      <c r="D666">
        <v>0.64616698699999997</v>
      </c>
      <c r="E666">
        <v>0.65580376299999998</v>
      </c>
      <c r="F666" s="1" t="s">
        <v>128</v>
      </c>
      <c r="G666" s="1">
        <v>1.5447714459999999</v>
      </c>
      <c r="H666" s="1">
        <v>98.4</v>
      </c>
      <c r="I666" s="1">
        <v>159.69999999999999</v>
      </c>
      <c r="J666" s="1">
        <v>0.60295064500000006</v>
      </c>
      <c r="K666" s="1">
        <v>0.50647110500000003</v>
      </c>
      <c r="L666" s="1">
        <v>0.55713136799999996</v>
      </c>
      <c r="M666" s="3">
        <v>0.63402682300000002</v>
      </c>
      <c r="N666" s="1" t="s">
        <v>50</v>
      </c>
      <c r="O666" s="1">
        <v>1.876675603</v>
      </c>
      <c r="P666" s="1">
        <v>28.8</v>
      </c>
      <c r="Q666" s="1">
        <v>37.299999999999997</v>
      </c>
      <c r="R666" s="1">
        <v>0.56587643200000004</v>
      </c>
      <c r="S666" s="1">
        <v>9.1661031698771323E-2</v>
      </c>
      <c r="T666" t="s">
        <v>813</v>
      </c>
      <c r="U666" s="1">
        <v>3010</v>
      </c>
      <c r="V666">
        <f t="shared" si="40"/>
        <v>0.38650738839931598</v>
      </c>
      <c r="W666" s="1">
        <f t="shared" si="41"/>
        <v>69.600000000000009</v>
      </c>
      <c r="X666">
        <f t="shared" si="42"/>
        <v>0.33190415700000009</v>
      </c>
      <c r="Y666">
        <f t="shared" si="43"/>
        <v>122.39999999999999</v>
      </c>
      <c r="Z666" s="1">
        <v>3</v>
      </c>
      <c r="AA666">
        <v>97</v>
      </c>
      <c r="AB666">
        <v>3.09E-2</v>
      </c>
      <c r="AC666">
        <v>4</v>
      </c>
      <c r="AD666">
        <v>102</v>
      </c>
      <c r="AE666">
        <v>3.9199999999999999E-2</v>
      </c>
      <c r="AF666" t="s">
        <v>2589</v>
      </c>
      <c r="AG666" t="s">
        <v>2590</v>
      </c>
    </row>
    <row r="667" spans="1:33">
      <c r="A667" s="2" t="s">
        <v>127</v>
      </c>
      <c r="B667" s="2" t="s">
        <v>51</v>
      </c>
      <c r="C667" s="1">
        <v>0.50688118500000001</v>
      </c>
      <c r="D667">
        <v>0.64616698699999997</v>
      </c>
      <c r="E667">
        <v>0.65580376299999998</v>
      </c>
      <c r="F667" s="1" t="s">
        <v>128</v>
      </c>
      <c r="G667" s="1">
        <v>1.5447714459999999</v>
      </c>
      <c r="H667" s="1">
        <v>98.4</v>
      </c>
      <c r="I667" s="1">
        <v>159.69999999999999</v>
      </c>
      <c r="J667" s="1">
        <v>0.60295064500000006</v>
      </c>
      <c r="K667" s="1">
        <v>0.60067161999999996</v>
      </c>
      <c r="L667" s="1">
        <v>0.68094129999999997</v>
      </c>
      <c r="M667" s="3">
        <v>0.73595931299999995</v>
      </c>
      <c r="N667" s="1" t="s">
        <v>52</v>
      </c>
      <c r="O667" s="1">
        <v>1.858638743</v>
      </c>
      <c r="P667" s="1">
        <v>29.4</v>
      </c>
      <c r="Q667" s="1">
        <v>38.200000000000003</v>
      </c>
      <c r="R667" s="1">
        <v>0.67252407766666666</v>
      </c>
      <c r="S667" s="1">
        <v>0.12818272402283265</v>
      </c>
      <c r="T667" t="s">
        <v>814</v>
      </c>
      <c r="U667" s="1">
        <v>4519</v>
      </c>
      <c r="V667">
        <f t="shared" si="40"/>
        <v>0.40611581570346689</v>
      </c>
      <c r="W667" s="1">
        <f t="shared" si="41"/>
        <v>69</v>
      </c>
      <c r="X667">
        <f t="shared" si="42"/>
        <v>0.31386729700000005</v>
      </c>
      <c r="Y667">
        <f t="shared" si="43"/>
        <v>121.49999999999999</v>
      </c>
      <c r="Z667" s="1">
        <v>7</v>
      </c>
      <c r="AA667">
        <v>93</v>
      </c>
      <c r="AB667">
        <v>7.5300000000000006E-2</v>
      </c>
      <c r="AC667">
        <v>6</v>
      </c>
      <c r="AD667">
        <v>109</v>
      </c>
      <c r="AE667">
        <v>5.5E-2</v>
      </c>
      <c r="AF667" t="s">
        <v>2589</v>
      </c>
      <c r="AG667" t="s">
        <v>2591</v>
      </c>
    </row>
    <row r="668" spans="1:33">
      <c r="A668" s="2" t="s">
        <v>127</v>
      </c>
      <c r="B668" s="2" t="s">
        <v>53</v>
      </c>
      <c r="C668" s="1">
        <v>0.50688118500000001</v>
      </c>
      <c r="D668">
        <v>0.64616698699999997</v>
      </c>
      <c r="E668">
        <v>0.65580376299999998</v>
      </c>
      <c r="F668" s="1" t="s">
        <v>128</v>
      </c>
      <c r="G668" s="1">
        <v>1.5447714459999999</v>
      </c>
      <c r="H668" s="1">
        <v>98.4</v>
      </c>
      <c r="I668" s="1">
        <v>159.69999999999999</v>
      </c>
      <c r="J668" s="1">
        <v>0.60295064500000006</v>
      </c>
      <c r="K668" s="1">
        <v>0.54695832700000002</v>
      </c>
      <c r="L668" s="1">
        <v>0.659790137</v>
      </c>
      <c r="M668" s="3">
        <v>0.70662085500000005</v>
      </c>
      <c r="N668" s="1" t="s">
        <v>54</v>
      </c>
      <c r="O668" s="1">
        <v>2.5053995680000001</v>
      </c>
      <c r="P668" s="1">
        <v>43.9</v>
      </c>
      <c r="Q668" s="1">
        <v>46.3</v>
      </c>
      <c r="R668" s="1">
        <v>0.63778977300000006</v>
      </c>
      <c r="S668" s="1">
        <v>6.6137314476376621E-2</v>
      </c>
      <c r="T668" t="s">
        <v>815</v>
      </c>
      <c r="U668" s="1">
        <v>6640</v>
      </c>
      <c r="V668">
        <f t="shared" si="40"/>
        <v>0.42468534215200193</v>
      </c>
      <c r="W668" s="1">
        <f t="shared" si="41"/>
        <v>54.500000000000007</v>
      </c>
      <c r="X668">
        <f t="shared" si="42"/>
        <v>0.96062812200000014</v>
      </c>
      <c r="Y668">
        <f t="shared" si="43"/>
        <v>113.39999999999999</v>
      </c>
      <c r="Z668" s="1">
        <v>5</v>
      </c>
      <c r="AA668">
        <v>95</v>
      </c>
      <c r="AB668">
        <v>5.2600000000000001E-2</v>
      </c>
      <c r="AC668">
        <v>4</v>
      </c>
      <c r="AD668">
        <v>111</v>
      </c>
      <c r="AE668">
        <v>3.5999999999999997E-2</v>
      </c>
      <c r="AF668" t="s">
        <v>2589</v>
      </c>
      <c r="AG668" t="s">
        <v>2593</v>
      </c>
    </row>
    <row r="669" spans="1:33">
      <c r="A669" s="2" t="s">
        <v>127</v>
      </c>
      <c r="B669" s="2" t="s">
        <v>55</v>
      </c>
      <c r="C669" s="1">
        <v>0.50688118500000001</v>
      </c>
      <c r="D669">
        <v>0.64616698699999997</v>
      </c>
      <c r="E669">
        <v>0.65580376299999998</v>
      </c>
      <c r="F669" s="1" t="s">
        <v>128</v>
      </c>
      <c r="G669" s="1">
        <v>1.5447714459999999</v>
      </c>
      <c r="H669" s="1">
        <v>98.4</v>
      </c>
      <c r="I669" s="1">
        <v>159.69999999999999</v>
      </c>
      <c r="J669" s="1">
        <v>0.60295064500000006</v>
      </c>
      <c r="K669" s="1">
        <v>0.52971861799999997</v>
      </c>
      <c r="L669" s="1">
        <v>0.62258244500000004</v>
      </c>
      <c r="M669" s="3">
        <v>0.63939760400000001</v>
      </c>
      <c r="N669" s="1" t="s">
        <v>56</v>
      </c>
      <c r="O669" s="1">
        <v>1.0796934869999999</v>
      </c>
      <c r="P669" s="1">
        <v>55.3</v>
      </c>
      <c r="Q669" s="1">
        <v>130.5</v>
      </c>
      <c r="R669" s="1">
        <v>0.59723288899999993</v>
      </c>
      <c r="S669" s="1">
        <v>3.6700695095767982E-2</v>
      </c>
      <c r="T669" t="s">
        <v>816</v>
      </c>
      <c r="U669" s="1">
        <v>14274</v>
      </c>
      <c r="V669">
        <f t="shared" si="40"/>
        <v>0.46161618804676774</v>
      </c>
      <c r="W669" s="1">
        <f t="shared" si="41"/>
        <v>43.100000000000009</v>
      </c>
      <c r="X669">
        <f t="shared" si="42"/>
        <v>0.46507795900000004</v>
      </c>
      <c r="Y669">
        <f t="shared" si="43"/>
        <v>29.199999999999989</v>
      </c>
      <c r="Z669" s="1">
        <v>16</v>
      </c>
      <c r="AA669">
        <v>84</v>
      </c>
      <c r="AB669">
        <v>0.1905</v>
      </c>
      <c r="AC669">
        <v>17</v>
      </c>
      <c r="AD669">
        <v>90</v>
      </c>
      <c r="AE669">
        <v>0.18890000000000001</v>
      </c>
      <c r="AF669" t="s">
        <v>2589</v>
      </c>
      <c r="AG669" t="s">
        <v>2592</v>
      </c>
    </row>
    <row r="670" spans="1:33">
      <c r="A670" s="2" t="s">
        <v>127</v>
      </c>
      <c r="B670" s="2" t="s">
        <v>57</v>
      </c>
      <c r="C670" s="1">
        <v>0.50688118500000001</v>
      </c>
      <c r="D670">
        <v>0.64616698699999997</v>
      </c>
      <c r="E670">
        <v>0.65580376299999998</v>
      </c>
      <c r="F670" s="1" t="s">
        <v>128</v>
      </c>
      <c r="G670" s="1">
        <v>1.5447714459999999</v>
      </c>
      <c r="H670" s="1">
        <v>98.4</v>
      </c>
      <c r="I670" s="1">
        <v>159.69999999999999</v>
      </c>
      <c r="J670" s="1">
        <v>0.60295064500000006</v>
      </c>
      <c r="K670" s="1">
        <v>0.528732855</v>
      </c>
      <c r="L670" s="1">
        <v>0.63387497599999998</v>
      </c>
      <c r="M670" s="3">
        <v>0.63337360200000004</v>
      </c>
      <c r="N670" s="1" t="s">
        <v>58</v>
      </c>
      <c r="O670" s="1">
        <v>1.386610879</v>
      </c>
      <c r="P670" s="1">
        <v>69</v>
      </c>
      <c r="Q670" s="1">
        <v>119.5</v>
      </c>
      <c r="R670" s="1">
        <v>0.59866047766666663</v>
      </c>
      <c r="S670" s="1">
        <v>3.3640766024259007E-2</v>
      </c>
      <c r="T670" t="s">
        <v>817</v>
      </c>
      <c r="U670" s="1">
        <v>29002</v>
      </c>
      <c r="V670">
        <f t="shared" si="40"/>
        <v>0.49582532757886422</v>
      </c>
      <c r="W670" s="1">
        <f t="shared" si="41"/>
        <v>29.400000000000006</v>
      </c>
      <c r="X670">
        <f t="shared" si="42"/>
        <v>0.15816056699999992</v>
      </c>
      <c r="Y670">
        <f t="shared" si="43"/>
        <v>40.199999999999989</v>
      </c>
      <c r="Z670" s="1">
        <v>18</v>
      </c>
      <c r="AA670">
        <v>82</v>
      </c>
      <c r="AB670">
        <v>0.2195</v>
      </c>
      <c r="AC670">
        <v>18</v>
      </c>
      <c r="AD670">
        <v>95</v>
      </c>
      <c r="AE670">
        <v>0.1895</v>
      </c>
      <c r="AF670" t="s">
        <v>2589</v>
      </c>
      <c r="AG670" t="s">
        <v>2589</v>
      </c>
    </row>
    <row r="671" spans="1:33">
      <c r="A671" s="2" t="s">
        <v>127</v>
      </c>
      <c r="B671" s="2" t="s">
        <v>59</v>
      </c>
      <c r="C671" s="1">
        <v>0.50688118500000001</v>
      </c>
      <c r="D671">
        <v>0.64616698699999997</v>
      </c>
      <c r="E671">
        <v>0.65580376299999998</v>
      </c>
      <c r="F671" s="1" t="s">
        <v>128</v>
      </c>
      <c r="G671" s="1">
        <v>1.5447714459999999</v>
      </c>
      <c r="H671" s="1">
        <v>98.4</v>
      </c>
      <c r="I671" s="1">
        <v>159.69999999999999</v>
      </c>
      <c r="J671" s="1">
        <v>0.60295064500000006</v>
      </c>
      <c r="K671" s="1">
        <v>0.56225432799999997</v>
      </c>
      <c r="L671" s="1">
        <v>0.68100706499999997</v>
      </c>
      <c r="M671" s="3">
        <v>0.67505263699999996</v>
      </c>
      <c r="N671" s="1" t="s">
        <v>60</v>
      </c>
      <c r="O671" s="1">
        <v>1.1501154730000001</v>
      </c>
      <c r="P671" s="1">
        <v>60.5</v>
      </c>
      <c r="Q671" s="1">
        <v>129.9</v>
      </c>
      <c r="R671" s="1">
        <v>0.63943801</v>
      </c>
      <c r="S671" s="1">
        <v>6.8194832289642029E-2</v>
      </c>
      <c r="T671" t="s">
        <v>818</v>
      </c>
      <c r="U671" s="1">
        <v>31802</v>
      </c>
      <c r="V671">
        <f t="shared" si="40"/>
        <v>0.50027271480487689</v>
      </c>
      <c r="W671" s="1">
        <f t="shared" si="41"/>
        <v>37.900000000000006</v>
      </c>
      <c r="X671">
        <f t="shared" si="42"/>
        <v>0.39465597299999988</v>
      </c>
      <c r="Y671">
        <f t="shared" si="43"/>
        <v>29.799999999999983</v>
      </c>
      <c r="Z671" s="1">
        <v>16</v>
      </c>
      <c r="AA671">
        <v>84</v>
      </c>
      <c r="AB671">
        <v>0.1905</v>
      </c>
      <c r="AC671">
        <v>25</v>
      </c>
      <c r="AD671">
        <v>107</v>
      </c>
      <c r="AE671">
        <v>0.2336</v>
      </c>
      <c r="AF671" t="s">
        <v>2589</v>
      </c>
      <c r="AG671" t="s">
        <v>2589</v>
      </c>
    </row>
    <row r="672" spans="1:33">
      <c r="A672" s="2" t="s">
        <v>127</v>
      </c>
      <c r="B672" s="2" t="s">
        <v>61</v>
      </c>
      <c r="C672" s="1">
        <v>0.50688118500000001</v>
      </c>
      <c r="D672">
        <v>0.64616698699999997</v>
      </c>
      <c r="E672">
        <v>0.65580376299999998</v>
      </c>
      <c r="F672" s="1" t="s">
        <v>128</v>
      </c>
      <c r="G672" s="1">
        <v>1.5447714459999999</v>
      </c>
      <c r="H672" s="1">
        <v>98.4</v>
      </c>
      <c r="I672" s="1">
        <v>159.69999999999999</v>
      </c>
      <c r="J672" s="1">
        <v>0.60295064500000006</v>
      </c>
      <c r="K672" s="1">
        <v>0.62063455999999995</v>
      </c>
      <c r="L672" s="1">
        <v>0.67798104299999995</v>
      </c>
      <c r="M672" s="3">
        <v>0.72175371600000005</v>
      </c>
      <c r="N672" s="1" t="s">
        <v>62</v>
      </c>
      <c r="O672" s="1">
        <v>7.5471698109999998</v>
      </c>
      <c r="P672" s="1">
        <v>26.4</v>
      </c>
      <c r="Q672" s="1">
        <v>10.6</v>
      </c>
      <c r="R672" s="1">
        <v>0.6734564396666668</v>
      </c>
      <c r="S672" s="1">
        <v>0.13528252209270775</v>
      </c>
      <c r="T672" t="s">
        <v>819</v>
      </c>
      <c r="U672" s="1">
        <v>2009</v>
      </c>
      <c r="V672">
        <f t="shared" si="40"/>
        <v>0.3669977707498055</v>
      </c>
      <c r="W672" s="1">
        <f t="shared" si="41"/>
        <v>72</v>
      </c>
      <c r="X672">
        <f t="shared" si="42"/>
        <v>6.0023983649999995</v>
      </c>
      <c r="Y672">
        <f t="shared" si="43"/>
        <v>149.1</v>
      </c>
      <c r="Z672" s="1">
        <v>0</v>
      </c>
      <c r="AA672">
        <v>100</v>
      </c>
      <c r="AB672">
        <v>0</v>
      </c>
      <c r="AC672">
        <v>0</v>
      </c>
      <c r="AD672">
        <v>107</v>
      </c>
      <c r="AE672">
        <v>0</v>
      </c>
      <c r="AF672" t="s">
        <v>2589</v>
      </c>
      <c r="AG672" t="s">
        <v>2588</v>
      </c>
    </row>
    <row r="673" spans="1:33">
      <c r="A673" s="2" t="s">
        <v>127</v>
      </c>
      <c r="B673" s="2" t="s">
        <v>63</v>
      </c>
      <c r="C673" s="1">
        <v>0.50688118500000001</v>
      </c>
      <c r="D673">
        <v>0.64616698699999997</v>
      </c>
      <c r="E673">
        <v>0.65580376299999998</v>
      </c>
      <c r="F673" s="1" t="s">
        <v>128</v>
      </c>
      <c r="G673" s="1">
        <v>1.5447714459999999</v>
      </c>
      <c r="H673" s="1">
        <v>98.4</v>
      </c>
      <c r="I673" s="1">
        <v>159.69999999999999</v>
      </c>
      <c r="J673" s="1">
        <v>0.60295064500000006</v>
      </c>
      <c r="K673" s="1">
        <v>0.44311141399999998</v>
      </c>
      <c r="L673" s="1">
        <v>0.57053969199999999</v>
      </c>
      <c r="M673" s="3">
        <v>0.59266330599999995</v>
      </c>
      <c r="N673" s="1" t="s">
        <v>64</v>
      </c>
      <c r="O673" s="1">
        <v>0.89618138400000003</v>
      </c>
      <c r="P673" s="1">
        <v>29.7</v>
      </c>
      <c r="Q673" s="1">
        <v>83.8</v>
      </c>
      <c r="R673" s="1">
        <v>0.53543813733333334</v>
      </c>
      <c r="S673" s="1">
        <v>0.11735752533424655</v>
      </c>
      <c r="T673" t="s">
        <v>820</v>
      </c>
      <c r="U673" s="1">
        <v>1861</v>
      </c>
      <c r="V673">
        <f t="shared" si="40"/>
        <v>0.36330515257008522</v>
      </c>
      <c r="W673" s="1">
        <f t="shared" si="41"/>
        <v>68.7</v>
      </c>
      <c r="X673">
        <f t="shared" si="42"/>
        <v>0.64859006199999991</v>
      </c>
      <c r="Y673">
        <f t="shared" si="43"/>
        <v>75.899999999999991</v>
      </c>
      <c r="Z673" s="1">
        <v>6</v>
      </c>
      <c r="AA673">
        <v>94</v>
      </c>
      <c r="AB673">
        <v>6.3799999999999996E-2</v>
      </c>
      <c r="AC673">
        <v>9</v>
      </c>
      <c r="AD673">
        <v>105</v>
      </c>
      <c r="AE673">
        <v>8.5699999999999998E-2</v>
      </c>
      <c r="AF673" t="s">
        <v>2589</v>
      </c>
      <c r="AG673" t="s">
        <v>2590</v>
      </c>
    </row>
    <row r="674" spans="1:33">
      <c r="A674" s="2" t="s">
        <v>127</v>
      </c>
      <c r="B674" s="2" t="s">
        <v>65</v>
      </c>
      <c r="C674" s="1">
        <v>0.50688118500000001</v>
      </c>
      <c r="D674">
        <v>0.64616698699999997</v>
      </c>
      <c r="E674">
        <v>0.65580376299999998</v>
      </c>
      <c r="F674" s="1" t="s">
        <v>128</v>
      </c>
      <c r="G674" s="1">
        <v>1.5447714459999999</v>
      </c>
      <c r="H674" s="1">
        <v>98.4</v>
      </c>
      <c r="I674" s="1">
        <v>159.69999999999999</v>
      </c>
      <c r="J674" s="1">
        <v>0.60295064500000006</v>
      </c>
      <c r="K674" s="1">
        <v>0.67377447499999998</v>
      </c>
      <c r="L674" s="1">
        <v>0.69144672900000004</v>
      </c>
      <c r="M674" s="3">
        <v>0.73046409700000003</v>
      </c>
      <c r="N674" s="1" t="s">
        <v>66</v>
      </c>
      <c r="O674" s="1">
        <v>1.8507462690000001</v>
      </c>
      <c r="P674" s="1">
        <v>34.5</v>
      </c>
      <c r="Q674" s="1">
        <v>46.9</v>
      </c>
      <c r="R674" s="1">
        <v>0.69856176700000006</v>
      </c>
      <c r="S674" s="1">
        <v>0.18835549037817353</v>
      </c>
      <c r="T674" t="s">
        <v>821</v>
      </c>
      <c r="U674" s="1">
        <v>1899</v>
      </c>
      <c r="V674">
        <f t="shared" si="40"/>
        <v>0.36428055163744638</v>
      </c>
      <c r="W674" s="1">
        <f t="shared" si="41"/>
        <v>63.900000000000006</v>
      </c>
      <c r="X674">
        <f t="shared" si="42"/>
        <v>0.30597482300000012</v>
      </c>
      <c r="Y674">
        <f t="shared" si="43"/>
        <v>112.79999999999998</v>
      </c>
      <c r="Z674" s="1">
        <v>3</v>
      </c>
      <c r="AA674">
        <v>97</v>
      </c>
      <c r="AB674">
        <v>3.09E-2</v>
      </c>
      <c r="AC674">
        <v>2</v>
      </c>
      <c r="AD674">
        <v>94</v>
      </c>
      <c r="AE674">
        <v>2.1299999999999999E-2</v>
      </c>
      <c r="AF674" t="s">
        <v>2589</v>
      </c>
      <c r="AG674" t="s">
        <v>2593</v>
      </c>
    </row>
    <row r="675" spans="1:33">
      <c r="A675" s="2" t="s">
        <v>127</v>
      </c>
      <c r="B675" s="2" t="s">
        <v>67</v>
      </c>
      <c r="C675" s="1">
        <v>0.50688118500000001</v>
      </c>
      <c r="D675">
        <v>0.64616698699999997</v>
      </c>
      <c r="E675">
        <v>0.65580376299999998</v>
      </c>
      <c r="F675" s="1" t="s">
        <v>128</v>
      </c>
      <c r="G675" s="1">
        <v>1.5447714459999999</v>
      </c>
      <c r="H675" s="1">
        <v>98.4</v>
      </c>
      <c r="I675" s="1">
        <v>159.69999999999999</v>
      </c>
      <c r="J675" s="1">
        <v>0.60295064500000006</v>
      </c>
      <c r="K675" s="1">
        <v>0.53971122199999999</v>
      </c>
      <c r="L675" s="1">
        <v>0.621203065</v>
      </c>
      <c r="M675" s="3">
        <v>0.67806811499999997</v>
      </c>
      <c r="N675" s="1" t="s">
        <v>68</v>
      </c>
      <c r="O675" s="1">
        <v>1.5131894480000001</v>
      </c>
      <c r="P675" s="1">
        <v>27.2</v>
      </c>
      <c r="Q675" s="1">
        <v>41.7</v>
      </c>
      <c r="R675" s="1">
        <v>0.61299413400000002</v>
      </c>
      <c r="S675" s="1">
        <v>4.6869074036333953E-2</v>
      </c>
      <c r="T675" t="s">
        <v>822</v>
      </c>
      <c r="U675" s="1">
        <v>5744</v>
      </c>
      <c r="V675">
        <f t="shared" si="40"/>
        <v>0.41769049235936045</v>
      </c>
      <c r="W675" s="1">
        <f t="shared" si="41"/>
        <v>71.2</v>
      </c>
      <c r="X675">
        <f t="shared" si="42"/>
        <v>3.1581997999999833E-2</v>
      </c>
      <c r="Y675">
        <f t="shared" si="43"/>
        <v>117.99999999999999</v>
      </c>
      <c r="Z675" s="1">
        <v>3</v>
      </c>
      <c r="AA675">
        <v>97</v>
      </c>
      <c r="AB675">
        <v>3.09E-2</v>
      </c>
      <c r="AC675">
        <v>7</v>
      </c>
      <c r="AD675">
        <v>100</v>
      </c>
      <c r="AE675">
        <v>7.0000000000000007E-2</v>
      </c>
      <c r="AF675" t="s">
        <v>2589</v>
      </c>
      <c r="AG675" t="s">
        <v>2588</v>
      </c>
    </row>
    <row r="676" spans="1:33">
      <c r="A676" s="2" t="s">
        <v>127</v>
      </c>
      <c r="B676" s="2" t="s">
        <v>69</v>
      </c>
      <c r="C676" s="1">
        <v>0.50688118500000001</v>
      </c>
      <c r="D676">
        <v>0.64616698699999997</v>
      </c>
      <c r="E676">
        <v>0.65580376299999998</v>
      </c>
      <c r="F676" s="1" t="s">
        <v>128</v>
      </c>
      <c r="G676" s="1">
        <v>1.5447714459999999</v>
      </c>
      <c r="H676" s="1">
        <v>98.4</v>
      </c>
      <c r="I676" s="1">
        <v>159.69999999999999</v>
      </c>
      <c r="J676" s="1">
        <v>0.60295064500000006</v>
      </c>
      <c r="K676" s="1">
        <v>0.50188385300000005</v>
      </c>
      <c r="L676" s="1">
        <v>0.64580031500000001</v>
      </c>
      <c r="M676" s="3">
        <v>0.66006355800000005</v>
      </c>
      <c r="N676" s="1" t="s">
        <v>70</v>
      </c>
      <c r="O676" s="1">
        <v>1.2401055409999999</v>
      </c>
      <c r="P676" s="1">
        <v>43.4</v>
      </c>
      <c r="Q676" s="1">
        <v>75.8</v>
      </c>
      <c r="R676" s="1">
        <v>0.60258257533333337</v>
      </c>
      <c r="S676" s="1">
        <v>6.5767491145575247E-3</v>
      </c>
      <c r="T676" t="s">
        <v>823</v>
      </c>
      <c r="U676" s="1">
        <v>27829</v>
      </c>
      <c r="V676">
        <f t="shared" si="40"/>
        <v>0.49383306675446836</v>
      </c>
      <c r="W676" s="1">
        <f t="shared" si="41"/>
        <v>55.000000000000007</v>
      </c>
      <c r="X676">
        <f t="shared" si="42"/>
        <v>0.30466590500000001</v>
      </c>
      <c r="Y676">
        <f t="shared" si="43"/>
        <v>83.899999999999991</v>
      </c>
      <c r="Z676" s="1">
        <v>17</v>
      </c>
      <c r="AA676">
        <v>83</v>
      </c>
      <c r="AB676">
        <v>0.20480000000000001</v>
      </c>
      <c r="AC676">
        <v>19</v>
      </c>
      <c r="AD676">
        <v>95</v>
      </c>
      <c r="AE676">
        <v>0.2</v>
      </c>
      <c r="AF676" t="s">
        <v>2589</v>
      </c>
      <c r="AG676" t="s">
        <v>2589</v>
      </c>
    </row>
    <row r="677" spans="1:33">
      <c r="A677" s="2" t="s">
        <v>127</v>
      </c>
      <c r="B677" s="2" t="s">
        <v>71</v>
      </c>
      <c r="C677" s="1">
        <v>0.50688118500000001</v>
      </c>
      <c r="D677">
        <v>0.64616698699999997</v>
      </c>
      <c r="E677">
        <v>0.65580376299999998</v>
      </c>
      <c r="F677" s="1" t="s">
        <v>128</v>
      </c>
      <c r="G677" s="1">
        <v>1.5447714459999999</v>
      </c>
      <c r="H677" s="1">
        <v>98.4</v>
      </c>
      <c r="I677" s="1">
        <v>159.69999999999999</v>
      </c>
      <c r="J677" s="1">
        <v>0.60295064500000006</v>
      </c>
      <c r="K677" s="1">
        <v>0.53267569100000001</v>
      </c>
      <c r="L677" s="1">
        <v>0.64507433599999997</v>
      </c>
      <c r="M677" s="3">
        <v>0.66598465100000004</v>
      </c>
      <c r="N677" s="1" t="s">
        <v>72</v>
      </c>
      <c r="O677" s="1">
        <v>0.97289666900000005</v>
      </c>
      <c r="P677" s="1">
        <v>64.8</v>
      </c>
      <c r="Q677" s="1">
        <v>177.1</v>
      </c>
      <c r="R677" s="1">
        <v>0.61457822600000001</v>
      </c>
      <c r="S677" s="1">
        <v>2.7752493698051384E-2</v>
      </c>
      <c r="T677" t="s">
        <v>824</v>
      </c>
      <c r="U677" s="1">
        <v>200799</v>
      </c>
      <c r="V677">
        <f t="shared" si="40"/>
        <v>0.58919572729405234</v>
      </c>
      <c r="W677" s="1">
        <f t="shared" si="41"/>
        <v>33.600000000000009</v>
      </c>
      <c r="X677">
        <f t="shared" si="42"/>
        <v>0.57187477699999989</v>
      </c>
      <c r="Y677">
        <f t="shared" si="43"/>
        <v>17.400000000000006</v>
      </c>
      <c r="Z677" s="1">
        <v>36</v>
      </c>
      <c r="AA677">
        <v>64</v>
      </c>
      <c r="AB677">
        <v>0.5625</v>
      </c>
      <c r="AC677">
        <v>44</v>
      </c>
      <c r="AD677">
        <v>81</v>
      </c>
      <c r="AE677">
        <v>0.54320000000000002</v>
      </c>
      <c r="AF677" t="s">
        <v>2589</v>
      </c>
      <c r="AG677" t="s">
        <v>2589</v>
      </c>
    </row>
    <row r="678" spans="1:33">
      <c r="A678" s="2" t="s">
        <v>127</v>
      </c>
      <c r="B678" s="2" t="s">
        <v>73</v>
      </c>
      <c r="C678" s="1">
        <v>0.50688118500000001</v>
      </c>
      <c r="D678">
        <v>0.64616698699999997</v>
      </c>
      <c r="E678">
        <v>0.65580376299999998</v>
      </c>
      <c r="F678" s="1" t="s">
        <v>128</v>
      </c>
      <c r="G678" s="1">
        <v>1.5447714459999999</v>
      </c>
      <c r="H678" s="1">
        <v>98.4</v>
      </c>
      <c r="I678" s="1">
        <v>159.69999999999999</v>
      </c>
      <c r="J678" s="1">
        <v>0.60295064500000006</v>
      </c>
      <c r="K678" s="1">
        <v>0.55697925299999995</v>
      </c>
      <c r="L678" s="1">
        <v>0.64461978399999997</v>
      </c>
      <c r="M678" s="3">
        <v>0.69570690000000002</v>
      </c>
      <c r="N678" s="1" t="s">
        <v>74</v>
      </c>
      <c r="O678" s="1">
        <v>1.23433584</v>
      </c>
      <c r="P678" s="1">
        <v>44</v>
      </c>
      <c r="Q678" s="1">
        <v>79.8</v>
      </c>
      <c r="R678" s="1">
        <v>0.63243531233333328</v>
      </c>
      <c r="S678" s="1">
        <v>6.4066142360037562E-2</v>
      </c>
      <c r="T678" t="s">
        <v>825</v>
      </c>
      <c r="U678" s="1">
        <v>18505</v>
      </c>
      <c r="V678">
        <f t="shared" si="40"/>
        <v>0.47414323215901455</v>
      </c>
      <c r="W678" s="1">
        <f t="shared" si="41"/>
        <v>54.400000000000006</v>
      </c>
      <c r="X678">
        <f t="shared" si="42"/>
        <v>0.31043560599999998</v>
      </c>
      <c r="Y678">
        <f t="shared" si="43"/>
        <v>79.899999999999991</v>
      </c>
      <c r="Z678" s="1">
        <v>15</v>
      </c>
      <c r="AA678">
        <v>85</v>
      </c>
      <c r="AB678">
        <v>0.17649999999999999</v>
      </c>
      <c r="AC678">
        <v>17</v>
      </c>
      <c r="AD678">
        <v>93</v>
      </c>
      <c r="AE678">
        <v>0.18279999999999999</v>
      </c>
      <c r="AF678" t="s">
        <v>2589</v>
      </c>
      <c r="AG678" t="s">
        <v>2589</v>
      </c>
    </row>
    <row r="679" spans="1:33">
      <c r="A679" s="2" t="s">
        <v>127</v>
      </c>
      <c r="B679" s="2" t="s">
        <v>75</v>
      </c>
      <c r="C679" s="1">
        <v>0.50688118500000001</v>
      </c>
      <c r="D679">
        <v>0.64616698699999997</v>
      </c>
      <c r="E679">
        <v>0.65580376299999998</v>
      </c>
      <c r="F679" s="1" t="s">
        <v>128</v>
      </c>
      <c r="G679" s="1">
        <v>1.5447714459999999</v>
      </c>
      <c r="H679" s="1">
        <v>98.4</v>
      </c>
      <c r="I679" s="1">
        <v>159.69999999999999</v>
      </c>
      <c r="J679" s="1">
        <v>0.60295064500000006</v>
      </c>
      <c r="K679" s="1">
        <v>0.50354843500000002</v>
      </c>
      <c r="L679" s="1">
        <v>0.59724402499999996</v>
      </c>
      <c r="M679" s="3">
        <v>0.70308254199999998</v>
      </c>
      <c r="N679" s="1" t="s">
        <v>76</v>
      </c>
      <c r="O679" s="1">
        <v>1.2696850390000001</v>
      </c>
      <c r="P679" s="1">
        <v>26.6</v>
      </c>
      <c r="Q679" s="1">
        <v>50.8</v>
      </c>
      <c r="R679" s="1">
        <v>0.60129166733333339</v>
      </c>
      <c r="S679" s="1">
        <v>6.8116417823802108E-2</v>
      </c>
      <c r="T679" t="s">
        <v>826</v>
      </c>
      <c r="U679" s="1">
        <v>4534</v>
      </c>
      <c r="V679">
        <f t="shared" si="40"/>
        <v>0.40627572397672207</v>
      </c>
      <c r="W679" s="1">
        <f t="shared" si="41"/>
        <v>71.800000000000011</v>
      </c>
      <c r="X679">
        <f t="shared" si="42"/>
        <v>0.27508640699999987</v>
      </c>
      <c r="Y679">
        <f t="shared" si="43"/>
        <v>108.89999999999999</v>
      </c>
      <c r="Z679" s="1">
        <v>4</v>
      </c>
      <c r="AA679">
        <v>96</v>
      </c>
      <c r="AB679">
        <v>4.1700000000000001E-2</v>
      </c>
      <c r="AC679">
        <v>6</v>
      </c>
      <c r="AD679">
        <v>104</v>
      </c>
      <c r="AE679">
        <v>5.7700000000000001E-2</v>
      </c>
      <c r="AF679" t="s">
        <v>2589</v>
      </c>
      <c r="AG679" t="s">
        <v>2594</v>
      </c>
    </row>
    <row r="680" spans="1:33">
      <c r="A680" s="2" t="s">
        <v>127</v>
      </c>
      <c r="B680" s="2" t="s">
        <v>77</v>
      </c>
      <c r="C680" s="1">
        <v>0.50688118500000001</v>
      </c>
      <c r="D680">
        <v>0.64616698699999997</v>
      </c>
      <c r="E680">
        <v>0.65580376299999998</v>
      </c>
      <c r="F680" s="1" t="s">
        <v>128</v>
      </c>
      <c r="G680" s="1">
        <v>1.5447714459999999</v>
      </c>
      <c r="H680" s="1">
        <v>98.4</v>
      </c>
      <c r="I680" s="1">
        <v>159.69999999999999</v>
      </c>
      <c r="J680" s="1">
        <v>0.60295064500000006</v>
      </c>
      <c r="K680" s="1">
        <v>0.54630843299999998</v>
      </c>
      <c r="L680" s="1">
        <v>0.68935555900000001</v>
      </c>
      <c r="M680" s="3">
        <v>0.65478744899999997</v>
      </c>
      <c r="N680" s="1" t="s">
        <v>78</v>
      </c>
      <c r="O680" s="1">
        <v>1.3914285710000001</v>
      </c>
      <c r="P680" s="1">
        <v>56.5</v>
      </c>
      <c r="Q680" s="1">
        <v>105</v>
      </c>
      <c r="R680" s="1">
        <v>0.63015048033333343</v>
      </c>
      <c r="S680" s="1">
        <v>5.8487550217112737E-2</v>
      </c>
      <c r="T680" t="s">
        <v>827</v>
      </c>
      <c r="U680" s="1">
        <v>3889</v>
      </c>
      <c r="V680">
        <f t="shared" si="40"/>
        <v>0.39887088257193998</v>
      </c>
      <c r="W680" s="1">
        <f t="shared" si="41"/>
        <v>41.900000000000006</v>
      </c>
      <c r="X680">
        <f t="shared" si="42"/>
        <v>0.15334287499999988</v>
      </c>
      <c r="Y680">
        <f t="shared" si="43"/>
        <v>54.699999999999989</v>
      </c>
      <c r="Z680" s="1">
        <v>2</v>
      </c>
      <c r="AA680">
        <v>98</v>
      </c>
      <c r="AB680">
        <v>2.0400000000000001E-2</v>
      </c>
      <c r="AC680">
        <v>3</v>
      </c>
      <c r="AD680">
        <v>96</v>
      </c>
      <c r="AE680">
        <v>3.1199999999999999E-2</v>
      </c>
      <c r="AF680" t="s">
        <v>2589</v>
      </c>
      <c r="AG680" t="s">
        <v>2590</v>
      </c>
    </row>
    <row r="681" spans="1:33">
      <c r="A681" s="2" t="s">
        <v>127</v>
      </c>
      <c r="B681" s="2" t="s">
        <v>79</v>
      </c>
      <c r="C681" s="1">
        <v>0.50688118500000001</v>
      </c>
      <c r="D681">
        <v>0.64616698699999997</v>
      </c>
      <c r="E681">
        <v>0.65580376299999998</v>
      </c>
      <c r="F681" s="1" t="s">
        <v>128</v>
      </c>
      <c r="G681" s="1">
        <v>1.5447714459999999</v>
      </c>
      <c r="H681" s="1">
        <v>98.4</v>
      </c>
      <c r="I681" s="1">
        <v>159.69999999999999</v>
      </c>
      <c r="J681" s="1">
        <v>0.60295064500000006</v>
      </c>
      <c r="K681" s="1">
        <v>0.63652882899999996</v>
      </c>
      <c r="L681" s="1">
        <v>0.77536518600000004</v>
      </c>
      <c r="M681" s="3">
        <v>0.610415606</v>
      </c>
      <c r="N681" s="1" t="s">
        <v>80</v>
      </c>
      <c r="O681" s="1">
        <v>0.95325542600000002</v>
      </c>
      <c r="P681" s="1">
        <v>45.6</v>
      </c>
      <c r="Q681" s="1">
        <v>119.8</v>
      </c>
      <c r="R681" s="1">
        <v>0.67410320700000004</v>
      </c>
      <c r="S681" s="1">
        <v>0.18857563738577418</v>
      </c>
      <c r="T681" t="s">
        <v>828</v>
      </c>
      <c r="U681" s="1">
        <v>5952</v>
      </c>
      <c r="V681">
        <f t="shared" si="40"/>
        <v>0.41940699139309134</v>
      </c>
      <c r="W681" s="1">
        <f t="shared" si="41"/>
        <v>52.800000000000004</v>
      </c>
      <c r="X681">
        <f t="shared" si="42"/>
        <v>0.59151601999999992</v>
      </c>
      <c r="Y681">
        <f t="shared" si="43"/>
        <v>39.899999999999991</v>
      </c>
      <c r="Z681" s="1">
        <v>1</v>
      </c>
      <c r="AA681">
        <v>99</v>
      </c>
      <c r="AB681">
        <v>1.01E-2</v>
      </c>
      <c r="AC681">
        <v>2</v>
      </c>
      <c r="AD681">
        <v>88</v>
      </c>
      <c r="AE681">
        <v>2.2700000000000001E-2</v>
      </c>
      <c r="AF681" t="s">
        <v>2589</v>
      </c>
      <c r="AG681" t="s">
        <v>2590</v>
      </c>
    </row>
    <row r="682" spans="1:33">
      <c r="A682" s="2" t="s">
        <v>127</v>
      </c>
      <c r="B682" s="2" t="s">
        <v>81</v>
      </c>
      <c r="C682" s="1">
        <v>0.50688118500000001</v>
      </c>
      <c r="D682">
        <v>0.64616698699999997</v>
      </c>
      <c r="E682">
        <v>0.65580376299999998</v>
      </c>
      <c r="F682" s="1" t="s">
        <v>128</v>
      </c>
      <c r="G682" s="1">
        <v>1.5447714459999999</v>
      </c>
      <c r="H682" s="1">
        <v>98.4</v>
      </c>
      <c r="I682" s="1">
        <v>159.69999999999999</v>
      </c>
      <c r="J682" s="1">
        <v>0.60295064500000006</v>
      </c>
      <c r="K682" s="1">
        <v>0.50183280699999999</v>
      </c>
      <c r="L682" s="1">
        <v>0.68550824600000004</v>
      </c>
      <c r="M682" s="3">
        <v>0.66941488999999998</v>
      </c>
      <c r="N682" s="1" t="s">
        <v>82</v>
      </c>
      <c r="O682" s="1">
        <v>1.4359576970000001</v>
      </c>
      <c r="P682" s="1">
        <v>51</v>
      </c>
      <c r="Q682" s="1">
        <v>85.1</v>
      </c>
      <c r="R682" s="1">
        <v>0.61891864766666671</v>
      </c>
      <c r="S682" s="1">
        <v>4.193427665223403E-2</v>
      </c>
      <c r="T682" t="s">
        <v>829</v>
      </c>
      <c r="U682" s="1">
        <v>96291</v>
      </c>
      <c r="V682">
        <f t="shared" si="40"/>
        <v>0.5537317441064924</v>
      </c>
      <c r="W682" s="1">
        <f t="shared" si="41"/>
        <v>47.400000000000006</v>
      </c>
      <c r="X682">
        <f t="shared" si="42"/>
        <v>0.10881374899999985</v>
      </c>
      <c r="Y682">
        <f t="shared" si="43"/>
        <v>74.599999999999994</v>
      </c>
      <c r="Z682" s="1">
        <v>3</v>
      </c>
      <c r="AA682">
        <v>97</v>
      </c>
      <c r="AB682">
        <v>3.09E-2</v>
      </c>
      <c r="AC682">
        <v>3</v>
      </c>
      <c r="AD682">
        <v>98</v>
      </c>
      <c r="AE682">
        <v>3.0599999999999999E-2</v>
      </c>
      <c r="AF682" t="s">
        <v>2589</v>
      </c>
      <c r="AG682" t="s">
        <v>2589</v>
      </c>
    </row>
    <row r="683" spans="1:33">
      <c r="A683" s="2" t="s">
        <v>127</v>
      </c>
      <c r="B683" s="2" t="s">
        <v>83</v>
      </c>
      <c r="C683" s="1">
        <v>0.50688118500000001</v>
      </c>
      <c r="D683">
        <v>0.64616698699999997</v>
      </c>
      <c r="E683">
        <v>0.65580376299999998</v>
      </c>
      <c r="F683" s="1" t="s">
        <v>128</v>
      </c>
      <c r="G683" s="1">
        <v>1.5447714459999999</v>
      </c>
      <c r="H683" s="1">
        <v>98.4</v>
      </c>
      <c r="I683" s="1">
        <v>159.69999999999999</v>
      </c>
      <c r="J683" s="1">
        <v>0.60295064500000006</v>
      </c>
      <c r="K683" s="1">
        <v>0.51815179099999997</v>
      </c>
      <c r="L683" s="1">
        <v>0.50115949400000004</v>
      </c>
      <c r="M683" s="3">
        <v>0.68053170600000001</v>
      </c>
      <c r="N683" s="1" t="s">
        <v>84</v>
      </c>
      <c r="O683" s="1">
        <v>1.760323887</v>
      </c>
      <c r="P683" s="1">
        <v>83.4</v>
      </c>
      <c r="Q683" s="1">
        <v>123.5</v>
      </c>
      <c r="R683" s="1">
        <v>0.56661433033333342</v>
      </c>
      <c r="S683" s="1">
        <v>0.14753193129205458</v>
      </c>
      <c r="T683" t="s">
        <v>830</v>
      </c>
      <c r="U683" s="1">
        <v>50796</v>
      </c>
      <c r="V683">
        <f t="shared" si="40"/>
        <v>0.52286994605795944</v>
      </c>
      <c r="W683" s="1">
        <f t="shared" si="41"/>
        <v>15</v>
      </c>
      <c r="X683">
        <f t="shared" si="42"/>
        <v>0.21555244100000004</v>
      </c>
      <c r="Y683">
        <f t="shared" si="43"/>
        <v>36.199999999999989</v>
      </c>
      <c r="Z683" s="1">
        <v>5</v>
      </c>
      <c r="AA683">
        <v>95</v>
      </c>
      <c r="AB683">
        <v>5.2600000000000001E-2</v>
      </c>
      <c r="AC683">
        <v>6</v>
      </c>
      <c r="AD683">
        <v>90</v>
      </c>
      <c r="AE683">
        <v>6.6699999999999995E-2</v>
      </c>
      <c r="AF683" t="s">
        <v>2589</v>
      </c>
      <c r="AG683" t="s">
        <v>2589</v>
      </c>
    </row>
    <row r="684" spans="1:33">
      <c r="A684" s="2" t="s">
        <v>127</v>
      </c>
      <c r="B684" s="2" t="s">
        <v>85</v>
      </c>
      <c r="C684" s="1">
        <v>0.50688118500000001</v>
      </c>
      <c r="D684">
        <v>0.64616698699999997</v>
      </c>
      <c r="E684">
        <v>0.65580376299999998</v>
      </c>
      <c r="F684" s="1" t="s">
        <v>128</v>
      </c>
      <c r="G684" s="1">
        <v>1.5447714459999999</v>
      </c>
      <c r="H684" s="1">
        <v>98.4</v>
      </c>
      <c r="I684" s="1">
        <v>159.69999999999999</v>
      </c>
      <c r="J684" s="1">
        <v>0.60295064500000006</v>
      </c>
      <c r="K684" s="1">
        <v>0.522280945</v>
      </c>
      <c r="L684" s="1">
        <v>0.58016629799999997</v>
      </c>
      <c r="M684" s="3">
        <v>0.62446713499999995</v>
      </c>
      <c r="N684" s="1" t="s">
        <v>86</v>
      </c>
      <c r="O684" s="1">
        <v>0.57177615599999998</v>
      </c>
      <c r="P684" s="1">
        <v>19.5</v>
      </c>
      <c r="Q684" s="1">
        <v>82.2</v>
      </c>
      <c r="R684" s="1">
        <v>0.57563812599999997</v>
      </c>
      <c r="S684" s="1">
        <v>7.4667448134663791E-2</v>
      </c>
      <c r="T684" t="s">
        <v>831</v>
      </c>
      <c r="U684" s="1">
        <v>695</v>
      </c>
      <c r="V684">
        <f t="shared" si="40"/>
        <v>0.3157760893989015</v>
      </c>
      <c r="W684" s="1">
        <f t="shared" si="41"/>
        <v>78.900000000000006</v>
      </c>
      <c r="X684">
        <f t="shared" si="42"/>
        <v>0.97299528999999996</v>
      </c>
      <c r="Y684">
        <f t="shared" si="43"/>
        <v>77.499999999999986</v>
      </c>
      <c r="Z684" s="1">
        <v>1</v>
      </c>
      <c r="AA684">
        <v>99</v>
      </c>
      <c r="AB684">
        <v>1.01E-2</v>
      </c>
      <c r="AC684">
        <v>2</v>
      </c>
      <c r="AD684">
        <v>159</v>
      </c>
      <c r="AE684">
        <v>1.26E-2</v>
      </c>
      <c r="AF684" t="s">
        <v>2589</v>
      </c>
      <c r="AG684" t="s">
        <v>2590</v>
      </c>
    </row>
    <row r="685" spans="1:33">
      <c r="A685" s="2" t="s">
        <v>127</v>
      </c>
      <c r="B685" s="2" t="s">
        <v>87</v>
      </c>
      <c r="C685" s="1">
        <v>0.50688118500000001</v>
      </c>
      <c r="D685">
        <v>0.64616698699999997</v>
      </c>
      <c r="E685">
        <v>0.65580376299999998</v>
      </c>
      <c r="F685" s="1" t="s">
        <v>128</v>
      </c>
      <c r="G685" s="1">
        <v>1.5447714459999999</v>
      </c>
      <c r="H685" s="1">
        <v>98.4</v>
      </c>
      <c r="I685" s="1">
        <v>159.69999999999999</v>
      </c>
      <c r="J685" s="1">
        <v>0.60295064500000006</v>
      </c>
      <c r="K685" s="1">
        <v>0.46780425199999998</v>
      </c>
      <c r="L685" s="1">
        <v>0.54149707400000002</v>
      </c>
      <c r="M685" s="3">
        <v>0.61626236400000001</v>
      </c>
      <c r="N685" s="1" t="s">
        <v>88</v>
      </c>
      <c r="O685" s="1">
        <v>1.395454545</v>
      </c>
      <c r="P685" s="1">
        <v>65.2</v>
      </c>
      <c r="Q685" s="1">
        <v>110</v>
      </c>
      <c r="R685" s="1">
        <v>0.54185456333333337</v>
      </c>
      <c r="S685" s="1">
        <v>0.11851717012733323</v>
      </c>
      <c r="T685" t="s">
        <v>832</v>
      </c>
      <c r="U685" s="1">
        <v>18976</v>
      </c>
      <c r="V685">
        <f t="shared" si="40"/>
        <v>0.47535607463157425</v>
      </c>
      <c r="W685" s="1">
        <f t="shared" si="41"/>
        <v>33.200000000000003</v>
      </c>
      <c r="X685">
        <f t="shared" si="42"/>
        <v>0.14931690099999995</v>
      </c>
      <c r="Y685">
        <f t="shared" si="43"/>
        <v>49.699999999999989</v>
      </c>
      <c r="Z685" s="1">
        <v>8</v>
      </c>
      <c r="AA685">
        <v>92</v>
      </c>
      <c r="AB685">
        <v>8.6999999999999994E-2</v>
      </c>
      <c r="AC685">
        <v>10</v>
      </c>
      <c r="AD685">
        <v>84</v>
      </c>
      <c r="AE685">
        <v>0.11899999999999999</v>
      </c>
      <c r="AF685" t="s">
        <v>2589</v>
      </c>
      <c r="AG685" t="s">
        <v>2590</v>
      </c>
    </row>
    <row r="686" spans="1:33">
      <c r="A686" s="2" t="s">
        <v>127</v>
      </c>
      <c r="B686" s="2" t="s">
        <v>89</v>
      </c>
      <c r="C686" s="1">
        <v>0.50688118500000001</v>
      </c>
      <c r="D686">
        <v>0.64616698699999997</v>
      </c>
      <c r="E686">
        <v>0.65580376299999998</v>
      </c>
      <c r="F686" s="1" t="s">
        <v>128</v>
      </c>
      <c r="G686" s="1">
        <v>1.5447714459999999</v>
      </c>
      <c r="H686" s="1">
        <v>98.4</v>
      </c>
      <c r="I686" s="1">
        <v>159.69999999999999</v>
      </c>
      <c r="J686" s="1">
        <v>0.60295064500000006</v>
      </c>
      <c r="K686" s="1">
        <v>0.51097051500000001</v>
      </c>
      <c r="L686" s="1">
        <v>0.61917891400000002</v>
      </c>
      <c r="M686" s="3">
        <v>0.60984479800000002</v>
      </c>
      <c r="N686" s="1" t="s">
        <v>90</v>
      </c>
      <c r="O686" s="1">
        <v>1.429752066</v>
      </c>
      <c r="P686" s="1">
        <v>59.8</v>
      </c>
      <c r="Q686" s="1">
        <v>108.9</v>
      </c>
      <c r="R686" s="1">
        <v>0.57999807566666661</v>
      </c>
      <c r="S686" s="1">
        <v>5.3453766639718174E-2</v>
      </c>
      <c r="T686" t="s">
        <v>833</v>
      </c>
      <c r="U686" s="1">
        <v>25237</v>
      </c>
      <c r="V686">
        <f t="shared" si="40"/>
        <v>0.48911530307958351</v>
      </c>
      <c r="W686" s="1">
        <f t="shared" si="41"/>
        <v>38.600000000000009</v>
      </c>
      <c r="X686">
        <f t="shared" si="42"/>
        <v>0.11501937999999989</v>
      </c>
      <c r="Y686">
        <f t="shared" si="43"/>
        <v>50.799999999999983</v>
      </c>
      <c r="Z686" s="1">
        <v>17</v>
      </c>
      <c r="AA686">
        <v>83</v>
      </c>
      <c r="AB686">
        <v>0.20480000000000001</v>
      </c>
      <c r="AC686">
        <v>18</v>
      </c>
      <c r="AD686">
        <v>85</v>
      </c>
      <c r="AE686">
        <v>0.21179999999999999</v>
      </c>
      <c r="AF686" t="s">
        <v>2589</v>
      </c>
      <c r="AG686" t="s">
        <v>2589</v>
      </c>
    </row>
    <row r="687" spans="1:33">
      <c r="A687" s="2" t="s">
        <v>127</v>
      </c>
      <c r="B687" s="2" t="s">
        <v>91</v>
      </c>
      <c r="C687" s="1">
        <v>0.50688118500000001</v>
      </c>
      <c r="D687">
        <v>0.64616698699999997</v>
      </c>
      <c r="E687">
        <v>0.65580376299999998</v>
      </c>
      <c r="F687" s="1" t="s">
        <v>128</v>
      </c>
      <c r="G687" s="1">
        <v>1.5447714459999999</v>
      </c>
      <c r="H687" s="1">
        <v>98.4</v>
      </c>
      <c r="I687" s="1">
        <v>159.69999999999999</v>
      </c>
      <c r="J687" s="1">
        <v>0.60295064500000006</v>
      </c>
      <c r="K687" s="1">
        <v>0.37439919700000002</v>
      </c>
      <c r="L687" s="1">
        <v>0.508839347</v>
      </c>
      <c r="M687" s="3">
        <v>0.52701193599999996</v>
      </c>
      <c r="N687" s="1" t="s">
        <v>92</v>
      </c>
      <c r="O687" s="1">
        <v>1.911504425</v>
      </c>
      <c r="P687" s="1">
        <v>24.6</v>
      </c>
      <c r="Q687" s="1">
        <v>33.9</v>
      </c>
      <c r="R687" s="1">
        <v>0.47008349333333332</v>
      </c>
      <c r="S687" s="1">
        <v>0.23021227715827772</v>
      </c>
      <c r="T687" t="s">
        <v>834</v>
      </c>
      <c r="U687" s="1">
        <v>719</v>
      </c>
      <c r="V687">
        <f t="shared" si="40"/>
        <v>0.31741432115365359</v>
      </c>
      <c r="W687" s="1">
        <f t="shared" si="41"/>
        <v>73.800000000000011</v>
      </c>
      <c r="X687">
        <f t="shared" si="42"/>
        <v>0.36673297900000001</v>
      </c>
      <c r="Y687">
        <f t="shared" si="43"/>
        <v>125.79999999999998</v>
      </c>
      <c r="Z687" s="1">
        <v>4</v>
      </c>
      <c r="AA687">
        <v>96</v>
      </c>
      <c r="AB687">
        <v>4.1700000000000001E-2</v>
      </c>
      <c r="AC687">
        <v>5</v>
      </c>
      <c r="AD687">
        <v>105</v>
      </c>
      <c r="AE687">
        <v>4.7600000000000003E-2</v>
      </c>
      <c r="AF687" t="s">
        <v>2589</v>
      </c>
      <c r="AG687" t="s">
        <v>2590</v>
      </c>
    </row>
    <row r="688" spans="1:33">
      <c r="A688" s="2" t="s">
        <v>127</v>
      </c>
      <c r="B688" s="2" t="s">
        <v>93</v>
      </c>
      <c r="C688" s="1">
        <v>0.50688118500000001</v>
      </c>
      <c r="D688">
        <v>0.64616698699999997</v>
      </c>
      <c r="E688">
        <v>0.65580376299999998</v>
      </c>
      <c r="F688" s="1" t="s">
        <v>128</v>
      </c>
      <c r="G688" s="1">
        <v>1.5447714459999999</v>
      </c>
      <c r="H688" s="1">
        <v>98.4</v>
      </c>
      <c r="I688" s="1">
        <v>159.69999999999999</v>
      </c>
      <c r="J688" s="1">
        <v>0.60295064500000006</v>
      </c>
      <c r="K688" s="1">
        <v>0.54134617200000001</v>
      </c>
      <c r="L688" s="1">
        <v>0.674899633</v>
      </c>
      <c r="M688" s="3">
        <v>0.719840174</v>
      </c>
      <c r="N688" s="1" t="s">
        <v>94</v>
      </c>
      <c r="O688" s="1">
        <v>1.175388967</v>
      </c>
      <c r="P688" s="1">
        <v>36.6</v>
      </c>
      <c r="Q688" s="1">
        <v>70.7</v>
      </c>
      <c r="R688" s="1">
        <v>0.64536199299999997</v>
      </c>
      <c r="S688" s="1">
        <v>7.8192469003302414E-2</v>
      </c>
      <c r="T688" t="s">
        <v>835</v>
      </c>
      <c r="U688" s="1">
        <v>66514</v>
      </c>
      <c r="V688">
        <f t="shared" si="40"/>
        <v>0.53587922956638268</v>
      </c>
      <c r="W688" s="1">
        <f t="shared" si="41"/>
        <v>61.800000000000004</v>
      </c>
      <c r="X688">
        <f t="shared" si="42"/>
        <v>0.36938247899999999</v>
      </c>
      <c r="Y688">
        <f t="shared" si="43"/>
        <v>88.999999999999986</v>
      </c>
      <c r="Z688" s="1">
        <v>15</v>
      </c>
      <c r="AA688">
        <v>85</v>
      </c>
      <c r="AB688">
        <v>0.17649999999999999</v>
      </c>
      <c r="AC688">
        <v>17</v>
      </c>
      <c r="AD688">
        <v>84</v>
      </c>
      <c r="AE688">
        <v>0.2024</v>
      </c>
      <c r="AF688" t="s">
        <v>2589</v>
      </c>
      <c r="AG688" t="s">
        <v>2589</v>
      </c>
    </row>
    <row r="689" spans="1:33">
      <c r="A689" s="2" t="s">
        <v>127</v>
      </c>
      <c r="B689" s="2" t="s">
        <v>95</v>
      </c>
      <c r="C689" s="1">
        <v>0.50688118500000001</v>
      </c>
      <c r="D689">
        <v>0.64616698699999997</v>
      </c>
      <c r="E689">
        <v>0.65580376299999998</v>
      </c>
      <c r="F689" s="1" t="s">
        <v>128</v>
      </c>
      <c r="G689" s="1">
        <v>1.5447714459999999</v>
      </c>
      <c r="H689" s="1">
        <v>98.4</v>
      </c>
      <c r="I689" s="1">
        <v>159.69999999999999</v>
      </c>
      <c r="J689" s="1">
        <v>0.60295064500000006</v>
      </c>
      <c r="K689" s="1">
        <v>0.59462093100000002</v>
      </c>
      <c r="L689" s="1">
        <v>0.68038960500000001</v>
      </c>
      <c r="M689" s="3">
        <v>0.72533004899999998</v>
      </c>
      <c r="N689" s="1" t="s">
        <v>96</v>
      </c>
      <c r="O689" s="1">
        <v>1.9717647060000001</v>
      </c>
      <c r="P689" s="1">
        <v>34.6</v>
      </c>
      <c r="Q689" s="1">
        <v>42.5</v>
      </c>
      <c r="R689" s="1">
        <v>0.66678019499999996</v>
      </c>
      <c r="S689" s="1">
        <v>0.11706133031822352</v>
      </c>
      <c r="T689" t="s">
        <v>836</v>
      </c>
      <c r="U689" s="1">
        <v>2639</v>
      </c>
      <c r="V689">
        <f t="shared" si="40"/>
        <v>0.38015993224667216</v>
      </c>
      <c r="W689" s="1">
        <f t="shared" si="41"/>
        <v>63.800000000000004</v>
      </c>
      <c r="X689">
        <f t="shared" si="42"/>
        <v>0.42699326000000015</v>
      </c>
      <c r="Y689">
        <f t="shared" si="43"/>
        <v>117.19999999999999</v>
      </c>
      <c r="Z689" s="1">
        <v>4</v>
      </c>
      <c r="AA689">
        <v>96</v>
      </c>
      <c r="AB689">
        <v>4.1700000000000001E-2</v>
      </c>
      <c r="AC689">
        <v>2</v>
      </c>
      <c r="AD689">
        <v>105</v>
      </c>
      <c r="AE689">
        <v>1.9E-2</v>
      </c>
      <c r="AF689" t="s">
        <v>2589</v>
      </c>
      <c r="AG689" t="s">
        <v>2593</v>
      </c>
    </row>
    <row r="690" spans="1:33">
      <c r="A690" s="2" t="s">
        <v>127</v>
      </c>
      <c r="B690" s="2" t="s">
        <v>97</v>
      </c>
      <c r="C690" s="1">
        <v>0.50688118500000001</v>
      </c>
      <c r="D690">
        <v>0.64616698699999997</v>
      </c>
      <c r="E690">
        <v>0.65580376299999998</v>
      </c>
      <c r="F690" s="1" t="s">
        <v>128</v>
      </c>
      <c r="G690" s="1">
        <v>1.5447714459999999</v>
      </c>
      <c r="H690" s="1">
        <v>98.4</v>
      </c>
      <c r="I690" s="1">
        <v>159.69999999999999</v>
      </c>
      <c r="J690" s="1">
        <v>0.60295064500000006</v>
      </c>
      <c r="K690" s="1">
        <v>0.63674842300000001</v>
      </c>
      <c r="L690" s="1">
        <v>0.68532635500000005</v>
      </c>
      <c r="M690" s="3">
        <v>0.727031494</v>
      </c>
      <c r="N690" s="1" t="s">
        <v>98</v>
      </c>
      <c r="O690" s="1">
        <v>2.360103627</v>
      </c>
      <c r="P690" s="1">
        <v>36.799999999999997</v>
      </c>
      <c r="Q690" s="1">
        <v>38.6</v>
      </c>
      <c r="R690" s="1">
        <v>0.68303542400000017</v>
      </c>
      <c r="S690" s="1">
        <v>0.15320687083586179</v>
      </c>
      <c r="T690" t="s">
        <v>837</v>
      </c>
      <c r="U690" s="1">
        <v>1500</v>
      </c>
      <c r="V690">
        <f t="shared" si="40"/>
        <v>0.35289902878396462</v>
      </c>
      <c r="W690" s="1">
        <f t="shared" si="41"/>
        <v>61.600000000000009</v>
      </c>
      <c r="X690">
        <f t="shared" si="42"/>
        <v>0.81533218100000004</v>
      </c>
      <c r="Y690">
        <f t="shared" si="43"/>
        <v>121.1</v>
      </c>
      <c r="Z690" s="1">
        <v>3</v>
      </c>
      <c r="AA690">
        <v>97</v>
      </c>
      <c r="AB690">
        <v>3.09E-2</v>
      </c>
      <c r="AC690">
        <v>2</v>
      </c>
      <c r="AD690">
        <v>105</v>
      </c>
      <c r="AE690">
        <v>1.9E-2</v>
      </c>
      <c r="AF690" t="s">
        <v>2589</v>
      </c>
      <c r="AG690" t="s">
        <v>2593</v>
      </c>
    </row>
    <row r="691" spans="1:33">
      <c r="A691" s="2" t="s">
        <v>127</v>
      </c>
      <c r="B691" s="2" t="s">
        <v>99</v>
      </c>
      <c r="C691" s="1">
        <v>0.50688118500000001</v>
      </c>
      <c r="D691">
        <v>0.64616698699999997</v>
      </c>
      <c r="E691">
        <v>0.65580376299999998</v>
      </c>
      <c r="F691" s="1" t="s">
        <v>128</v>
      </c>
      <c r="G691" s="1">
        <v>1.5447714459999999</v>
      </c>
      <c r="H691" s="1">
        <v>98.4</v>
      </c>
      <c r="I691" s="1">
        <v>159.69999999999999</v>
      </c>
      <c r="J691" s="1">
        <v>0.60295064500000006</v>
      </c>
      <c r="K691" s="1">
        <v>0.52525630099999998</v>
      </c>
      <c r="L691" s="1">
        <v>0.68706170200000005</v>
      </c>
      <c r="M691" s="3">
        <v>0.71473597300000002</v>
      </c>
      <c r="N691" s="1" t="s">
        <v>100</v>
      </c>
      <c r="O691" s="1">
        <v>1.72605042</v>
      </c>
      <c r="P691" s="1">
        <v>46.5</v>
      </c>
      <c r="Q691" s="1">
        <v>59.5</v>
      </c>
      <c r="R691" s="1">
        <v>0.64235132533333339</v>
      </c>
      <c r="S691" s="1">
        <v>7.4047471114338473E-2</v>
      </c>
      <c r="T691" t="s">
        <v>838</v>
      </c>
      <c r="U691" s="1">
        <v>58507</v>
      </c>
      <c r="V691">
        <f t="shared" si="40"/>
        <v>0.52968975887048697</v>
      </c>
      <c r="W691" s="1">
        <f t="shared" si="41"/>
        <v>51.900000000000006</v>
      </c>
      <c r="X691">
        <f t="shared" si="42"/>
        <v>0.18127897400000004</v>
      </c>
      <c r="Y691">
        <f t="shared" si="43"/>
        <v>100.19999999999999</v>
      </c>
      <c r="Z691" s="1">
        <v>0</v>
      </c>
      <c r="AA691">
        <v>100</v>
      </c>
      <c r="AB691">
        <v>0</v>
      </c>
      <c r="AC691">
        <v>0</v>
      </c>
      <c r="AD691">
        <v>109</v>
      </c>
      <c r="AE691">
        <v>0</v>
      </c>
      <c r="AF691" t="s">
        <v>2589</v>
      </c>
      <c r="AG691" t="s">
        <v>2589</v>
      </c>
    </row>
    <row r="692" spans="1:33">
      <c r="A692" s="2" t="s">
        <v>127</v>
      </c>
      <c r="B692" s="2" t="s">
        <v>148</v>
      </c>
      <c r="C692" s="1">
        <v>0.50688118500000001</v>
      </c>
      <c r="D692">
        <v>0.64616698699999997</v>
      </c>
      <c r="E692">
        <v>0.65580376299999998</v>
      </c>
      <c r="F692" s="1" t="s">
        <v>128</v>
      </c>
      <c r="G692" s="1">
        <v>1.5447714459999999</v>
      </c>
      <c r="H692" s="1">
        <v>98.4</v>
      </c>
      <c r="I692" s="1">
        <v>159.69999999999999</v>
      </c>
      <c r="J692" s="1">
        <v>0.60295064500000006</v>
      </c>
      <c r="K692" s="1">
        <v>0.52246277500000005</v>
      </c>
      <c r="L692" s="1">
        <v>0.64036274199999998</v>
      </c>
      <c r="M692" s="3">
        <v>0.62317592099999997</v>
      </c>
      <c r="N692" s="1" t="s">
        <v>149</v>
      </c>
      <c r="O692" s="1">
        <v>1.201000834</v>
      </c>
      <c r="P692" s="1">
        <v>59.2</v>
      </c>
      <c r="Q692" s="1">
        <v>119.9</v>
      </c>
      <c r="R692" s="1">
        <v>0.59533381266666663</v>
      </c>
      <c r="S692" s="1">
        <v>3.662036701789171E-2</v>
      </c>
      <c r="T692" t="s">
        <v>852</v>
      </c>
      <c r="U692" s="1">
        <v>20997</v>
      </c>
      <c r="V692">
        <f t="shared" si="40"/>
        <v>0.48023969424811974</v>
      </c>
      <c r="W692" s="1">
        <f t="shared" si="41"/>
        <v>39.200000000000003</v>
      </c>
      <c r="X692">
        <f t="shared" si="42"/>
        <v>0.34377061199999992</v>
      </c>
      <c r="Y692">
        <f t="shared" si="43"/>
        <v>39.799999999999983</v>
      </c>
      <c r="Z692" s="1">
        <v>18</v>
      </c>
      <c r="AA692">
        <v>82</v>
      </c>
      <c r="AB692">
        <v>0.2195</v>
      </c>
      <c r="AC692">
        <v>18</v>
      </c>
      <c r="AD692">
        <v>86</v>
      </c>
      <c r="AE692">
        <v>0.20930000000000001</v>
      </c>
      <c r="AF692" t="s">
        <v>2589</v>
      </c>
      <c r="AG692" t="s">
        <v>2589</v>
      </c>
    </row>
    <row r="693" spans="1:33">
      <c r="A693" s="2" t="s">
        <v>127</v>
      </c>
      <c r="B693" s="2" t="s">
        <v>101</v>
      </c>
      <c r="C693" s="1">
        <v>0.50688118500000001</v>
      </c>
      <c r="D693">
        <v>0.64616698699999997</v>
      </c>
      <c r="E693">
        <v>0.65580376299999998</v>
      </c>
      <c r="F693" s="1" t="s">
        <v>128</v>
      </c>
      <c r="G693" s="1">
        <v>1.5447714459999999</v>
      </c>
      <c r="H693" s="1">
        <v>98.4</v>
      </c>
      <c r="I693" s="1">
        <v>159.69999999999999</v>
      </c>
      <c r="J693" s="1">
        <v>0.60295064500000006</v>
      </c>
      <c r="K693" s="1">
        <v>0.57277697599999999</v>
      </c>
      <c r="L693" s="1">
        <v>0.64568820599999999</v>
      </c>
      <c r="M693" s="3">
        <v>0.70909993500000001</v>
      </c>
      <c r="N693" s="1" t="s">
        <v>102</v>
      </c>
      <c r="O693" s="1">
        <v>1.2818181820000001</v>
      </c>
      <c r="P693" s="1">
        <v>58</v>
      </c>
      <c r="Q693" s="1">
        <v>110</v>
      </c>
      <c r="R693" s="1">
        <v>0.64252170566666666</v>
      </c>
      <c r="S693" s="1">
        <v>8.4752383167762471E-2</v>
      </c>
      <c r="T693" t="s">
        <v>839</v>
      </c>
      <c r="U693" s="1">
        <v>63987</v>
      </c>
      <c r="V693">
        <f t="shared" si="40"/>
        <v>0.53401019432851038</v>
      </c>
      <c r="W693" s="1">
        <f t="shared" si="41"/>
        <v>40.400000000000006</v>
      </c>
      <c r="X693">
        <f t="shared" si="42"/>
        <v>0.26295326399999985</v>
      </c>
      <c r="Y693">
        <f t="shared" si="43"/>
        <v>49.699999999999989</v>
      </c>
      <c r="Z693" s="1">
        <v>15</v>
      </c>
      <c r="AA693">
        <v>85</v>
      </c>
      <c r="AB693">
        <v>0.17649999999999999</v>
      </c>
      <c r="AC693">
        <v>18</v>
      </c>
      <c r="AD693">
        <v>84</v>
      </c>
      <c r="AE693">
        <v>0.21429999999999999</v>
      </c>
      <c r="AF693" t="s">
        <v>2589</v>
      </c>
      <c r="AG693" t="s">
        <v>2589</v>
      </c>
    </row>
    <row r="694" spans="1:33">
      <c r="A694" s="2" t="s">
        <v>127</v>
      </c>
      <c r="B694" s="2" t="s">
        <v>103</v>
      </c>
      <c r="C694" s="1">
        <v>0.50688118500000001</v>
      </c>
      <c r="D694">
        <v>0.64616698699999997</v>
      </c>
      <c r="E694">
        <v>0.65580376299999998</v>
      </c>
      <c r="F694" s="1" t="s">
        <v>128</v>
      </c>
      <c r="G694" s="1">
        <v>1.5447714459999999</v>
      </c>
      <c r="H694" s="1">
        <v>98.4</v>
      </c>
      <c r="I694" s="1">
        <v>159.69999999999999</v>
      </c>
      <c r="J694" s="1">
        <v>0.60295064500000006</v>
      </c>
      <c r="K694" s="1">
        <v>0.58538445800000005</v>
      </c>
      <c r="L694" s="1">
        <v>0.70461059999999998</v>
      </c>
      <c r="M694" s="3">
        <v>0.67846608399999997</v>
      </c>
      <c r="N694" s="1" t="s">
        <v>104</v>
      </c>
      <c r="O694" s="1">
        <v>1.1020080320000001</v>
      </c>
      <c r="P694" s="1">
        <v>58.7</v>
      </c>
      <c r="Q694" s="1">
        <v>124.5</v>
      </c>
      <c r="R694" s="1">
        <v>0.65615371400000011</v>
      </c>
      <c r="S694" s="1">
        <v>0.1004589496526484</v>
      </c>
      <c r="T694" t="s">
        <v>840</v>
      </c>
      <c r="U694" s="1">
        <v>24899</v>
      </c>
      <c r="V694">
        <f t="shared" si="40"/>
        <v>0.48846465613333745</v>
      </c>
      <c r="W694" s="1">
        <f t="shared" si="41"/>
        <v>39.700000000000003</v>
      </c>
      <c r="X694">
        <f t="shared" si="42"/>
        <v>0.44276341399999986</v>
      </c>
      <c r="Y694">
        <f t="shared" si="43"/>
        <v>35.199999999999989</v>
      </c>
      <c r="Z694" s="1">
        <v>3</v>
      </c>
      <c r="AA694">
        <v>97</v>
      </c>
      <c r="AB694">
        <v>3.09E-2</v>
      </c>
      <c r="AC694">
        <v>3</v>
      </c>
      <c r="AD694">
        <v>100</v>
      </c>
      <c r="AE694">
        <v>0.03</v>
      </c>
      <c r="AF694" t="s">
        <v>2589</v>
      </c>
      <c r="AG694" t="s">
        <v>2589</v>
      </c>
    </row>
    <row r="695" spans="1:33">
      <c r="A695" s="2" t="s">
        <v>127</v>
      </c>
      <c r="B695" s="2" t="s">
        <v>105</v>
      </c>
      <c r="C695" s="1">
        <v>0.50688118500000001</v>
      </c>
      <c r="D695">
        <v>0.64616698699999997</v>
      </c>
      <c r="E695">
        <v>0.65580376299999998</v>
      </c>
      <c r="F695" s="1" t="s">
        <v>128</v>
      </c>
      <c r="G695" s="1">
        <v>1.5447714459999999</v>
      </c>
      <c r="H695" s="1">
        <v>98.4</v>
      </c>
      <c r="I695" s="1">
        <v>159.69999999999999</v>
      </c>
      <c r="J695" s="1">
        <v>0.60295064500000006</v>
      </c>
      <c r="K695" s="1">
        <v>0.56210716000000005</v>
      </c>
      <c r="L695" s="1">
        <v>0.68032504299999996</v>
      </c>
      <c r="M695" s="3">
        <v>0.71115907899999997</v>
      </c>
      <c r="N695" s="1" t="s">
        <v>106</v>
      </c>
      <c r="O695" s="1">
        <v>1.0978593270000001</v>
      </c>
      <c r="P695" s="1">
        <v>43.5</v>
      </c>
      <c r="Q695" s="1">
        <v>98.1</v>
      </c>
      <c r="R695" s="1">
        <v>0.65119709399999992</v>
      </c>
      <c r="S695" s="1">
        <v>8.5328143738508805E-2</v>
      </c>
      <c r="T695" t="s">
        <v>841</v>
      </c>
      <c r="U695" s="1">
        <v>33944</v>
      </c>
      <c r="V695">
        <f t="shared" si="40"/>
        <v>0.50341811319539553</v>
      </c>
      <c r="W695" s="1">
        <f t="shared" si="41"/>
        <v>54.900000000000006</v>
      </c>
      <c r="X695">
        <f t="shared" si="42"/>
        <v>0.44691211899999983</v>
      </c>
      <c r="Y695">
        <f t="shared" si="43"/>
        <v>61.599999999999994</v>
      </c>
      <c r="Z695" s="1">
        <v>4</v>
      </c>
      <c r="AA695">
        <v>96</v>
      </c>
      <c r="AB695">
        <v>4.1700000000000001E-2</v>
      </c>
      <c r="AC695">
        <v>3</v>
      </c>
      <c r="AD695">
        <v>118</v>
      </c>
      <c r="AE695">
        <v>2.5399999999999999E-2</v>
      </c>
      <c r="AF695" t="s">
        <v>2589</v>
      </c>
      <c r="AG695" t="s">
        <v>2589</v>
      </c>
    </row>
    <row r="696" spans="1:33">
      <c r="A696" s="2" t="s">
        <v>127</v>
      </c>
      <c r="B696" s="2" t="s">
        <v>107</v>
      </c>
      <c r="C696" s="1">
        <v>0.50688118500000001</v>
      </c>
      <c r="D696">
        <v>0.64616698699999997</v>
      </c>
      <c r="E696">
        <v>0.65580376299999998</v>
      </c>
      <c r="F696" s="1" t="s">
        <v>128</v>
      </c>
      <c r="G696" s="1">
        <v>1.5447714459999999</v>
      </c>
      <c r="H696" s="1">
        <v>98.4</v>
      </c>
      <c r="I696" s="1">
        <v>159.69999999999999</v>
      </c>
      <c r="J696" s="1">
        <v>0.60295064500000006</v>
      </c>
      <c r="K696" s="1">
        <v>0.61734740899999996</v>
      </c>
      <c r="L696" s="1">
        <v>0.68293216999999995</v>
      </c>
      <c r="M696" s="3">
        <v>0.69981194099999999</v>
      </c>
      <c r="N696" s="1" t="s">
        <v>108</v>
      </c>
      <c r="O696" s="1">
        <v>2</v>
      </c>
      <c r="P696" s="1">
        <v>19</v>
      </c>
      <c r="Q696" s="1">
        <v>21.1</v>
      </c>
      <c r="R696" s="1">
        <v>0.66669717333333323</v>
      </c>
      <c r="S696" s="1">
        <v>0.12446358928104773</v>
      </c>
      <c r="T696" t="s">
        <v>842</v>
      </c>
      <c r="U696" s="1">
        <v>2103</v>
      </c>
      <c r="V696">
        <f t="shared" si="40"/>
        <v>0.36920436363181347</v>
      </c>
      <c r="W696" s="1">
        <f t="shared" si="41"/>
        <v>79.400000000000006</v>
      </c>
      <c r="X696">
        <f t="shared" si="42"/>
        <v>0.45522855400000006</v>
      </c>
      <c r="Y696">
        <f t="shared" si="43"/>
        <v>138.6</v>
      </c>
      <c r="Z696" s="1">
        <v>0</v>
      </c>
      <c r="AA696">
        <v>100</v>
      </c>
      <c r="AB696">
        <v>0</v>
      </c>
      <c r="AC696">
        <v>1</v>
      </c>
      <c r="AD696">
        <v>96</v>
      </c>
      <c r="AE696">
        <v>1.04E-2</v>
      </c>
      <c r="AF696" t="s">
        <v>2589</v>
      </c>
      <c r="AG696" t="s">
        <v>2588</v>
      </c>
    </row>
    <row r="697" spans="1:33">
      <c r="A697" s="2" t="s">
        <v>127</v>
      </c>
      <c r="B697" s="2" t="s">
        <v>109</v>
      </c>
      <c r="C697" s="1">
        <v>0.50688118500000001</v>
      </c>
      <c r="D697">
        <v>0.64616698699999997</v>
      </c>
      <c r="E697">
        <v>0.65580376299999998</v>
      </c>
      <c r="F697" s="1" t="s">
        <v>128</v>
      </c>
      <c r="G697" s="1">
        <v>1.5447714459999999</v>
      </c>
      <c r="H697" s="1">
        <v>98.4</v>
      </c>
      <c r="I697" s="1">
        <v>159.69999999999999</v>
      </c>
      <c r="J697" s="1">
        <v>0.60295064500000006</v>
      </c>
      <c r="K697" s="1">
        <v>0.51638908800000005</v>
      </c>
      <c r="L697" s="1">
        <v>0.68684605300000001</v>
      </c>
      <c r="M697" s="3">
        <v>0.66065444600000001</v>
      </c>
      <c r="N697" s="1" t="s">
        <v>110</v>
      </c>
      <c r="O697" s="1">
        <v>1.2897862229999999</v>
      </c>
      <c r="P697" s="1">
        <v>49.4</v>
      </c>
      <c r="Q697" s="1">
        <v>84.2</v>
      </c>
      <c r="R697" s="1">
        <v>0.62129652899999999</v>
      </c>
      <c r="S697" s="1">
        <v>4.2056102478192844E-2</v>
      </c>
      <c r="T697" t="s">
        <v>843</v>
      </c>
      <c r="U697" s="1">
        <v>22102</v>
      </c>
      <c r="V697">
        <f t="shared" si="40"/>
        <v>0.48271461939720695</v>
      </c>
      <c r="W697" s="1">
        <f t="shared" si="41"/>
        <v>49.000000000000007</v>
      </c>
      <c r="X697">
        <f t="shared" si="42"/>
        <v>0.25498522300000004</v>
      </c>
      <c r="Y697">
        <f t="shared" si="43"/>
        <v>75.499999999999986</v>
      </c>
      <c r="Z697" s="1">
        <v>18</v>
      </c>
      <c r="AA697">
        <v>82</v>
      </c>
      <c r="AB697">
        <v>0.2195</v>
      </c>
      <c r="AC697">
        <v>23</v>
      </c>
      <c r="AD697">
        <v>95</v>
      </c>
      <c r="AE697">
        <v>0.24210000000000001</v>
      </c>
      <c r="AF697" t="s">
        <v>2589</v>
      </c>
      <c r="AG697" t="s">
        <v>2589</v>
      </c>
    </row>
    <row r="698" spans="1:33">
      <c r="A698" s="2" t="s">
        <v>127</v>
      </c>
      <c r="B698" s="2" t="s">
        <v>111</v>
      </c>
      <c r="C698" s="1">
        <v>0.50688118500000001</v>
      </c>
      <c r="D698">
        <v>0.64616698699999997</v>
      </c>
      <c r="E698">
        <v>0.65580376299999998</v>
      </c>
      <c r="F698" s="1" t="s">
        <v>128</v>
      </c>
      <c r="G698" s="1">
        <v>1.5447714459999999</v>
      </c>
      <c r="H698" s="1">
        <v>98.4</v>
      </c>
      <c r="I698" s="1">
        <v>159.69999999999999</v>
      </c>
      <c r="J698" s="1">
        <v>0.60295064500000006</v>
      </c>
      <c r="K698" s="1">
        <v>0.60132418300000001</v>
      </c>
      <c r="L698" s="1">
        <v>0.67605095299999995</v>
      </c>
      <c r="M698" s="3">
        <v>0.74222981799999999</v>
      </c>
      <c r="N698" s="1" t="s">
        <v>112</v>
      </c>
      <c r="O698" s="1">
        <v>1.561403509</v>
      </c>
      <c r="P698" s="1">
        <v>30</v>
      </c>
      <c r="Q698" s="1">
        <v>45.6</v>
      </c>
      <c r="R698" s="1">
        <v>0.67320165133333332</v>
      </c>
      <c r="S698" s="1">
        <v>0.13146099907569614</v>
      </c>
      <c r="T698" t="s">
        <v>844</v>
      </c>
      <c r="U698" s="1">
        <v>7644</v>
      </c>
      <c r="V698">
        <f t="shared" si="40"/>
        <v>0.43148007537588617</v>
      </c>
      <c r="W698" s="1">
        <f t="shared" si="41"/>
        <v>68.400000000000006</v>
      </c>
      <c r="X698">
        <f t="shared" si="42"/>
        <v>1.6632063000000086E-2</v>
      </c>
      <c r="Y698">
        <f t="shared" si="43"/>
        <v>114.1</v>
      </c>
      <c r="Z698" s="1">
        <v>5</v>
      </c>
      <c r="AA698">
        <v>95</v>
      </c>
      <c r="AB698">
        <v>5.2600000000000001E-2</v>
      </c>
      <c r="AC698">
        <v>4</v>
      </c>
      <c r="AD698">
        <v>109</v>
      </c>
      <c r="AE698">
        <v>3.6700000000000003E-2</v>
      </c>
      <c r="AF698" t="s">
        <v>2589</v>
      </c>
      <c r="AG698" t="s">
        <v>2591</v>
      </c>
    </row>
    <row r="699" spans="1:33">
      <c r="A699" s="2" t="s">
        <v>127</v>
      </c>
      <c r="B699" s="2" t="s">
        <v>113</v>
      </c>
      <c r="C699" s="1">
        <v>0.50688118500000001</v>
      </c>
      <c r="D699">
        <v>0.64616698699999997</v>
      </c>
      <c r="E699">
        <v>0.65580376299999998</v>
      </c>
      <c r="F699" s="1" t="s">
        <v>128</v>
      </c>
      <c r="G699" s="1">
        <v>1.5447714459999999</v>
      </c>
      <c r="H699" s="1">
        <v>98.4</v>
      </c>
      <c r="I699" s="1">
        <v>159.69999999999999</v>
      </c>
      <c r="J699" s="1">
        <v>0.60295064500000006</v>
      </c>
      <c r="K699" s="1">
        <v>0.57440698499999998</v>
      </c>
      <c r="L699" s="1">
        <v>0.66920790399999996</v>
      </c>
      <c r="M699" s="3">
        <v>0.71602402300000001</v>
      </c>
      <c r="N699" s="1" t="s">
        <v>114</v>
      </c>
      <c r="O699" s="1">
        <v>2.5573248409999998</v>
      </c>
      <c r="P699" s="1">
        <v>34.299999999999997</v>
      </c>
      <c r="Q699" s="1">
        <v>31.4</v>
      </c>
      <c r="R699" s="1">
        <v>0.65321297066666661</v>
      </c>
      <c r="S699" s="1">
        <v>9.3365396353833841E-2</v>
      </c>
      <c r="T699" t="s">
        <v>845</v>
      </c>
      <c r="U699" s="1">
        <v>23327</v>
      </c>
      <c r="V699">
        <f t="shared" si="40"/>
        <v>0.4853176543736562</v>
      </c>
      <c r="W699" s="1">
        <f t="shared" si="41"/>
        <v>64.100000000000009</v>
      </c>
      <c r="X699">
        <f t="shared" si="42"/>
        <v>1.0125533949999999</v>
      </c>
      <c r="Y699">
        <f t="shared" si="43"/>
        <v>128.29999999999998</v>
      </c>
      <c r="Z699" s="1">
        <v>3</v>
      </c>
      <c r="AA699">
        <v>97</v>
      </c>
      <c r="AB699">
        <v>3.09E-2</v>
      </c>
      <c r="AC699">
        <v>1</v>
      </c>
      <c r="AD699">
        <v>106</v>
      </c>
      <c r="AE699">
        <v>9.4000000000000004E-3</v>
      </c>
      <c r="AF699" t="s">
        <v>2589</v>
      </c>
      <c r="AG699" t="s">
        <v>2593</v>
      </c>
    </row>
    <row r="700" spans="1:33">
      <c r="A700" s="2" t="s">
        <v>127</v>
      </c>
      <c r="B700" s="2" t="s">
        <v>115</v>
      </c>
      <c r="C700" s="1">
        <v>0.50688118500000001</v>
      </c>
      <c r="D700">
        <v>0.64616698699999997</v>
      </c>
      <c r="E700">
        <v>0.65580376299999998</v>
      </c>
      <c r="F700" s="1" t="s">
        <v>128</v>
      </c>
      <c r="G700" s="1">
        <v>1.5447714459999999</v>
      </c>
      <c r="H700" s="1">
        <v>98.4</v>
      </c>
      <c r="I700" s="1">
        <v>159.69999999999999</v>
      </c>
      <c r="J700" s="1">
        <v>0.60295064500000006</v>
      </c>
      <c r="K700" s="1">
        <v>0.55237211100000005</v>
      </c>
      <c r="L700" s="1">
        <v>0.65961031000000003</v>
      </c>
      <c r="M700" s="3">
        <v>0.69215541599999997</v>
      </c>
      <c r="N700" s="1" t="s">
        <v>116</v>
      </c>
      <c r="O700" s="1">
        <v>1.149700599</v>
      </c>
      <c r="P700" s="1">
        <v>66.900000000000006</v>
      </c>
      <c r="Q700" s="1">
        <v>133.6</v>
      </c>
      <c r="R700" s="1">
        <v>0.63471261233333331</v>
      </c>
      <c r="S700" s="1">
        <v>5.976278070381446E-2</v>
      </c>
      <c r="T700" t="s">
        <v>846</v>
      </c>
      <c r="U700" s="1">
        <v>26897</v>
      </c>
      <c r="V700">
        <f t="shared" si="40"/>
        <v>0.49218931588584131</v>
      </c>
      <c r="W700" s="1">
        <f t="shared" si="41"/>
        <v>31.5</v>
      </c>
      <c r="X700">
        <f t="shared" si="42"/>
        <v>0.39507084699999995</v>
      </c>
      <c r="Y700">
        <f t="shared" si="43"/>
        <v>26.099999999999994</v>
      </c>
      <c r="Z700" s="1">
        <v>10</v>
      </c>
      <c r="AA700">
        <v>90</v>
      </c>
      <c r="AB700">
        <v>0.1111</v>
      </c>
      <c r="AC700">
        <v>12</v>
      </c>
      <c r="AD700">
        <v>100</v>
      </c>
      <c r="AE700">
        <v>0.12</v>
      </c>
      <c r="AF700" t="s">
        <v>2589</v>
      </c>
      <c r="AG700" t="s">
        <v>2589</v>
      </c>
    </row>
    <row r="701" spans="1:33">
      <c r="A701" s="2" t="s">
        <v>127</v>
      </c>
      <c r="B701" s="2" t="s">
        <v>117</v>
      </c>
      <c r="C701" s="1">
        <v>0.50688118500000001</v>
      </c>
      <c r="D701">
        <v>0.64616698699999997</v>
      </c>
      <c r="E701">
        <v>0.65580376299999998</v>
      </c>
      <c r="F701" s="1" t="s">
        <v>128</v>
      </c>
      <c r="G701" s="1">
        <v>1.5447714459999999</v>
      </c>
      <c r="H701" s="1">
        <v>98.4</v>
      </c>
      <c r="I701" s="1">
        <v>159.69999999999999</v>
      </c>
      <c r="J701" s="1">
        <v>0.60295064500000006</v>
      </c>
      <c r="K701" s="1">
        <v>0.52788907299999999</v>
      </c>
      <c r="L701" s="1">
        <v>0.665074418</v>
      </c>
      <c r="M701" s="3">
        <v>0.69056128699999997</v>
      </c>
      <c r="N701" s="1" t="s">
        <v>118</v>
      </c>
      <c r="O701" s="1">
        <v>1.0818253339999999</v>
      </c>
      <c r="P701" s="1">
        <v>58.4</v>
      </c>
      <c r="Q701" s="1">
        <v>127.1</v>
      </c>
      <c r="R701" s="1">
        <v>0.62784159266666661</v>
      </c>
      <c r="S701" s="1">
        <v>4.4798524304388417E-2</v>
      </c>
      <c r="T701" t="s">
        <v>847</v>
      </c>
      <c r="U701" s="1">
        <v>101115</v>
      </c>
      <c r="V701">
        <f t="shared" si="40"/>
        <v>0.55609062068827475</v>
      </c>
      <c r="W701" s="1">
        <f t="shared" si="41"/>
        <v>40.000000000000007</v>
      </c>
      <c r="X701">
        <f t="shared" si="42"/>
        <v>0.46294611200000002</v>
      </c>
      <c r="Y701">
        <f t="shared" si="43"/>
        <v>32.599999999999994</v>
      </c>
      <c r="Z701" s="1">
        <v>24</v>
      </c>
      <c r="AA701">
        <v>76</v>
      </c>
      <c r="AB701">
        <v>0.31580000000000003</v>
      </c>
      <c r="AC701">
        <v>29</v>
      </c>
      <c r="AD701">
        <v>95</v>
      </c>
      <c r="AE701">
        <v>0.30530000000000002</v>
      </c>
      <c r="AF701" t="s">
        <v>2589</v>
      </c>
      <c r="AG701" t="s">
        <v>2589</v>
      </c>
    </row>
    <row r="702" spans="1:33">
      <c r="A702" s="2" t="s">
        <v>127</v>
      </c>
      <c r="B702" s="2" t="s">
        <v>119</v>
      </c>
      <c r="C702" s="1">
        <v>0.50688118500000001</v>
      </c>
      <c r="D702">
        <v>0.64616698699999997</v>
      </c>
      <c r="E702">
        <v>0.65580376299999998</v>
      </c>
      <c r="F702" s="1" t="s">
        <v>128</v>
      </c>
      <c r="G702" s="1">
        <v>1.5447714459999999</v>
      </c>
      <c r="H702" s="1">
        <v>98.4</v>
      </c>
      <c r="I702" s="1">
        <v>159.69999999999999</v>
      </c>
      <c r="J702" s="1">
        <v>0.60295064500000006</v>
      </c>
      <c r="K702" s="1">
        <v>0.48582609999999998</v>
      </c>
      <c r="L702" s="1">
        <v>0.67226483999999997</v>
      </c>
      <c r="M702" s="3">
        <v>0.68571362400000002</v>
      </c>
      <c r="N702" s="1" t="s">
        <v>120</v>
      </c>
      <c r="O702" s="1">
        <v>1.1435028249999999</v>
      </c>
      <c r="P702" s="1">
        <v>42.6</v>
      </c>
      <c r="Q702" s="1">
        <v>88.5</v>
      </c>
      <c r="R702" s="1">
        <v>0.61460152133333334</v>
      </c>
      <c r="S702" s="1">
        <v>4.4933443231140867E-2</v>
      </c>
      <c r="T702" t="s">
        <v>848</v>
      </c>
      <c r="U702" s="1">
        <v>23956</v>
      </c>
      <c r="V702">
        <f t="shared" si="40"/>
        <v>0.48660158937913006</v>
      </c>
      <c r="W702" s="1">
        <f t="shared" si="41"/>
        <v>55.800000000000004</v>
      </c>
      <c r="X702">
        <f t="shared" si="42"/>
        <v>0.40126862100000005</v>
      </c>
      <c r="Y702">
        <f t="shared" si="43"/>
        <v>71.199999999999989</v>
      </c>
      <c r="Z702" s="1">
        <v>14</v>
      </c>
      <c r="AA702">
        <v>86</v>
      </c>
      <c r="AB702">
        <v>0.1628</v>
      </c>
      <c r="AC702">
        <v>18</v>
      </c>
      <c r="AD702">
        <v>94</v>
      </c>
      <c r="AE702">
        <v>0.1915</v>
      </c>
      <c r="AF702" t="s">
        <v>2589</v>
      </c>
      <c r="AG702" t="s">
        <v>2589</v>
      </c>
    </row>
    <row r="703" spans="1:33">
      <c r="A703" s="2" t="s">
        <v>127</v>
      </c>
      <c r="B703" s="2" t="s">
        <v>121</v>
      </c>
      <c r="C703" s="1">
        <v>0.50688118500000001</v>
      </c>
      <c r="D703">
        <v>0.64616698699999997</v>
      </c>
      <c r="E703">
        <v>0.65580376299999998</v>
      </c>
      <c r="F703" s="1" t="s">
        <v>128</v>
      </c>
      <c r="G703" s="1">
        <v>1.5447714459999999</v>
      </c>
      <c r="H703" s="1">
        <v>98.4</v>
      </c>
      <c r="I703" s="1">
        <v>159.69999999999999</v>
      </c>
      <c r="J703" s="1">
        <v>0.60295064500000006</v>
      </c>
      <c r="K703" s="1">
        <v>0.57363214500000004</v>
      </c>
      <c r="L703" s="1">
        <v>0.65876685800000001</v>
      </c>
      <c r="M703" s="3">
        <v>0.71110834000000001</v>
      </c>
      <c r="N703" s="1" t="s">
        <v>122</v>
      </c>
      <c r="O703" s="1">
        <v>2.4518664050000001</v>
      </c>
      <c r="P703" s="1">
        <v>50.1</v>
      </c>
      <c r="Q703" s="1">
        <v>50.9</v>
      </c>
      <c r="R703" s="1">
        <v>0.64783578100000005</v>
      </c>
      <c r="S703" s="1">
        <v>8.7595911133380971E-2</v>
      </c>
      <c r="T703" t="s">
        <v>849</v>
      </c>
      <c r="U703" s="1">
        <v>9364</v>
      </c>
      <c r="V703">
        <f t="shared" si="40"/>
        <v>0.44127348944717631</v>
      </c>
      <c r="W703" s="1">
        <f t="shared" si="41"/>
        <v>48.300000000000004</v>
      </c>
      <c r="X703">
        <f t="shared" si="42"/>
        <v>0.90709495900000015</v>
      </c>
      <c r="Y703">
        <f t="shared" si="43"/>
        <v>108.79999999999998</v>
      </c>
      <c r="Z703" s="1">
        <v>5</v>
      </c>
      <c r="AA703">
        <v>95</v>
      </c>
      <c r="AB703">
        <v>5.2600000000000001E-2</v>
      </c>
      <c r="AC703">
        <v>4</v>
      </c>
      <c r="AD703">
        <v>115</v>
      </c>
      <c r="AE703">
        <v>3.4799999999999998E-2</v>
      </c>
      <c r="AF703" t="s">
        <v>2589</v>
      </c>
      <c r="AG703" t="s">
        <v>2593</v>
      </c>
    </row>
    <row r="704" spans="1:33">
      <c r="A704" s="2" t="s">
        <v>127</v>
      </c>
      <c r="B704" s="2" t="s">
        <v>123</v>
      </c>
      <c r="C704" s="1">
        <v>0.50688118500000001</v>
      </c>
      <c r="D704">
        <v>0.64616698699999997</v>
      </c>
      <c r="E704">
        <v>0.65580376299999998</v>
      </c>
      <c r="F704" s="1" t="s">
        <v>128</v>
      </c>
      <c r="G704" s="1">
        <v>1.5447714459999999</v>
      </c>
      <c r="H704" s="1">
        <v>98.4</v>
      </c>
      <c r="I704" s="1">
        <v>159.69999999999999</v>
      </c>
      <c r="J704" s="1">
        <v>0.60295064500000006</v>
      </c>
      <c r="K704" s="1">
        <v>0.59184352799999995</v>
      </c>
      <c r="L704" s="1">
        <v>0.67011857600000002</v>
      </c>
      <c r="M704" s="3">
        <v>0.74025419199999998</v>
      </c>
      <c r="N704" s="1" t="s">
        <v>124</v>
      </c>
      <c r="O704" s="1">
        <v>1.7166666669999999</v>
      </c>
      <c r="P704" s="1">
        <v>26</v>
      </c>
      <c r="Q704" s="1">
        <v>36</v>
      </c>
      <c r="R704" s="1">
        <v>0.66740543199999991</v>
      </c>
      <c r="S704" s="1">
        <v>0.12216445187516131</v>
      </c>
      <c r="T704" t="s">
        <v>850</v>
      </c>
      <c r="U704" s="1">
        <v>5326</v>
      </c>
      <c r="V704">
        <f t="shared" si="40"/>
        <v>0.41404457356699137</v>
      </c>
      <c r="W704" s="1">
        <f t="shared" si="41"/>
        <v>72.400000000000006</v>
      </c>
      <c r="X704">
        <f t="shared" si="42"/>
        <v>0.17189522099999999</v>
      </c>
      <c r="Y704">
        <f t="shared" si="43"/>
        <v>123.69999999999999</v>
      </c>
      <c r="Z704" s="1">
        <v>4</v>
      </c>
      <c r="AA704">
        <v>96</v>
      </c>
      <c r="AB704">
        <v>4.1700000000000001E-2</v>
      </c>
      <c r="AC704">
        <v>2</v>
      </c>
      <c r="AD704">
        <v>112</v>
      </c>
      <c r="AE704">
        <v>1.7899999999999999E-2</v>
      </c>
      <c r="AF704" t="s">
        <v>2589</v>
      </c>
      <c r="AG704" t="s">
        <v>2591</v>
      </c>
    </row>
    <row r="705" spans="1:33">
      <c r="A705" s="2" t="s">
        <v>127</v>
      </c>
      <c r="B705" s="2" t="s">
        <v>125</v>
      </c>
      <c r="C705" s="1">
        <v>0.50688118500000001</v>
      </c>
      <c r="D705">
        <v>0.64616698699999997</v>
      </c>
      <c r="E705">
        <v>0.65580376299999998</v>
      </c>
      <c r="F705" s="1" t="s">
        <v>128</v>
      </c>
      <c r="G705" s="1">
        <v>1.5447714459999999</v>
      </c>
      <c r="H705" s="1">
        <v>98.4</v>
      </c>
      <c r="I705" s="1">
        <v>159.69999999999999</v>
      </c>
      <c r="J705" s="1">
        <v>0.60295064500000006</v>
      </c>
      <c r="K705" s="1">
        <v>0.611478776</v>
      </c>
      <c r="L705" s="1">
        <v>0.67681801600000002</v>
      </c>
      <c r="M705" s="3">
        <v>0.73326355300000001</v>
      </c>
      <c r="N705" s="1" t="s">
        <v>126</v>
      </c>
      <c r="O705" s="1">
        <v>1.6431372550000001</v>
      </c>
      <c r="P705" s="1">
        <v>35.1</v>
      </c>
      <c r="Q705" s="1">
        <v>51</v>
      </c>
      <c r="R705" s="1">
        <v>0.67385344833333338</v>
      </c>
      <c r="S705" s="1">
        <v>0.13371671805950902</v>
      </c>
      <c r="T705" t="s">
        <v>851</v>
      </c>
      <c r="U705" s="1">
        <v>5527</v>
      </c>
      <c r="V705">
        <f t="shared" si="40"/>
        <v>0.41583216273130835</v>
      </c>
      <c r="W705" s="1">
        <f t="shared" si="41"/>
        <v>63.300000000000004</v>
      </c>
      <c r="X705">
        <f t="shared" si="42"/>
        <v>9.8365809000000137E-2</v>
      </c>
      <c r="Y705">
        <f t="shared" si="43"/>
        <v>108.69999999999999</v>
      </c>
      <c r="Z705" s="1">
        <v>5</v>
      </c>
      <c r="AA705">
        <v>95</v>
      </c>
      <c r="AB705">
        <v>5.2600000000000001E-2</v>
      </c>
      <c r="AC705">
        <v>6</v>
      </c>
      <c r="AD705">
        <v>118</v>
      </c>
      <c r="AE705">
        <v>5.0799999999999998E-2</v>
      </c>
      <c r="AF705" t="s">
        <v>2589</v>
      </c>
      <c r="AG705" t="s">
        <v>2591</v>
      </c>
    </row>
    <row r="706" spans="1:33">
      <c r="A706" s="2" t="s">
        <v>125</v>
      </c>
      <c r="B706" s="2" t="s">
        <v>10</v>
      </c>
      <c r="C706" s="1">
        <v>0.611478776</v>
      </c>
      <c r="D706">
        <v>0.67681801600000002</v>
      </c>
      <c r="E706">
        <v>0.73326355300000001</v>
      </c>
      <c r="F706" s="1" t="s">
        <v>126</v>
      </c>
      <c r="G706" s="1">
        <v>1.6431372550000001</v>
      </c>
      <c r="H706" s="1">
        <v>35.1</v>
      </c>
      <c r="I706" s="1">
        <v>51</v>
      </c>
      <c r="J706" s="1">
        <v>0.67385344833333338</v>
      </c>
      <c r="K706" s="1">
        <v>0.52456325500000001</v>
      </c>
      <c r="L706" s="1">
        <v>0.61925627999999999</v>
      </c>
      <c r="M706" s="3">
        <v>0.72111139899999999</v>
      </c>
      <c r="N706" s="1" t="s">
        <v>12</v>
      </c>
      <c r="O706" s="1">
        <v>0.61690647499999995</v>
      </c>
      <c r="P706" s="1">
        <v>30</v>
      </c>
      <c r="Q706" s="1">
        <v>111.2</v>
      </c>
      <c r="R706" s="1">
        <v>0.62164364466666666</v>
      </c>
      <c r="S706" s="1">
        <v>0.10495397128682105</v>
      </c>
      <c r="T706" t="s">
        <v>853</v>
      </c>
      <c r="U706" s="1">
        <v>161</v>
      </c>
      <c r="V706">
        <f t="shared" ref="V706:V769" si="44">LOG10(U706) / 9</f>
        <v>0.24520287511464994</v>
      </c>
      <c r="W706" s="1">
        <f t="shared" ref="W706:W769" si="45">ABS(H706-P706)</f>
        <v>5.1000000000000014</v>
      </c>
      <c r="X706">
        <f t="shared" ref="X706:X769" si="46">ABS(G706-O706)</f>
        <v>1.0262307800000001</v>
      </c>
      <c r="Y706">
        <f t="shared" ref="Y706:Y769" si="47">ABS(I706-Q706)</f>
        <v>60.2</v>
      </c>
      <c r="Z706" s="1">
        <v>1</v>
      </c>
      <c r="AA706">
        <v>99</v>
      </c>
      <c r="AB706">
        <v>1.01E-2</v>
      </c>
      <c r="AC706">
        <v>2</v>
      </c>
      <c r="AD706">
        <v>167</v>
      </c>
      <c r="AE706">
        <v>1.2E-2</v>
      </c>
      <c r="AF706" t="s">
        <v>2591</v>
      </c>
      <c r="AG706" t="s">
        <v>2588</v>
      </c>
    </row>
    <row r="707" spans="1:33">
      <c r="A707" s="2" t="s">
        <v>125</v>
      </c>
      <c r="B707" s="2" t="s">
        <v>13</v>
      </c>
      <c r="C707" s="1">
        <v>0.611478776</v>
      </c>
      <c r="D707">
        <v>0.67681801600000002</v>
      </c>
      <c r="E707">
        <v>0.73326355300000001</v>
      </c>
      <c r="F707" s="1" t="s">
        <v>126</v>
      </c>
      <c r="G707" s="1">
        <v>1.6431372550000001</v>
      </c>
      <c r="H707" s="1">
        <v>35.1</v>
      </c>
      <c r="I707" s="1">
        <v>51</v>
      </c>
      <c r="J707" s="1">
        <v>0.67385344833333338</v>
      </c>
      <c r="K707" s="1">
        <v>0.48695497399999998</v>
      </c>
      <c r="L707" s="1">
        <v>0.54991327199999995</v>
      </c>
      <c r="M707" s="3">
        <v>0.67282609299999996</v>
      </c>
      <c r="N707" s="1" t="s">
        <v>14</v>
      </c>
      <c r="O707" s="1">
        <v>1.6052009460000001</v>
      </c>
      <c r="P707" s="1">
        <v>26.6</v>
      </c>
      <c r="Q707" s="1">
        <v>42.3</v>
      </c>
      <c r="R707" s="1">
        <v>0.56989811299999993</v>
      </c>
      <c r="S707" s="1">
        <v>0.18778625584821795</v>
      </c>
      <c r="T707" t="s">
        <v>854</v>
      </c>
      <c r="U707" s="1">
        <v>110</v>
      </c>
      <c r="V707">
        <f t="shared" si="44"/>
        <v>0.226821409462025</v>
      </c>
      <c r="W707" s="1">
        <f t="shared" si="45"/>
        <v>8.5</v>
      </c>
      <c r="X707">
        <f t="shared" si="46"/>
        <v>3.7936309000000001E-2</v>
      </c>
      <c r="Y707">
        <f t="shared" si="47"/>
        <v>8.7000000000000028</v>
      </c>
      <c r="Z707" s="1">
        <v>1</v>
      </c>
      <c r="AA707">
        <v>99</v>
      </c>
      <c r="AB707">
        <v>1.01E-2</v>
      </c>
      <c r="AC707">
        <v>2</v>
      </c>
      <c r="AD707">
        <v>114</v>
      </c>
      <c r="AE707">
        <v>1.7500000000000002E-2</v>
      </c>
      <c r="AF707" t="s">
        <v>2591</v>
      </c>
      <c r="AG707" t="s">
        <v>2590</v>
      </c>
    </row>
    <row r="708" spans="1:33">
      <c r="A708" s="2" t="s">
        <v>125</v>
      </c>
      <c r="B708" s="2" t="s">
        <v>15</v>
      </c>
      <c r="C708" s="1">
        <v>0.611478776</v>
      </c>
      <c r="D708">
        <v>0.67681801600000002</v>
      </c>
      <c r="E708">
        <v>0.73326355300000001</v>
      </c>
      <c r="F708" s="1" t="s">
        <v>126</v>
      </c>
      <c r="G708" s="1">
        <v>1.6431372550000001</v>
      </c>
      <c r="H708" s="1">
        <v>35.1</v>
      </c>
      <c r="I708" s="1">
        <v>51</v>
      </c>
      <c r="J708" s="1">
        <v>0.67385344833333338</v>
      </c>
      <c r="K708" s="1">
        <v>0.54560998800000005</v>
      </c>
      <c r="L708" s="1">
        <v>0.66721428400000005</v>
      </c>
      <c r="M708" s="3">
        <v>0.72650398400000005</v>
      </c>
      <c r="N708" s="1" t="s">
        <v>16</v>
      </c>
      <c r="O708" s="1">
        <v>5.1392405060000002</v>
      </c>
      <c r="P708" s="1">
        <v>35.9</v>
      </c>
      <c r="Q708" s="1">
        <v>15.8</v>
      </c>
      <c r="R708" s="1">
        <v>0.64644275200000012</v>
      </c>
      <c r="S708" s="1">
        <v>6.6907553190820854E-2</v>
      </c>
      <c r="T708" t="s">
        <v>855</v>
      </c>
      <c r="U708" s="1">
        <v>163603</v>
      </c>
      <c r="V708">
        <f t="shared" si="44"/>
        <v>0.57931014034417005</v>
      </c>
      <c r="W708" s="1">
        <f t="shared" si="45"/>
        <v>0.79999999999999716</v>
      </c>
      <c r="X708">
        <f t="shared" si="46"/>
        <v>3.4961032510000001</v>
      </c>
      <c r="Y708">
        <f t="shared" si="47"/>
        <v>35.200000000000003</v>
      </c>
      <c r="Z708" s="1">
        <v>21</v>
      </c>
      <c r="AA708">
        <v>79</v>
      </c>
      <c r="AB708">
        <v>0.26579999999999998</v>
      </c>
      <c r="AC708">
        <v>25</v>
      </c>
      <c r="AD708">
        <v>87</v>
      </c>
      <c r="AE708">
        <v>0.28739999999999999</v>
      </c>
      <c r="AF708" t="s">
        <v>2591</v>
      </c>
      <c r="AG708" t="s">
        <v>2591</v>
      </c>
    </row>
    <row r="709" spans="1:33">
      <c r="A709" s="2" t="s">
        <v>125</v>
      </c>
      <c r="B709" s="2" t="s">
        <v>17</v>
      </c>
      <c r="C709" s="1">
        <v>0.611478776</v>
      </c>
      <c r="D709">
        <v>0.67681801600000002</v>
      </c>
      <c r="E709">
        <v>0.73326355300000001</v>
      </c>
      <c r="F709" s="1" t="s">
        <v>126</v>
      </c>
      <c r="G709" s="1">
        <v>1.6431372550000001</v>
      </c>
      <c r="H709" s="1">
        <v>35.1</v>
      </c>
      <c r="I709" s="1">
        <v>51</v>
      </c>
      <c r="J709" s="1">
        <v>0.67385344833333338</v>
      </c>
      <c r="K709" s="1">
        <v>0.659112378</v>
      </c>
      <c r="L709" s="1">
        <v>0.68333493499999998</v>
      </c>
      <c r="M709" s="3">
        <v>0.70345495199999997</v>
      </c>
      <c r="N709" s="1" t="s">
        <v>18</v>
      </c>
      <c r="O709" s="1">
        <v>1.9463955639999999</v>
      </c>
      <c r="P709" s="1">
        <v>46.3</v>
      </c>
      <c r="Q709" s="1">
        <v>54.1</v>
      </c>
      <c r="R709" s="1">
        <v>0.68196742166666668</v>
      </c>
      <c r="S709" s="1">
        <v>5.6568391936877328E-2</v>
      </c>
      <c r="T709" t="s">
        <v>856</v>
      </c>
      <c r="U709" s="1">
        <v>20121</v>
      </c>
      <c r="V709">
        <f t="shared" si="44"/>
        <v>0.47818328456225712</v>
      </c>
      <c r="W709" s="1">
        <f t="shared" si="45"/>
        <v>11.199999999999996</v>
      </c>
      <c r="X709">
        <f t="shared" si="46"/>
        <v>0.30325830899999984</v>
      </c>
      <c r="Y709">
        <f t="shared" si="47"/>
        <v>3.1000000000000014</v>
      </c>
      <c r="Z709" s="1">
        <v>18</v>
      </c>
      <c r="AA709">
        <v>82</v>
      </c>
      <c r="AB709">
        <v>0.2195</v>
      </c>
      <c r="AC709">
        <v>22</v>
      </c>
      <c r="AD709">
        <v>104</v>
      </c>
      <c r="AE709">
        <v>0.21149999999999999</v>
      </c>
      <c r="AF709" t="s">
        <v>2591</v>
      </c>
      <c r="AG709" t="s">
        <v>2591</v>
      </c>
    </row>
    <row r="710" spans="1:33">
      <c r="A710" s="2" t="s">
        <v>125</v>
      </c>
      <c r="B710" s="2" t="s">
        <v>19</v>
      </c>
      <c r="C710" s="1">
        <v>0.611478776</v>
      </c>
      <c r="D710">
        <v>0.67681801600000002</v>
      </c>
      <c r="E710">
        <v>0.73326355300000001</v>
      </c>
      <c r="F710" s="1" t="s">
        <v>126</v>
      </c>
      <c r="G710" s="1">
        <v>1.6431372550000001</v>
      </c>
      <c r="H710" s="1">
        <v>35.1</v>
      </c>
      <c r="I710" s="1">
        <v>51</v>
      </c>
      <c r="J710" s="1">
        <v>0.67385344833333338</v>
      </c>
      <c r="K710" s="1">
        <v>0.49391595300000002</v>
      </c>
      <c r="L710" s="1">
        <v>0.603599314</v>
      </c>
      <c r="M710" s="3">
        <v>0.63481471599999995</v>
      </c>
      <c r="N710" s="1" t="s">
        <v>20</v>
      </c>
      <c r="O710" s="1">
        <v>1.2140902870000001</v>
      </c>
      <c r="P710" s="1">
        <v>64.900000000000006</v>
      </c>
      <c r="Q710" s="1">
        <v>146.19999999999999</v>
      </c>
      <c r="R710" s="1">
        <v>0.57744332766666662</v>
      </c>
      <c r="S710" s="1">
        <v>0.16992401001902796</v>
      </c>
      <c r="T710" t="s">
        <v>857</v>
      </c>
      <c r="U710" s="1">
        <v>5370</v>
      </c>
      <c r="V710">
        <f t="shared" si="44"/>
        <v>0.41444158729995062</v>
      </c>
      <c r="W710" s="1">
        <f t="shared" si="45"/>
        <v>29.800000000000004</v>
      </c>
      <c r="X710">
        <f t="shared" si="46"/>
        <v>0.42904696799999997</v>
      </c>
      <c r="Y710">
        <f t="shared" si="47"/>
        <v>95.199999999999989</v>
      </c>
      <c r="Z710" s="1">
        <v>3</v>
      </c>
      <c r="AA710">
        <v>97</v>
      </c>
      <c r="AB710">
        <v>3.09E-2</v>
      </c>
      <c r="AC710">
        <v>5</v>
      </c>
      <c r="AD710">
        <v>101</v>
      </c>
      <c r="AE710">
        <v>4.9500000000000002E-2</v>
      </c>
      <c r="AF710" t="s">
        <v>2591</v>
      </c>
      <c r="AG710" t="s">
        <v>2593</v>
      </c>
    </row>
    <row r="711" spans="1:33">
      <c r="A711" s="2" t="s">
        <v>125</v>
      </c>
      <c r="B711" s="2" t="s">
        <v>21</v>
      </c>
      <c r="C711" s="1">
        <v>0.611478776</v>
      </c>
      <c r="D711">
        <v>0.67681801600000002</v>
      </c>
      <c r="E711">
        <v>0.73326355300000001</v>
      </c>
      <c r="F711" s="1" t="s">
        <v>126</v>
      </c>
      <c r="G711" s="1">
        <v>1.6431372550000001</v>
      </c>
      <c r="H711" s="1">
        <v>35.1</v>
      </c>
      <c r="I711" s="1">
        <v>51</v>
      </c>
      <c r="J711" s="1">
        <v>0.67385344833333338</v>
      </c>
      <c r="K711" s="1">
        <v>0.53276376800000003</v>
      </c>
      <c r="L711" s="1">
        <v>0.65428149899999999</v>
      </c>
      <c r="M711" s="3">
        <v>0.70160154799999996</v>
      </c>
      <c r="N711" s="1" t="s">
        <v>22</v>
      </c>
      <c r="O711" s="1">
        <v>1.2440604749999999</v>
      </c>
      <c r="P711" s="1">
        <v>24.6</v>
      </c>
      <c r="Q711" s="1">
        <v>46.3</v>
      </c>
      <c r="R711" s="1">
        <v>0.62954893833333336</v>
      </c>
      <c r="S711" s="1">
        <v>8.778627252339273E-2</v>
      </c>
      <c r="T711" t="s">
        <v>858</v>
      </c>
      <c r="U711" s="1">
        <v>596</v>
      </c>
      <c r="V711">
        <f t="shared" si="44"/>
        <v>0.30836069552669293</v>
      </c>
      <c r="W711" s="1">
        <f t="shared" si="45"/>
        <v>10.5</v>
      </c>
      <c r="X711">
        <f t="shared" si="46"/>
        <v>0.39907678000000013</v>
      </c>
      <c r="Y711">
        <f t="shared" si="47"/>
        <v>4.7000000000000028</v>
      </c>
      <c r="Z711" s="1">
        <v>1</v>
      </c>
      <c r="AA711">
        <v>99</v>
      </c>
      <c r="AB711">
        <v>1.01E-2</v>
      </c>
      <c r="AC711">
        <v>2</v>
      </c>
      <c r="AD711">
        <v>110</v>
      </c>
      <c r="AE711">
        <v>1.8200000000000001E-2</v>
      </c>
      <c r="AF711" t="s">
        <v>2591</v>
      </c>
      <c r="AG711" t="s">
        <v>2589</v>
      </c>
    </row>
    <row r="712" spans="1:33">
      <c r="A712" s="2" t="s">
        <v>125</v>
      </c>
      <c r="B712" s="2" t="s">
        <v>23</v>
      </c>
      <c r="C712" s="1">
        <v>0.611478776</v>
      </c>
      <c r="D712">
        <v>0.67681801600000002</v>
      </c>
      <c r="E712">
        <v>0.73326355300000001</v>
      </c>
      <c r="F712" s="1" t="s">
        <v>126</v>
      </c>
      <c r="G712" s="1">
        <v>1.6431372550000001</v>
      </c>
      <c r="H712" s="1">
        <v>35.1</v>
      </c>
      <c r="I712" s="1">
        <v>51</v>
      </c>
      <c r="J712" s="1">
        <v>0.67385344833333338</v>
      </c>
      <c r="K712" s="1">
        <v>0.49415677200000002</v>
      </c>
      <c r="L712" s="1">
        <v>0.62090818999999997</v>
      </c>
      <c r="M712" s="3">
        <v>0.63381026900000004</v>
      </c>
      <c r="N712" s="1" t="s">
        <v>24</v>
      </c>
      <c r="O712" s="1">
        <v>1.141304348</v>
      </c>
      <c r="P712" s="1">
        <v>44.4</v>
      </c>
      <c r="Q712" s="1">
        <v>101.2</v>
      </c>
      <c r="R712" s="1">
        <v>0.58295841033333329</v>
      </c>
      <c r="S712" s="1">
        <v>0.16364998308680312</v>
      </c>
      <c r="T712" t="s">
        <v>859</v>
      </c>
      <c r="U712" s="1">
        <v>279</v>
      </c>
      <c r="V712">
        <f t="shared" si="44"/>
        <v>0.27173380036373307</v>
      </c>
      <c r="W712" s="1">
        <f t="shared" si="45"/>
        <v>9.2999999999999972</v>
      </c>
      <c r="X712">
        <f t="shared" si="46"/>
        <v>0.50183290700000005</v>
      </c>
      <c r="Y712">
        <f t="shared" si="47"/>
        <v>50.2</v>
      </c>
      <c r="Z712" s="1">
        <v>2</v>
      </c>
      <c r="AA712">
        <v>98</v>
      </c>
      <c r="AB712">
        <v>2.0400000000000001E-2</v>
      </c>
      <c r="AC712">
        <v>3</v>
      </c>
      <c r="AD712">
        <v>105</v>
      </c>
      <c r="AE712">
        <v>2.86E-2</v>
      </c>
      <c r="AF712" t="s">
        <v>2591</v>
      </c>
      <c r="AG712" t="s">
        <v>2590</v>
      </c>
    </row>
    <row r="713" spans="1:33">
      <c r="A713" s="2" t="s">
        <v>125</v>
      </c>
      <c r="B713" s="2" t="s">
        <v>25</v>
      </c>
      <c r="C713" s="1">
        <v>0.611478776</v>
      </c>
      <c r="D713">
        <v>0.67681801600000002</v>
      </c>
      <c r="E713">
        <v>0.73326355300000001</v>
      </c>
      <c r="F713" s="1" t="s">
        <v>126</v>
      </c>
      <c r="G713" s="1">
        <v>1.6431372550000001</v>
      </c>
      <c r="H713" s="1">
        <v>35.1</v>
      </c>
      <c r="I713" s="1">
        <v>51</v>
      </c>
      <c r="J713" s="1">
        <v>0.67385344833333338</v>
      </c>
      <c r="K713" s="1">
        <v>0.53959274199999996</v>
      </c>
      <c r="L713" s="1">
        <v>0.64971567399999997</v>
      </c>
      <c r="M713" s="3">
        <v>0.65028459999999999</v>
      </c>
      <c r="N713" s="1" t="s">
        <v>26</v>
      </c>
      <c r="O713" s="1">
        <v>1.623046875</v>
      </c>
      <c r="P713" s="1">
        <v>34.700000000000003</v>
      </c>
      <c r="Q713" s="1">
        <v>51.2</v>
      </c>
      <c r="R713" s="1">
        <v>0.61319767199999997</v>
      </c>
      <c r="S713" s="1">
        <v>0.11308247197116952</v>
      </c>
      <c r="T713" t="s">
        <v>860</v>
      </c>
      <c r="U713" s="1">
        <v>317</v>
      </c>
      <c r="V713">
        <f t="shared" si="44"/>
        <v>0.2778954735797502</v>
      </c>
      <c r="W713" s="1">
        <f t="shared" si="45"/>
        <v>0.39999999999999858</v>
      </c>
      <c r="X713">
        <f t="shared" si="46"/>
        <v>2.0090380000000074E-2</v>
      </c>
      <c r="Y713">
        <f t="shared" si="47"/>
        <v>0.20000000000000284</v>
      </c>
      <c r="Z713" s="1">
        <v>0</v>
      </c>
      <c r="AA713">
        <v>100</v>
      </c>
      <c r="AB713">
        <v>0</v>
      </c>
      <c r="AC713">
        <v>0</v>
      </c>
      <c r="AD713">
        <v>110</v>
      </c>
      <c r="AE713">
        <v>0</v>
      </c>
      <c r="AF713" t="s">
        <v>2591</v>
      </c>
      <c r="AG713" t="s">
        <v>2594</v>
      </c>
    </row>
    <row r="714" spans="1:33">
      <c r="A714" s="2" t="s">
        <v>125</v>
      </c>
      <c r="B714" s="2" t="s">
        <v>27</v>
      </c>
      <c r="C714" s="1">
        <v>0.611478776</v>
      </c>
      <c r="D714">
        <v>0.67681801600000002</v>
      </c>
      <c r="E714">
        <v>0.73326355300000001</v>
      </c>
      <c r="F714" s="1" t="s">
        <v>126</v>
      </c>
      <c r="G714" s="1">
        <v>1.6431372550000001</v>
      </c>
      <c r="H714" s="1">
        <v>35.1</v>
      </c>
      <c r="I714" s="1">
        <v>51</v>
      </c>
      <c r="J714" s="1">
        <v>0.67385344833333338</v>
      </c>
      <c r="K714" s="1">
        <v>0.518608662</v>
      </c>
      <c r="L714" s="1">
        <v>0.64320369700000002</v>
      </c>
      <c r="M714" s="3">
        <v>0.62228994199999998</v>
      </c>
      <c r="N714" s="1" t="s">
        <v>28</v>
      </c>
      <c r="O714" s="1">
        <v>1.8717391299999999</v>
      </c>
      <c r="P714" s="1">
        <v>33.700000000000003</v>
      </c>
      <c r="Q714" s="1">
        <v>46</v>
      </c>
      <c r="R714" s="1">
        <v>0.59470076699999996</v>
      </c>
      <c r="S714" s="1">
        <v>0.14855949264380949</v>
      </c>
      <c r="T714" t="s">
        <v>861</v>
      </c>
      <c r="U714" s="1">
        <v>134</v>
      </c>
      <c r="V714">
        <f t="shared" si="44"/>
        <v>0.23634497759608974</v>
      </c>
      <c r="W714" s="1">
        <f t="shared" si="45"/>
        <v>1.3999999999999986</v>
      </c>
      <c r="X714">
        <f t="shared" si="46"/>
        <v>0.22860187499999984</v>
      </c>
      <c r="Y714">
        <f t="shared" si="47"/>
        <v>5</v>
      </c>
      <c r="Z714" s="1">
        <v>2</v>
      </c>
      <c r="AA714">
        <v>98</v>
      </c>
      <c r="AB714">
        <v>2.0400000000000001E-2</v>
      </c>
      <c r="AC714">
        <v>3</v>
      </c>
      <c r="AD714">
        <v>114</v>
      </c>
      <c r="AE714">
        <v>2.63E-2</v>
      </c>
      <c r="AF714" t="s">
        <v>2591</v>
      </c>
      <c r="AG714" t="s">
        <v>2590</v>
      </c>
    </row>
    <row r="715" spans="1:33">
      <c r="A715" s="2" t="s">
        <v>125</v>
      </c>
      <c r="B715" s="2" t="s">
        <v>29</v>
      </c>
      <c r="C715" s="1">
        <v>0.611478776</v>
      </c>
      <c r="D715">
        <v>0.67681801600000002</v>
      </c>
      <c r="E715">
        <v>0.73326355300000001</v>
      </c>
      <c r="F715" s="1" t="s">
        <v>126</v>
      </c>
      <c r="G715" s="1">
        <v>1.6431372550000001</v>
      </c>
      <c r="H715" s="1">
        <v>35.1</v>
      </c>
      <c r="I715" s="1">
        <v>51</v>
      </c>
      <c r="J715" s="1">
        <v>0.67385344833333338</v>
      </c>
      <c r="K715" s="1">
        <v>0.59351545100000003</v>
      </c>
      <c r="L715" s="1">
        <v>0.68136602400000001</v>
      </c>
      <c r="M715" s="3">
        <v>0.73518087600000004</v>
      </c>
      <c r="N715" s="1" t="s">
        <v>30</v>
      </c>
      <c r="O715" s="1">
        <v>2.849112426</v>
      </c>
      <c r="P715" s="1">
        <v>37.9</v>
      </c>
      <c r="Q715" s="1">
        <v>33.799999999999997</v>
      </c>
      <c r="R715" s="1">
        <v>0.67002078366666673</v>
      </c>
      <c r="S715" s="1">
        <v>1.8629051218728696E-2</v>
      </c>
      <c r="T715" t="s">
        <v>862</v>
      </c>
      <c r="U715" s="1">
        <v>4637</v>
      </c>
      <c r="V715">
        <f t="shared" si="44"/>
        <v>0.40735967732175604</v>
      </c>
      <c r="W715" s="1">
        <f t="shared" si="45"/>
        <v>2.7999999999999972</v>
      </c>
      <c r="X715">
        <f t="shared" si="46"/>
        <v>1.205975171</v>
      </c>
      <c r="Y715">
        <f t="shared" si="47"/>
        <v>17.200000000000003</v>
      </c>
      <c r="Z715" s="1">
        <v>20</v>
      </c>
      <c r="AA715">
        <v>80</v>
      </c>
      <c r="AB715">
        <v>0.25</v>
      </c>
      <c r="AC715">
        <v>24</v>
      </c>
      <c r="AD715">
        <v>82</v>
      </c>
      <c r="AE715">
        <v>0.29270000000000002</v>
      </c>
      <c r="AF715" t="s">
        <v>2591</v>
      </c>
      <c r="AG715" t="s">
        <v>2593</v>
      </c>
    </row>
    <row r="716" spans="1:33">
      <c r="A716" s="2" t="s">
        <v>125</v>
      </c>
      <c r="B716" s="2" t="s">
        <v>31</v>
      </c>
      <c r="C716" s="1">
        <v>0.611478776</v>
      </c>
      <c r="D716">
        <v>0.67681801600000002</v>
      </c>
      <c r="E716">
        <v>0.73326355300000001</v>
      </c>
      <c r="F716" s="1" t="s">
        <v>126</v>
      </c>
      <c r="G716" s="1">
        <v>1.6431372550000001</v>
      </c>
      <c r="H716" s="1">
        <v>35.1</v>
      </c>
      <c r="I716" s="1">
        <v>51</v>
      </c>
      <c r="J716" s="1">
        <v>0.67385344833333338</v>
      </c>
      <c r="K716" s="1">
        <v>0.47727961800000002</v>
      </c>
      <c r="L716" s="1">
        <v>0.66941086400000005</v>
      </c>
      <c r="M716" s="3">
        <v>0.69294815300000001</v>
      </c>
      <c r="N716" s="1" t="s">
        <v>32</v>
      </c>
      <c r="O716" s="1">
        <v>1.341891892</v>
      </c>
      <c r="P716" s="1">
        <v>42.1</v>
      </c>
      <c r="Q716" s="1">
        <v>74</v>
      </c>
      <c r="R716" s="1">
        <v>0.61321287833333338</v>
      </c>
      <c r="S716" s="1">
        <v>0.14031967569026113</v>
      </c>
      <c r="T716" t="s">
        <v>863</v>
      </c>
      <c r="U716" s="1">
        <v>414</v>
      </c>
      <c r="V716">
        <f t="shared" si="44"/>
        <v>0.29077781568009992</v>
      </c>
      <c r="W716" s="1">
        <f t="shared" si="45"/>
        <v>7</v>
      </c>
      <c r="X716">
        <f t="shared" si="46"/>
        <v>0.30124536300000004</v>
      </c>
      <c r="Y716">
        <f t="shared" si="47"/>
        <v>23</v>
      </c>
      <c r="Z716" s="1">
        <v>1</v>
      </c>
      <c r="AA716">
        <v>99</v>
      </c>
      <c r="AB716">
        <v>1.01E-2</v>
      </c>
      <c r="AC716">
        <v>2</v>
      </c>
      <c r="AD716">
        <v>112</v>
      </c>
      <c r="AE716">
        <v>1.7899999999999999E-2</v>
      </c>
      <c r="AF716" t="s">
        <v>2591</v>
      </c>
      <c r="AG716" t="s">
        <v>2589</v>
      </c>
    </row>
    <row r="717" spans="1:33">
      <c r="A717" s="2" t="s">
        <v>125</v>
      </c>
      <c r="B717" s="2" t="s">
        <v>33</v>
      </c>
      <c r="C717" s="1">
        <v>0.611478776</v>
      </c>
      <c r="D717">
        <v>0.67681801600000002</v>
      </c>
      <c r="E717">
        <v>0.73326355300000001</v>
      </c>
      <c r="F717" s="1" t="s">
        <v>126</v>
      </c>
      <c r="G717" s="1">
        <v>1.6431372550000001</v>
      </c>
      <c r="H717" s="1">
        <v>35.1</v>
      </c>
      <c r="I717" s="1">
        <v>51</v>
      </c>
      <c r="J717" s="1">
        <v>0.67385344833333338</v>
      </c>
      <c r="K717" s="1">
        <v>0.51347926600000005</v>
      </c>
      <c r="L717" s="1">
        <v>0.63144379399999995</v>
      </c>
      <c r="M717" s="3">
        <v>0.64189093500000005</v>
      </c>
      <c r="N717" s="1" t="s">
        <v>34</v>
      </c>
      <c r="O717" s="1">
        <v>2.3123667380000001</v>
      </c>
      <c r="P717" s="1">
        <v>79.099999999999994</v>
      </c>
      <c r="Q717" s="1">
        <v>93.8</v>
      </c>
      <c r="R717" s="1">
        <v>0.59560466500000009</v>
      </c>
      <c r="S717" s="1">
        <v>0.14146264278076845</v>
      </c>
      <c r="T717" t="s">
        <v>864</v>
      </c>
      <c r="U717" s="1">
        <v>561</v>
      </c>
      <c r="V717">
        <f t="shared" si="44"/>
        <v>0.30544031791735127</v>
      </c>
      <c r="W717" s="1">
        <f t="shared" si="45"/>
        <v>43.999999999999993</v>
      </c>
      <c r="X717">
        <f t="shared" si="46"/>
        <v>0.66922948300000007</v>
      </c>
      <c r="Y717">
        <f t="shared" si="47"/>
        <v>42.8</v>
      </c>
      <c r="Z717" s="1">
        <v>2</v>
      </c>
      <c r="AA717">
        <v>98</v>
      </c>
      <c r="AB717">
        <v>2.0400000000000001E-2</v>
      </c>
      <c r="AC717">
        <v>3</v>
      </c>
      <c r="AD717">
        <v>105</v>
      </c>
      <c r="AE717">
        <v>2.86E-2</v>
      </c>
      <c r="AF717" t="s">
        <v>2591</v>
      </c>
      <c r="AG717" t="s">
        <v>2590</v>
      </c>
    </row>
    <row r="718" spans="1:33">
      <c r="A718" s="2" t="s">
        <v>125</v>
      </c>
      <c r="B718" s="2" t="s">
        <v>35</v>
      </c>
      <c r="C718" s="1">
        <v>0.611478776</v>
      </c>
      <c r="D718">
        <v>0.67681801600000002</v>
      </c>
      <c r="E718">
        <v>0.73326355300000001</v>
      </c>
      <c r="F718" s="1" t="s">
        <v>126</v>
      </c>
      <c r="G718" s="1">
        <v>1.6431372550000001</v>
      </c>
      <c r="H718" s="1">
        <v>35.1</v>
      </c>
      <c r="I718" s="1">
        <v>51</v>
      </c>
      <c r="J718" s="1">
        <v>0.67385344833333338</v>
      </c>
      <c r="K718" s="1">
        <v>0.52542897600000005</v>
      </c>
      <c r="L718" s="1">
        <v>0.60774736299999998</v>
      </c>
      <c r="M718" s="3">
        <v>0.62585751700000003</v>
      </c>
      <c r="N718" s="1" t="s">
        <v>36</v>
      </c>
      <c r="O718" s="1">
        <v>0.98848810399999998</v>
      </c>
      <c r="P718" s="1">
        <v>54.2</v>
      </c>
      <c r="Q718" s="1">
        <v>130.30000000000001</v>
      </c>
      <c r="R718" s="1">
        <v>0.58634461866666665</v>
      </c>
      <c r="S718" s="1">
        <v>0.15398499847426597</v>
      </c>
      <c r="T718" t="s">
        <v>865</v>
      </c>
      <c r="U718" s="1">
        <v>4283</v>
      </c>
      <c r="V718">
        <f t="shared" si="44"/>
        <v>0.40352756382184102</v>
      </c>
      <c r="W718" s="1">
        <f t="shared" si="45"/>
        <v>19.100000000000001</v>
      </c>
      <c r="X718">
        <f t="shared" si="46"/>
        <v>0.6546491510000001</v>
      </c>
      <c r="Y718">
        <f t="shared" si="47"/>
        <v>79.300000000000011</v>
      </c>
      <c r="Z718" s="1">
        <v>1</v>
      </c>
      <c r="AA718">
        <v>99</v>
      </c>
      <c r="AB718">
        <v>1.01E-2</v>
      </c>
      <c r="AC718">
        <v>2</v>
      </c>
      <c r="AD718">
        <v>105</v>
      </c>
      <c r="AE718">
        <v>1.9E-2</v>
      </c>
      <c r="AF718" t="s">
        <v>2591</v>
      </c>
      <c r="AG718" t="s">
        <v>2589</v>
      </c>
    </row>
    <row r="719" spans="1:33">
      <c r="A719" s="2" t="s">
        <v>125</v>
      </c>
      <c r="B719" s="2" t="s">
        <v>37</v>
      </c>
      <c r="C719" s="1">
        <v>0.611478776</v>
      </c>
      <c r="D719">
        <v>0.67681801600000002</v>
      </c>
      <c r="E719">
        <v>0.73326355300000001</v>
      </c>
      <c r="F719" s="1" t="s">
        <v>126</v>
      </c>
      <c r="G719" s="1">
        <v>1.6431372550000001</v>
      </c>
      <c r="H719" s="1">
        <v>35.1</v>
      </c>
      <c r="I719" s="1">
        <v>51</v>
      </c>
      <c r="J719" s="1">
        <v>0.67385344833333338</v>
      </c>
      <c r="K719" s="1">
        <v>0.50856695500000004</v>
      </c>
      <c r="L719" s="1">
        <v>0.654733224</v>
      </c>
      <c r="M719" s="3">
        <v>0.61418267199999999</v>
      </c>
      <c r="N719" s="1" t="s">
        <v>38</v>
      </c>
      <c r="O719" s="1">
        <v>0.64065708399999999</v>
      </c>
      <c r="P719" s="1">
        <v>41.9</v>
      </c>
      <c r="Q719" s="1">
        <v>146.1</v>
      </c>
      <c r="R719" s="1">
        <v>0.59249428366666679</v>
      </c>
      <c r="S719" s="1">
        <v>0.15893029025001956</v>
      </c>
      <c r="T719" t="s">
        <v>866</v>
      </c>
      <c r="U719" s="1">
        <v>332</v>
      </c>
      <c r="V719">
        <f t="shared" si="44"/>
        <v>0.28012645374489292</v>
      </c>
      <c r="W719" s="1">
        <f t="shared" si="45"/>
        <v>6.7999999999999972</v>
      </c>
      <c r="X719">
        <f t="shared" si="46"/>
        <v>1.0024801710000002</v>
      </c>
      <c r="Y719">
        <f t="shared" si="47"/>
        <v>95.1</v>
      </c>
      <c r="Z719" s="1">
        <v>1</v>
      </c>
      <c r="AA719">
        <v>99</v>
      </c>
      <c r="AB719">
        <v>1.01E-2</v>
      </c>
      <c r="AC719">
        <v>2</v>
      </c>
      <c r="AD719">
        <v>104</v>
      </c>
      <c r="AE719">
        <v>1.9199999999999998E-2</v>
      </c>
      <c r="AF719" t="s">
        <v>2591</v>
      </c>
      <c r="AG719" t="s">
        <v>2590</v>
      </c>
    </row>
    <row r="720" spans="1:33">
      <c r="A720" s="2" t="s">
        <v>125</v>
      </c>
      <c r="B720" s="2" t="s">
        <v>39</v>
      </c>
      <c r="C720" s="1">
        <v>0.611478776</v>
      </c>
      <c r="D720">
        <v>0.67681801600000002</v>
      </c>
      <c r="E720">
        <v>0.73326355300000001</v>
      </c>
      <c r="F720" s="1" t="s">
        <v>126</v>
      </c>
      <c r="G720" s="1">
        <v>1.6431372550000001</v>
      </c>
      <c r="H720" s="1">
        <v>35.1</v>
      </c>
      <c r="I720" s="1">
        <v>51</v>
      </c>
      <c r="J720" s="1">
        <v>0.67385344833333338</v>
      </c>
      <c r="K720" s="1">
        <v>0.60811616199999996</v>
      </c>
      <c r="L720" s="1">
        <v>0.721105683</v>
      </c>
      <c r="M720" s="3">
        <v>0.741016169</v>
      </c>
      <c r="N720" s="1" t="s">
        <v>40</v>
      </c>
      <c r="O720" s="1">
        <v>1.0601915180000001</v>
      </c>
      <c r="P720" s="1">
        <v>34</v>
      </c>
      <c r="Q720" s="1">
        <v>73.099999999999994</v>
      </c>
      <c r="R720" s="1">
        <v>0.69007933799999999</v>
      </c>
      <c r="S720" s="1">
        <v>4.5086668495901747E-2</v>
      </c>
      <c r="T720" t="s">
        <v>867</v>
      </c>
      <c r="U720" s="1">
        <v>437</v>
      </c>
      <c r="V720">
        <f t="shared" si="44"/>
        <v>0.29338682633004687</v>
      </c>
      <c r="W720" s="1">
        <f t="shared" si="45"/>
        <v>1.1000000000000014</v>
      </c>
      <c r="X720">
        <f t="shared" si="46"/>
        <v>0.58294573699999996</v>
      </c>
      <c r="Y720">
        <f t="shared" si="47"/>
        <v>22.099999999999994</v>
      </c>
      <c r="Z720" s="1">
        <v>2</v>
      </c>
      <c r="AA720">
        <v>98</v>
      </c>
      <c r="AB720">
        <v>2.0400000000000001E-2</v>
      </c>
      <c r="AC720">
        <v>5</v>
      </c>
      <c r="AD720">
        <v>104</v>
      </c>
      <c r="AE720">
        <v>4.8099999999999997E-2</v>
      </c>
      <c r="AF720" t="s">
        <v>2591</v>
      </c>
      <c r="AG720" t="s">
        <v>2589</v>
      </c>
    </row>
    <row r="721" spans="1:33">
      <c r="A721" s="2" t="s">
        <v>125</v>
      </c>
      <c r="B721" s="2" t="s">
        <v>41</v>
      </c>
      <c r="C721" s="1">
        <v>0.611478776</v>
      </c>
      <c r="D721">
        <v>0.67681801600000002</v>
      </c>
      <c r="E721">
        <v>0.73326355300000001</v>
      </c>
      <c r="F721" s="1" t="s">
        <v>126</v>
      </c>
      <c r="G721" s="1">
        <v>1.6431372550000001</v>
      </c>
      <c r="H721" s="1">
        <v>35.1</v>
      </c>
      <c r="I721" s="1">
        <v>51</v>
      </c>
      <c r="J721" s="1">
        <v>0.67385344833333338</v>
      </c>
      <c r="K721" s="1">
        <v>0.60402244999999999</v>
      </c>
      <c r="L721" s="1">
        <v>0.669189213</v>
      </c>
      <c r="M721" s="3">
        <v>0.69821693799999995</v>
      </c>
      <c r="N721" s="1" t="s">
        <v>42</v>
      </c>
      <c r="O721" s="1">
        <v>1.3243902439999999</v>
      </c>
      <c r="P721" s="1">
        <v>23</v>
      </c>
      <c r="Q721" s="1">
        <v>41</v>
      </c>
      <c r="R721" s="1">
        <v>0.65714286700000002</v>
      </c>
      <c r="S721" s="1">
        <v>3.6634146033302249E-2</v>
      </c>
      <c r="T721" t="s">
        <v>868</v>
      </c>
      <c r="U721" s="1">
        <v>21921</v>
      </c>
      <c r="V721">
        <f t="shared" si="44"/>
        <v>0.48231781800720885</v>
      </c>
      <c r="W721" s="1">
        <f t="shared" si="45"/>
        <v>12.100000000000001</v>
      </c>
      <c r="X721">
        <f t="shared" si="46"/>
        <v>0.31874701100000014</v>
      </c>
      <c r="Y721">
        <f t="shared" si="47"/>
        <v>10</v>
      </c>
      <c r="Z721" s="1">
        <v>22</v>
      </c>
      <c r="AA721">
        <v>78</v>
      </c>
      <c r="AB721">
        <v>0.28210000000000002</v>
      </c>
      <c r="AC721">
        <v>28</v>
      </c>
      <c r="AD721">
        <v>95</v>
      </c>
      <c r="AE721">
        <v>0.29470000000000002</v>
      </c>
      <c r="AF721" t="s">
        <v>2591</v>
      </c>
      <c r="AG721" t="s">
        <v>2591</v>
      </c>
    </row>
    <row r="722" spans="1:33">
      <c r="A722" s="2" t="s">
        <v>125</v>
      </c>
      <c r="B722" s="2" t="s">
        <v>43</v>
      </c>
      <c r="C722" s="1">
        <v>0.611478776</v>
      </c>
      <c r="D722">
        <v>0.67681801600000002</v>
      </c>
      <c r="E722">
        <v>0.73326355300000001</v>
      </c>
      <c r="F722" s="1" t="s">
        <v>126</v>
      </c>
      <c r="G722" s="1">
        <v>1.6431372550000001</v>
      </c>
      <c r="H722" s="1">
        <v>35.1</v>
      </c>
      <c r="I722" s="1">
        <v>51</v>
      </c>
      <c r="J722" s="1">
        <v>0.67385344833333338</v>
      </c>
      <c r="K722" s="1">
        <v>0.54180634699999997</v>
      </c>
      <c r="L722" s="1">
        <v>0.59470779900000004</v>
      </c>
      <c r="M722" s="3">
        <v>0.69518155599999998</v>
      </c>
      <c r="N722" s="1" t="s">
        <v>44</v>
      </c>
      <c r="O722" s="1">
        <v>1.7403685090000001</v>
      </c>
      <c r="P722" s="1">
        <v>41.2</v>
      </c>
      <c r="Q722" s="1">
        <v>59.7</v>
      </c>
      <c r="R722" s="1">
        <v>0.61056523400000007</v>
      </c>
      <c r="S722" s="1">
        <v>0.1142215986320238</v>
      </c>
      <c r="T722" t="s">
        <v>869</v>
      </c>
      <c r="U722" s="1">
        <v>4163</v>
      </c>
      <c r="V722">
        <f t="shared" si="44"/>
        <v>0.40215626787630859</v>
      </c>
      <c r="W722" s="1">
        <f t="shared" si="45"/>
        <v>6.1000000000000014</v>
      </c>
      <c r="X722">
        <f t="shared" si="46"/>
        <v>9.7231253999999989E-2</v>
      </c>
      <c r="Y722">
        <f t="shared" si="47"/>
        <v>8.7000000000000028</v>
      </c>
      <c r="Z722" s="1">
        <v>4</v>
      </c>
      <c r="AA722">
        <v>96</v>
      </c>
      <c r="AB722">
        <v>4.1700000000000001E-2</v>
      </c>
      <c r="AC722">
        <v>4</v>
      </c>
      <c r="AD722">
        <v>141</v>
      </c>
      <c r="AE722">
        <v>2.8400000000000002E-2</v>
      </c>
      <c r="AF722" t="s">
        <v>2591</v>
      </c>
      <c r="AG722" t="s">
        <v>2589</v>
      </c>
    </row>
    <row r="723" spans="1:33">
      <c r="A723" s="2" t="s">
        <v>125</v>
      </c>
      <c r="B723" s="2" t="s">
        <v>45</v>
      </c>
      <c r="C723" s="1">
        <v>0.611478776</v>
      </c>
      <c r="D723">
        <v>0.67681801600000002</v>
      </c>
      <c r="E723">
        <v>0.73326355300000001</v>
      </c>
      <c r="F723" s="1" t="s">
        <v>126</v>
      </c>
      <c r="G723" s="1">
        <v>1.6431372550000001</v>
      </c>
      <c r="H723" s="1">
        <v>35.1</v>
      </c>
      <c r="I723" s="1">
        <v>51</v>
      </c>
      <c r="J723" s="1">
        <v>0.67385344833333338</v>
      </c>
      <c r="K723" s="1">
        <v>0.50907007599999998</v>
      </c>
      <c r="L723" s="1">
        <v>0.68428041399999995</v>
      </c>
      <c r="M723" s="3">
        <v>0.67454742099999998</v>
      </c>
      <c r="N723" s="1" t="s">
        <v>46</v>
      </c>
      <c r="O723" s="1">
        <v>0.98140043799999999</v>
      </c>
      <c r="P723" s="1">
        <v>38.9</v>
      </c>
      <c r="Q723" s="1">
        <v>91.4</v>
      </c>
      <c r="R723" s="1">
        <v>0.62263263699999993</v>
      </c>
      <c r="S723" s="1">
        <v>0.11828276872242141</v>
      </c>
      <c r="T723" t="s">
        <v>870</v>
      </c>
      <c r="U723" s="1">
        <v>542</v>
      </c>
      <c r="V723">
        <f t="shared" si="44"/>
        <v>0.30377769850426523</v>
      </c>
      <c r="W723" s="1">
        <f t="shared" si="45"/>
        <v>3.7999999999999972</v>
      </c>
      <c r="X723">
        <f t="shared" si="46"/>
        <v>0.66173681700000009</v>
      </c>
      <c r="Y723">
        <f t="shared" si="47"/>
        <v>40.400000000000006</v>
      </c>
      <c r="Z723" s="1">
        <v>1</v>
      </c>
      <c r="AA723">
        <v>99</v>
      </c>
      <c r="AB723">
        <v>1.01E-2</v>
      </c>
      <c r="AC723">
        <v>2</v>
      </c>
      <c r="AD723">
        <v>123</v>
      </c>
      <c r="AE723">
        <v>1.6299999999999999E-2</v>
      </c>
      <c r="AF723" t="s">
        <v>2591</v>
      </c>
      <c r="AG723" t="s">
        <v>2589</v>
      </c>
    </row>
    <row r="724" spans="1:33">
      <c r="A724" s="2" t="s">
        <v>125</v>
      </c>
      <c r="B724" s="2" t="s">
        <v>47</v>
      </c>
      <c r="C724" s="1">
        <v>0.611478776</v>
      </c>
      <c r="D724">
        <v>0.67681801600000002</v>
      </c>
      <c r="E724">
        <v>0.73326355300000001</v>
      </c>
      <c r="F724" s="1" t="s">
        <v>126</v>
      </c>
      <c r="G724" s="1">
        <v>1.6431372550000001</v>
      </c>
      <c r="H724" s="1">
        <v>35.1</v>
      </c>
      <c r="I724" s="1">
        <v>51</v>
      </c>
      <c r="J724" s="1">
        <v>0.67385344833333338</v>
      </c>
      <c r="K724" s="1">
        <v>0.50612154099999995</v>
      </c>
      <c r="L724" s="1">
        <v>0.55940039100000005</v>
      </c>
      <c r="M724" s="3">
        <v>0.66789001699999995</v>
      </c>
      <c r="N724" s="1" t="s">
        <v>48</v>
      </c>
      <c r="O724" s="1">
        <v>1.242622951</v>
      </c>
      <c r="P724" s="1">
        <v>17.8</v>
      </c>
      <c r="Q724" s="1">
        <v>30.5</v>
      </c>
      <c r="R724" s="1">
        <v>0.57780398300000002</v>
      </c>
      <c r="S724" s="1">
        <v>0.17076517454278889</v>
      </c>
      <c r="T724" t="s">
        <v>871</v>
      </c>
      <c r="U724" s="1">
        <v>363</v>
      </c>
      <c r="V724">
        <f t="shared" si="44"/>
        <v>0.28443406944845695</v>
      </c>
      <c r="W724" s="1">
        <f t="shared" si="45"/>
        <v>17.3</v>
      </c>
      <c r="X724">
        <f t="shared" si="46"/>
        <v>0.4005143040000001</v>
      </c>
      <c r="Y724">
        <f t="shared" si="47"/>
        <v>20.5</v>
      </c>
      <c r="Z724" s="1">
        <v>1</v>
      </c>
      <c r="AA724">
        <v>99</v>
      </c>
      <c r="AB724">
        <v>1.01E-2</v>
      </c>
      <c r="AC724">
        <v>2</v>
      </c>
      <c r="AD724">
        <v>130</v>
      </c>
      <c r="AE724">
        <v>1.54E-2</v>
      </c>
      <c r="AF724" t="s">
        <v>2591</v>
      </c>
      <c r="AG724" t="s">
        <v>2590</v>
      </c>
    </row>
    <row r="725" spans="1:33">
      <c r="A725" s="2" t="s">
        <v>125</v>
      </c>
      <c r="B725" s="2" t="s">
        <v>49</v>
      </c>
      <c r="C725" s="1">
        <v>0.611478776</v>
      </c>
      <c r="D725">
        <v>0.67681801600000002</v>
      </c>
      <c r="E725">
        <v>0.73326355300000001</v>
      </c>
      <c r="F725" s="1" t="s">
        <v>126</v>
      </c>
      <c r="G725" s="1">
        <v>1.6431372550000001</v>
      </c>
      <c r="H725" s="1">
        <v>35.1</v>
      </c>
      <c r="I725" s="1">
        <v>51</v>
      </c>
      <c r="J725" s="1">
        <v>0.67385344833333338</v>
      </c>
      <c r="K725" s="1">
        <v>0.50647110500000003</v>
      </c>
      <c r="L725" s="1">
        <v>0.55713136799999996</v>
      </c>
      <c r="M725" s="3">
        <v>0.63402682300000002</v>
      </c>
      <c r="N725" s="1" t="s">
        <v>50</v>
      </c>
      <c r="O725" s="1">
        <v>1.876675603</v>
      </c>
      <c r="P725" s="1">
        <v>28.8</v>
      </c>
      <c r="Q725" s="1">
        <v>37.299999999999997</v>
      </c>
      <c r="R725" s="1">
        <v>0.56587643200000004</v>
      </c>
      <c r="S725" s="1">
        <v>0.18761512001811861</v>
      </c>
      <c r="T725" t="s">
        <v>872</v>
      </c>
      <c r="U725" s="1">
        <v>343</v>
      </c>
      <c r="V725">
        <f t="shared" si="44"/>
        <v>0.28169934667141894</v>
      </c>
      <c r="W725" s="1">
        <f t="shared" si="45"/>
        <v>6.3000000000000007</v>
      </c>
      <c r="X725">
        <f t="shared" si="46"/>
        <v>0.23353834799999995</v>
      </c>
      <c r="Y725">
        <f t="shared" si="47"/>
        <v>13.700000000000003</v>
      </c>
      <c r="Z725" s="1">
        <v>1</v>
      </c>
      <c r="AA725">
        <v>99</v>
      </c>
      <c r="AB725">
        <v>1.01E-2</v>
      </c>
      <c r="AC725">
        <v>2</v>
      </c>
      <c r="AD725">
        <v>104</v>
      </c>
      <c r="AE725">
        <v>1.9199999999999998E-2</v>
      </c>
      <c r="AF725" t="s">
        <v>2591</v>
      </c>
      <c r="AG725" t="s">
        <v>2590</v>
      </c>
    </row>
    <row r="726" spans="1:33">
      <c r="A726" s="2" t="s">
        <v>125</v>
      </c>
      <c r="B726" s="2" t="s">
        <v>51</v>
      </c>
      <c r="C726" s="1">
        <v>0.611478776</v>
      </c>
      <c r="D726">
        <v>0.67681801600000002</v>
      </c>
      <c r="E726">
        <v>0.73326355300000001</v>
      </c>
      <c r="F726" s="1" t="s">
        <v>126</v>
      </c>
      <c r="G726" s="1">
        <v>1.6431372550000001</v>
      </c>
      <c r="H726" s="1">
        <v>35.1</v>
      </c>
      <c r="I726" s="1">
        <v>51</v>
      </c>
      <c r="J726" s="1">
        <v>0.67385344833333338</v>
      </c>
      <c r="K726" s="1">
        <v>0.60067161999999996</v>
      </c>
      <c r="L726" s="1">
        <v>0.68094129999999997</v>
      </c>
      <c r="M726" s="3">
        <v>0.73595931299999995</v>
      </c>
      <c r="N726" s="1" t="s">
        <v>52</v>
      </c>
      <c r="O726" s="1">
        <v>1.858638743</v>
      </c>
      <c r="P726" s="1">
        <v>29.4</v>
      </c>
      <c r="Q726" s="1">
        <v>38.200000000000003</v>
      </c>
      <c r="R726" s="1">
        <v>0.67252407766666666</v>
      </c>
      <c r="S726" s="1">
        <v>1.1877003567002584E-2</v>
      </c>
      <c r="T726" t="s">
        <v>873</v>
      </c>
      <c r="U726" s="1">
        <v>39824</v>
      </c>
      <c r="V726">
        <f t="shared" si="44"/>
        <v>0.51112720880716866</v>
      </c>
      <c r="W726" s="1">
        <f t="shared" si="45"/>
        <v>5.7000000000000028</v>
      </c>
      <c r="X726">
        <f t="shared" si="46"/>
        <v>0.21550148799999991</v>
      </c>
      <c r="Y726">
        <f t="shared" si="47"/>
        <v>12.799999999999997</v>
      </c>
      <c r="Z726" s="1">
        <v>23</v>
      </c>
      <c r="AA726">
        <v>77</v>
      </c>
      <c r="AB726">
        <v>0.29870000000000002</v>
      </c>
      <c r="AC726">
        <v>31</v>
      </c>
      <c r="AD726">
        <v>84</v>
      </c>
      <c r="AE726">
        <v>0.36899999999999999</v>
      </c>
      <c r="AF726" t="s">
        <v>2591</v>
      </c>
      <c r="AG726" t="s">
        <v>2591</v>
      </c>
    </row>
    <row r="727" spans="1:33">
      <c r="A727" s="2" t="s">
        <v>125</v>
      </c>
      <c r="B727" s="2" t="s">
        <v>53</v>
      </c>
      <c r="C727" s="1">
        <v>0.611478776</v>
      </c>
      <c r="D727">
        <v>0.67681801600000002</v>
      </c>
      <c r="E727">
        <v>0.73326355300000001</v>
      </c>
      <c r="F727" s="1" t="s">
        <v>126</v>
      </c>
      <c r="G727" s="1">
        <v>1.6431372550000001</v>
      </c>
      <c r="H727" s="1">
        <v>35.1</v>
      </c>
      <c r="I727" s="1">
        <v>51</v>
      </c>
      <c r="J727" s="1">
        <v>0.67385344833333338</v>
      </c>
      <c r="K727" s="1">
        <v>0.54695832700000002</v>
      </c>
      <c r="L727" s="1">
        <v>0.659790137</v>
      </c>
      <c r="M727" s="3">
        <v>0.70662085500000005</v>
      </c>
      <c r="N727" s="1" t="s">
        <v>54</v>
      </c>
      <c r="O727" s="1">
        <v>2.5053995680000001</v>
      </c>
      <c r="P727" s="1">
        <v>43.9</v>
      </c>
      <c r="Q727" s="1">
        <v>46.3</v>
      </c>
      <c r="R727" s="1">
        <v>0.63778977300000006</v>
      </c>
      <c r="S727" s="1">
        <v>7.1851724816593243E-2</v>
      </c>
      <c r="T727" t="s">
        <v>874</v>
      </c>
      <c r="U727" s="1">
        <v>18038</v>
      </c>
      <c r="V727">
        <f t="shared" si="44"/>
        <v>0.47290982028775275</v>
      </c>
      <c r="W727" s="1">
        <f t="shared" si="45"/>
        <v>8.7999999999999972</v>
      </c>
      <c r="X727">
        <f t="shared" si="46"/>
        <v>0.862262313</v>
      </c>
      <c r="Y727">
        <f t="shared" si="47"/>
        <v>4.7000000000000028</v>
      </c>
      <c r="Z727" s="1">
        <v>19</v>
      </c>
      <c r="AA727">
        <v>81</v>
      </c>
      <c r="AB727">
        <v>0.2346</v>
      </c>
      <c r="AC727">
        <v>25</v>
      </c>
      <c r="AD727">
        <v>90</v>
      </c>
      <c r="AE727">
        <v>0.27779999999999999</v>
      </c>
      <c r="AF727" t="s">
        <v>2591</v>
      </c>
      <c r="AG727" t="s">
        <v>2593</v>
      </c>
    </row>
    <row r="728" spans="1:33">
      <c r="A728" s="2" t="s">
        <v>125</v>
      </c>
      <c r="B728" s="2" t="s">
        <v>55</v>
      </c>
      <c r="C728" s="1">
        <v>0.611478776</v>
      </c>
      <c r="D728">
        <v>0.67681801600000002</v>
      </c>
      <c r="E728">
        <v>0.73326355300000001</v>
      </c>
      <c r="F728" s="1" t="s">
        <v>126</v>
      </c>
      <c r="G728" s="1">
        <v>1.6431372550000001</v>
      </c>
      <c r="H728" s="1">
        <v>35.1</v>
      </c>
      <c r="I728" s="1">
        <v>51</v>
      </c>
      <c r="J728" s="1">
        <v>0.67385344833333338</v>
      </c>
      <c r="K728" s="1">
        <v>0.52971861799999997</v>
      </c>
      <c r="L728" s="1">
        <v>0.62258244500000004</v>
      </c>
      <c r="M728" s="3">
        <v>0.63939760400000001</v>
      </c>
      <c r="N728" s="1" t="s">
        <v>56</v>
      </c>
      <c r="O728" s="1">
        <v>1.0796934869999999</v>
      </c>
      <c r="P728" s="1">
        <v>55.3</v>
      </c>
      <c r="Q728" s="1">
        <v>130.5</v>
      </c>
      <c r="R728" s="1">
        <v>0.59723288899999993</v>
      </c>
      <c r="S728" s="1">
        <v>0.13578305114980888</v>
      </c>
      <c r="T728" t="s">
        <v>875</v>
      </c>
      <c r="U728" s="1">
        <v>7383</v>
      </c>
      <c r="V728">
        <f t="shared" si="44"/>
        <v>0.42980365204694054</v>
      </c>
      <c r="W728" s="1">
        <f t="shared" si="45"/>
        <v>20.199999999999996</v>
      </c>
      <c r="X728">
        <f t="shared" si="46"/>
        <v>0.56344376800000018</v>
      </c>
      <c r="Y728">
        <f t="shared" si="47"/>
        <v>79.5</v>
      </c>
      <c r="Z728" s="1">
        <v>1</v>
      </c>
      <c r="AA728">
        <v>99</v>
      </c>
      <c r="AB728">
        <v>1.01E-2</v>
      </c>
      <c r="AC728">
        <v>2</v>
      </c>
      <c r="AD728">
        <v>105</v>
      </c>
      <c r="AE728">
        <v>1.9E-2</v>
      </c>
      <c r="AF728" t="s">
        <v>2591</v>
      </c>
      <c r="AG728" t="s">
        <v>2592</v>
      </c>
    </row>
    <row r="729" spans="1:33">
      <c r="A729" s="2" t="s">
        <v>125</v>
      </c>
      <c r="B729" s="2" t="s">
        <v>57</v>
      </c>
      <c r="C729" s="1">
        <v>0.611478776</v>
      </c>
      <c r="D729">
        <v>0.67681801600000002</v>
      </c>
      <c r="E729">
        <v>0.73326355300000001</v>
      </c>
      <c r="F729" s="1" t="s">
        <v>126</v>
      </c>
      <c r="G729" s="1">
        <v>1.6431372550000001</v>
      </c>
      <c r="H729" s="1">
        <v>35.1</v>
      </c>
      <c r="I729" s="1">
        <v>51</v>
      </c>
      <c r="J729" s="1">
        <v>0.67385344833333338</v>
      </c>
      <c r="K729" s="1">
        <v>0.528732855</v>
      </c>
      <c r="L729" s="1">
        <v>0.63387497599999998</v>
      </c>
      <c r="M729" s="3">
        <v>0.63337360200000004</v>
      </c>
      <c r="N729" s="1" t="s">
        <v>58</v>
      </c>
      <c r="O729" s="1">
        <v>1.386610879</v>
      </c>
      <c r="P729" s="1">
        <v>69</v>
      </c>
      <c r="Q729" s="1">
        <v>119.5</v>
      </c>
      <c r="R729" s="1">
        <v>0.59866047766666663</v>
      </c>
      <c r="S729" s="1">
        <v>0.13663452871570289</v>
      </c>
      <c r="T729" t="s">
        <v>876</v>
      </c>
      <c r="U729" s="1">
        <v>2618</v>
      </c>
      <c r="V729">
        <f t="shared" si="44"/>
        <v>0.37977440469052637</v>
      </c>
      <c r="W729" s="1">
        <f t="shared" si="45"/>
        <v>33.9</v>
      </c>
      <c r="X729">
        <f t="shared" si="46"/>
        <v>0.25652637600000006</v>
      </c>
      <c r="Y729">
        <f t="shared" si="47"/>
        <v>68.5</v>
      </c>
      <c r="Z729" s="1">
        <v>1</v>
      </c>
      <c r="AA729">
        <v>99</v>
      </c>
      <c r="AB729">
        <v>1.01E-2</v>
      </c>
      <c r="AC729">
        <v>2</v>
      </c>
      <c r="AD729">
        <v>111</v>
      </c>
      <c r="AE729">
        <v>1.7999999999999999E-2</v>
      </c>
      <c r="AF729" t="s">
        <v>2591</v>
      </c>
      <c r="AG729" t="s">
        <v>2589</v>
      </c>
    </row>
    <row r="730" spans="1:33">
      <c r="A730" s="2" t="s">
        <v>125</v>
      </c>
      <c r="B730" s="2" t="s">
        <v>59</v>
      </c>
      <c r="C730" s="1">
        <v>0.611478776</v>
      </c>
      <c r="D730">
        <v>0.67681801600000002</v>
      </c>
      <c r="E730">
        <v>0.73326355300000001</v>
      </c>
      <c r="F730" s="1" t="s">
        <v>126</v>
      </c>
      <c r="G730" s="1">
        <v>1.6431372550000001</v>
      </c>
      <c r="H730" s="1">
        <v>35.1</v>
      </c>
      <c r="I730" s="1">
        <v>51</v>
      </c>
      <c r="J730" s="1">
        <v>0.67385344833333338</v>
      </c>
      <c r="K730" s="1">
        <v>0.56225432799999997</v>
      </c>
      <c r="L730" s="1">
        <v>0.68100706499999997</v>
      </c>
      <c r="M730" s="3">
        <v>0.67505263699999996</v>
      </c>
      <c r="N730" s="1" t="s">
        <v>60</v>
      </c>
      <c r="O730" s="1">
        <v>1.1501154730000001</v>
      </c>
      <c r="P730" s="1">
        <v>60.5</v>
      </c>
      <c r="Q730" s="1">
        <v>129.9</v>
      </c>
      <c r="R730" s="1">
        <v>0.63943801</v>
      </c>
      <c r="S730" s="1">
        <v>7.6348576633675169E-2</v>
      </c>
      <c r="T730" t="s">
        <v>877</v>
      </c>
      <c r="U730" s="1">
        <v>2753</v>
      </c>
      <c r="V730">
        <f t="shared" si="44"/>
        <v>0.3822006901548145</v>
      </c>
      <c r="W730" s="1">
        <f t="shared" si="45"/>
        <v>25.4</v>
      </c>
      <c r="X730">
        <f t="shared" si="46"/>
        <v>0.49302178200000002</v>
      </c>
      <c r="Y730">
        <f t="shared" si="47"/>
        <v>78.900000000000006</v>
      </c>
      <c r="Z730" s="1">
        <v>1</v>
      </c>
      <c r="AA730">
        <v>99</v>
      </c>
      <c r="AB730">
        <v>1.01E-2</v>
      </c>
      <c r="AC730">
        <v>2</v>
      </c>
      <c r="AD730">
        <v>130</v>
      </c>
      <c r="AE730">
        <v>1.54E-2</v>
      </c>
      <c r="AF730" t="s">
        <v>2591</v>
      </c>
      <c r="AG730" t="s">
        <v>2589</v>
      </c>
    </row>
    <row r="731" spans="1:33">
      <c r="A731" s="2" t="s">
        <v>125</v>
      </c>
      <c r="B731" s="2" t="s">
        <v>61</v>
      </c>
      <c r="C731" s="1">
        <v>0.611478776</v>
      </c>
      <c r="D731">
        <v>0.67681801600000002</v>
      </c>
      <c r="E731">
        <v>0.73326355300000001</v>
      </c>
      <c r="F731" s="1" t="s">
        <v>126</v>
      </c>
      <c r="G731" s="1">
        <v>1.6431372550000001</v>
      </c>
      <c r="H731" s="1">
        <v>35.1</v>
      </c>
      <c r="I731" s="1">
        <v>51</v>
      </c>
      <c r="J731" s="1">
        <v>0.67385344833333338</v>
      </c>
      <c r="K731" s="1">
        <v>0.62063455999999995</v>
      </c>
      <c r="L731" s="1">
        <v>0.67798104299999995</v>
      </c>
      <c r="M731" s="3">
        <v>0.72175371600000005</v>
      </c>
      <c r="N731" s="1" t="s">
        <v>62</v>
      </c>
      <c r="O731" s="1">
        <v>7.5471698109999998</v>
      </c>
      <c r="P731" s="1">
        <v>26.4</v>
      </c>
      <c r="Q731" s="1">
        <v>10.6</v>
      </c>
      <c r="R731" s="1">
        <v>0.6734564396666668</v>
      </c>
      <c r="S731" s="1">
        <v>1.4753215250376851E-2</v>
      </c>
      <c r="T731" t="s">
        <v>878</v>
      </c>
      <c r="U731" s="1">
        <v>456</v>
      </c>
      <c r="V731">
        <f t="shared" si="44"/>
        <v>0.29544053807382609</v>
      </c>
      <c r="W731" s="1">
        <f t="shared" si="45"/>
        <v>8.7000000000000028</v>
      </c>
      <c r="X731">
        <f t="shared" si="46"/>
        <v>5.9040325559999998</v>
      </c>
      <c r="Y731">
        <f t="shared" si="47"/>
        <v>40.4</v>
      </c>
      <c r="Z731" s="1">
        <v>0</v>
      </c>
      <c r="AA731">
        <v>100</v>
      </c>
      <c r="AB731">
        <v>0</v>
      </c>
      <c r="AC731">
        <v>0</v>
      </c>
      <c r="AD731">
        <v>107</v>
      </c>
      <c r="AE731">
        <v>0</v>
      </c>
      <c r="AF731" t="s">
        <v>2591</v>
      </c>
      <c r="AG731" t="s">
        <v>2588</v>
      </c>
    </row>
    <row r="732" spans="1:33">
      <c r="A732" s="2" t="s">
        <v>125</v>
      </c>
      <c r="B732" s="2" t="s">
        <v>63</v>
      </c>
      <c r="C732" s="1">
        <v>0.611478776</v>
      </c>
      <c r="D732">
        <v>0.67681801600000002</v>
      </c>
      <c r="E732">
        <v>0.73326355300000001</v>
      </c>
      <c r="F732" s="1" t="s">
        <v>126</v>
      </c>
      <c r="G732" s="1">
        <v>1.6431372550000001</v>
      </c>
      <c r="H732" s="1">
        <v>35.1</v>
      </c>
      <c r="I732" s="1">
        <v>51</v>
      </c>
      <c r="J732" s="1">
        <v>0.67385344833333338</v>
      </c>
      <c r="K732" s="1">
        <v>0.44311141399999998</v>
      </c>
      <c r="L732" s="1">
        <v>0.57053969199999999</v>
      </c>
      <c r="M732" s="3">
        <v>0.59266330599999995</v>
      </c>
      <c r="N732" s="1" t="s">
        <v>64</v>
      </c>
      <c r="O732" s="1">
        <v>0.89618138400000003</v>
      </c>
      <c r="P732" s="1">
        <v>29.7</v>
      </c>
      <c r="Q732" s="1">
        <v>83.8</v>
      </c>
      <c r="R732" s="1">
        <v>0.53543813733333334</v>
      </c>
      <c r="S732" s="1">
        <v>0.24374388237563843</v>
      </c>
      <c r="T732" t="s">
        <v>879</v>
      </c>
      <c r="U732" s="1">
        <v>192</v>
      </c>
      <c r="V732">
        <f t="shared" si="44"/>
        <v>0.25370013652261664</v>
      </c>
      <c r="W732" s="1">
        <f t="shared" si="45"/>
        <v>5.4000000000000021</v>
      </c>
      <c r="X732">
        <f t="shared" si="46"/>
        <v>0.74695587100000005</v>
      </c>
      <c r="Y732">
        <f t="shared" si="47"/>
        <v>32.799999999999997</v>
      </c>
      <c r="Z732" s="1">
        <v>1</v>
      </c>
      <c r="AA732">
        <v>99</v>
      </c>
      <c r="AB732">
        <v>1.01E-2</v>
      </c>
      <c r="AC732">
        <v>2</v>
      </c>
      <c r="AD732">
        <v>112</v>
      </c>
      <c r="AE732">
        <v>1.7899999999999999E-2</v>
      </c>
      <c r="AF732" t="s">
        <v>2591</v>
      </c>
      <c r="AG732" t="s">
        <v>2590</v>
      </c>
    </row>
    <row r="733" spans="1:33">
      <c r="A733" s="2" t="s">
        <v>125</v>
      </c>
      <c r="B733" s="2" t="s">
        <v>65</v>
      </c>
      <c r="C733" s="1">
        <v>0.611478776</v>
      </c>
      <c r="D733">
        <v>0.67681801600000002</v>
      </c>
      <c r="E733">
        <v>0.73326355300000001</v>
      </c>
      <c r="F733" s="1" t="s">
        <v>126</v>
      </c>
      <c r="G733" s="1">
        <v>1.6431372550000001</v>
      </c>
      <c r="H733" s="1">
        <v>35.1</v>
      </c>
      <c r="I733" s="1">
        <v>51</v>
      </c>
      <c r="J733" s="1">
        <v>0.67385344833333338</v>
      </c>
      <c r="K733" s="1">
        <v>0.67377447499999998</v>
      </c>
      <c r="L733" s="1">
        <v>0.69144672900000004</v>
      </c>
      <c r="M733" s="3">
        <v>0.73046409700000003</v>
      </c>
      <c r="N733" s="1" t="s">
        <v>66</v>
      </c>
      <c r="O733" s="1">
        <v>1.8507462690000001</v>
      </c>
      <c r="P733" s="1">
        <v>34.5</v>
      </c>
      <c r="Q733" s="1">
        <v>46.9</v>
      </c>
      <c r="R733" s="1">
        <v>0.69856176700000006</v>
      </c>
      <c r="S733" s="1">
        <v>6.4051466117731479E-2</v>
      </c>
      <c r="T733" t="s">
        <v>880</v>
      </c>
      <c r="U733" s="1">
        <v>4829</v>
      </c>
      <c r="V733">
        <f t="shared" si="44"/>
        <v>0.40931746726670515</v>
      </c>
      <c r="W733" s="1">
        <f t="shared" si="45"/>
        <v>0.60000000000000142</v>
      </c>
      <c r="X733">
        <f t="shared" si="46"/>
        <v>0.20760901399999998</v>
      </c>
      <c r="Y733">
        <f t="shared" si="47"/>
        <v>4.1000000000000014</v>
      </c>
      <c r="Z733" s="1">
        <v>6</v>
      </c>
      <c r="AA733">
        <v>94</v>
      </c>
      <c r="AB733">
        <v>6.3799999999999996E-2</v>
      </c>
      <c r="AC733">
        <v>7</v>
      </c>
      <c r="AD733">
        <v>89</v>
      </c>
      <c r="AE733">
        <v>7.8700000000000006E-2</v>
      </c>
      <c r="AF733" t="s">
        <v>2591</v>
      </c>
      <c r="AG733" t="s">
        <v>2593</v>
      </c>
    </row>
    <row r="734" spans="1:33">
      <c r="A734" s="2" t="s">
        <v>125</v>
      </c>
      <c r="B734" s="2" t="s">
        <v>67</v>
      </c>
      <c r="C734" s="1">
        <v>0.611478776</v>
      </c>
      <c r="D734">
        <v>0.67681801600000002</v>
      </c>
      <c r="E734">
        <v>0.73326355300000001</v>
      </c>
      <c r="F734" s="1" t="s">
        <v>126</v>
      </c>
      <c r="G734" s="1">
        <v>1.6431372550000001</v>
      </c>
      <c r="H734" s="1">
        <v>35.1</v>
      </c>
      <c r="I734" s="1">
        <v>51</v>
      </c>
      <c r="J734" s="1">
        <v>0.67385344833333338</v>
      </c>
      <c r="K734" s="1">
        <v>0.53971122199999999</v>
      </c>
      <c r="L734" s="1">
        <v>0.621203065</v>
      </c>
      <c r="M734" s="3">
        <v>0.67806811499999997</v>
      </c>
      <c r="N734" s="1" t="s">
        <v>68</v>
      </c>
      <c r="O734" s="1">
        <v>1.5131894480000001</v>
      </c>
      <c r="P734" s="1">
        <v>27.2</v>
      </c>
      <c r="Q734" s="1">
        <v>41.7</v>
      </c>
      <c r="R734" s="1">
        <v>0.61299413400000002</v>
      </c>
      <c r="S734" s="1">
        <v>0.10625507497473789</v>
      </c>
      <c r="T734" t="s">
        <v>881</v>
      </c>
      <c r="U734" s="1">
        <v>1234</v>
      </c>
      <c r="V734">
        <f t="shared" si="44"/>
        <v>0.34347946218858033</v>
      </c>
      <c r="W734" s="1">
        <f t="shared" si="45"/>
        <v>7.9000000000000021</v>
      </c>
      <c r="X734">
        <f t="shared" si="46"/>
        <v>0.12994780699999997</v>
      </c>
      <c r="Y734">
        <f t="shared" si="47"/>
        <v>9.2999999999999972</v>
      </c>
      <c r="Z734" s="1">
        <v>2</v>
      </c>
      <c r="AA734">
        <v>98</v>
      </c>
      <c r="AB734">
        <v>2.0400000000000001E-2</v>
      </c>
      <c r="AC734">
        <v>3</v>
      </c>
      <c r="AD734">
        <v>104</v>
      </c>
      <c r="AE734">
        <v>2.8799999999999999E-2</v>
      </c>
      <c r="AF734" t="s">
        <v>2591</v>
      </c>
      <c r="AG734" t="s">
        <v>2588</v>
      </c>
    </row>
    <row r="735" spans="1:33">
      <c r="A735" s="2" t="s">
        <v>125</v>
      </c>
      <c r="B735" s="2" t="s">
        <v>69</v>
      </c>
      <c r="C735" s="1">
        <v>0.611478776</v>
      </c>
      <c r="D735">
        <v>0.67681801600000002</v>
      </c>
      <c r="E735">
        <v>0.73326355300000001</v>
      </c>
      <c r="F735" s="1" t="s">
        <v>126</v>
      </c>
      <c r="G735" s="1">
        <v>1.6431372550000001</v>
      </c>
      <c r="H735" s="1">
        <v>35.1</v>
      </c>
      <c r="I735" s="1">
        <v>51</v>
      </c>
      <c r="J735" s="1">
        <v>0.67385344833333338</v>
      </c>
      <c r="K735" s="1">
        <v>0.50188385300000005</v>
      </c>
      <c r="L735" s="1">
        <v>0.64580031500000001</v>
      </c>
      <c r="M735" s="3">
        <v>0.66006355800000005</v>
      </c>
      <c r="N735" s="1" t="s">
        <v>70</v>
      </c>
      <c r="O735" s="1">
        <v>1.2401055409999999</v>
      </c>
      <c r="P735" s="1">
        <v>43.4</v>
      </c>
      <c r="Q735" s="1">
        <v>75.8</v>
      </c>
      <c r="R735" s="1">
        <v>0.60258257533333337</v>
      </c>
      <c r="S735" s="1">
        <v>0.13539344219976587</v>
      </c>
      <c r="T735" t="s">
        <v>882</v>
      </c>
      <c r="U735" s="1">
        <v>550</v>
      </c>
      <c r="V735">
        <f t="shared" si="44"/>
        <v>0.3044847432771382</v>
      </c>
      <c r="W735" s="1">
        <f t="shared" si="45"/>
        <v>8.2999999999999972</v>
      </c>
      <c r="X735">
        <f t="shared" si="46"/>
        <v>0.40303171400000015</v>
      </c>
      <c r="Y735">
        <f t="shared" si="47"/>
        <v>24.799999999999997</v>
      </c>
      <c r="Z735" s="1">
        <v>2</v>
      </c>
      <c r="AA735">
        <v>98</v>
      </c>
      <c r="AB735">
        <v>2.0400000000000001E-2</v>
      </c>
      <c r="AC735">
        <v>3</v>
      </c>
      <c r="AD735">
        <v>111</v>
      </c>
      <c r="AE735">
        <v>2.7E-2</v>
      </c>
      <c r="AF735" t="s">
        <v>2591</v>
      </c>
      <c r="AG735" t="s">
        <v>2589</v>
      </c>
    </row>
    <row r="736" spans="1:33">
      <c r="A736" s="2" t="s">
        <v>125</v>
      </c>
      <c r="B736" s="2" t="s">
        <v>71</v>
      </c>
      <c r="C736" s="1">
        <v>0.611478776</v>
      </c>
      <c r="D736">
        <v>0.67681801600000002</v>
      </c>
      <c r="E736">
        <v>0.73326355300000001</v>
      </c>
      <c r="F736" s="1" t="s">
        <v>126</v>
      </c>
      <c r="G736" s="1">
        <v>1.6431372550000001</v>
      </c>
      <c r="H736" s="1">
        <v>35.1</v>
      </c>
      <c r="I736" s="1">
        <v>51</v>
      </c>
      <c r="J736" s="1">
        <v>0.67385344833333338</v>
      </c>
      <c r="K736" s="1">
        <v>0.53267569100000001</v>
      </c>
      <c r="L736" s="1">
        <v>0.64507433599999997</v>
      </c>
      <c r="M736" s="3">
        <v>0.66598465100000004</v>
      </c>
      <c r="N736" s="1" t="s">
        <v>72</v>
      </c>
      <c r="O736" s="1">
        <v>0.97289666900000005</v>
      </c>
      <c r="P736" s="1">
        <v>64.8</v>
      </c>
      <c r="Q736" s="1">
        <v>177.1</v>
      </c>
      <c r="R736" s="1">
        <v>0.61457822600000001</v>
      </c>
      <c r="S736" s="1">
        <v>0.10836991316682516</v>
      </c>
      <c r="T736" t="s">
        <v>883</v>
      </c>
      <c r="U736" s="1">
        <v>4396</v>
      </c>
      <c r="V736">
        <f t="shared" si="44"/>
        <v>0.40478418708349478</v>
      </c>
      <c r="W736" s="1">
        <f t="shared" si="45"/>
        <v>29.699999999999996</v>
      </c>
      <c r="X736">
        <f t="shared" si="46"/>
        <v>0.67024058600000003</v>
      </c>
      <c r="Y736">
        <f t="shared" si="47"/>
        <v>126.1</v>
      </c>
      <c r="Z736" s="1">
        <v>4</v>
      </c>
      <c r="AA736">
        <v>96</v>
      </c>
      <c r="AB736">
        <v>4.1700000000000001E-2</v>
      </c>
      <c r="AC736">
        <v>6</v>
      </c>
      <c r="AD736">
        <v>119</v>
      </c>
      <c r="AE736">
        <v>5.04E-2</v>
      </c>
      <c r="AF736" t="s">
        <v>2591</v>
      </c>
      <c r="AG736" t="s">
        <v>2589</v>
      </c>
    </row>
    <row r="737" spans="1:33">
      <c r="A737" s="2" t="s">
        <v>125</v>
      </c>
      <c r="B737" s="2" t="s">
        <v>73</v>
      </c>
      <c r="C737" s="1">
        <v>0.611478776</v>
      </c>
      <c r="D737">
        <v>0.67681801600000002</v>
      </c>
      <c r="E737">
        <v>0.73326355300000001</v>
      </c>
      <c r="F737" s="1" t="s">
        <v>126</v>
      </c>
      <c r="G737" s="1">
        <v>1.6431372550000001</v>
      </c>
      <c r="H737" s="1">
        <v>35.1</v>
      </c>
      <c r="I737" s="1">
        <v>51</v>
      </c>
      <c r="J737" s="1">
        <v>0.67385344833333338</v>
      </c>
      <c r="K737" s="1">
        <v>0.55697925299999995</v>
      </c>
      <c r="L737" s="1">
        <v>0.64461978399999997</v>
      </c>
      <c r="M737" s="3">
        <v>0.69570690000000002</v>
      </c>
      <c r="N737" s="1" t="s">
        <v>74</v>
      </c>
      <c r="O737" s="1">
        <v>1.23433584</v>
      </c>
      <c r="P737" s="1">
        <v>44</v>
      </c>
      <c r="Q737" s="1">
        <v>79.8</v>
      </c>
      <c r="R737" s="1">
        <v>0.63243531233333328</v>
      </c>
      <c r="S737" s="1">
        <v>7.3603167973367634E-2</v>
      </c>
      <c r="T737" t="s">
        <v>884</v>
      </c>
      <c r="U737" s="1">
        <v>481</v>
      </c>
      <c r="V737">
        <f t="shared" si="44"/>
        <v>0.29801611959709245</v>
      </c>
      <c r="W737" s="1">
        <f t="shared" si="45"/>
        <v>8.8999999999999986</v>
      </c>
      <c r="X737">
        <f t="shared" si="46"/>
        <v>0.40880141500000011</v>
      </c>
      <c r="Y737">
        <f t="shared" si="47"/>
        <v>28.799999999999997</v>
      </c>
      <c r="Z737" s="1">
        <v>1</v>
      </c>
      <c r="AA737">
        <v>99</v>
      </c>
      <c r="AB737">
        <v>1.01E-2</v>
      </c>
      <c r="AC737">
        <v>2</v>
      </c>
      <c r="AD737">
        <v>108</v>
      </c>
      <c r="AE737">
        <v>1.8499999999999999E-2</v>
      </c>
      <c r="AF737" t="s">
        <v>2591</v>
      </c>
      <c r="AG737" t="s">
        <v>2589</v>
      </c>
    </row>
    <row r="738" spans="1:33">
      <c r="A738" s="2" t="s">
        <v>125</v>
      </c>
      <c r="B738" s="2" t="s">
        <v>75</v>
      </c>
      <c r="C738" s="1">
        <v>0.611478776</v>
      </c>
      <c r="D738">
        <v>0.67681801600000002</v>
      </c>
      <c r="E738">
        <v>0.73326355300000001</v>
      </c>
      <c r="F738" s="1" t="s">
        <v>126</v>
      </c>
      <c r="G738" s="1">
        <v>1.6431372550000001</v>
      </c>
      <c r="H738" s="1">
        <v>35.1</v>
      </c>
      <c r="I738" s="1">
        <v>51</v>
      </c>
      <c r="J738" s="1">
        <v>0.67385344833333338</v>
      </c>
      <c r="K738" s="1">
        <v>0.50354843500000002</v>
      </c>
      <c r="L738" s="1">
        <v>0.59724402499999996</v>
      </c>
      <c r="M738" s="3">
        <v>0.70308254199999998</v>
      </c>
      <c r="N738" s="1" t="s">
        <v>76</v>
      </c>
      <c r="O738" s="1">
        <v>1.2696850390000001</v>
      </c>
      <c r="P738" s="1">
        <v>26.6</v>
      </c>
      <c r="Q738" s="1">
        <v>50.8</v>
      </c>
      <c r="R738" s="1">
        <v>0.60129166733333339</v>
      </c>
      <c r="S738" s="1">
        <v>0.13744770633599709</v>
      </c>
      <c r="T738" t="s">
        <v>885</v>
      </c>
      <c r="U738" s="1">
        <v>627</v>
      </c>
      <c r="V738">
        <f t="shared" si="44"/>
        <v>0.31080750453674627</v>
      </c>
      <c r="W738" s="1">
        <f t="shared" si="45"/>
        <v>8.5</v>
      </c>
      <c r="X738">
        <f t="shared" si="46"/>
        <v>0.373452216</v>
      </c>
      <c r="Y738">
        <f t="shared" si="47"/>
        <v>0.20000000000000284</v>
      </c>
      <c r="Z738" s="1">
        <v>2</v>
      </c>
      <c r="AA738">
        <v>98</v>
      </c>
      <c r="AB738">
        <v>2.0400000000000001E-2</v>
      </c>
      <c r="AC738">
        <v>3</v>
      </c>
      <c r="AD738">
        <v>107</v>
      </c>
      <c r="AE738">
        <v>2.8000000000000001E-2</v>
      </c>
      <c r="AF738" t="s">
        <v>2591</v>
      </c>
      <c r="AG738" t="s">
        <v>2594</v>
      </c>
    </row>
    <row r="739" spans="1:33">
      <c r="A739" s="2" t="s">
        <v>125</v>
      </c>
      <c r="B739" s="2" t="s">
        <v>77</v>
      </c>
      <c r="C739" s="1">
        <v>0.611478776</v>
      </c>
      <c r="D739">
        <v>0.67681801600000002</v>
      </c>
      <c r="E739">
        <v>0.73326355300000001</v>
      </c>
      <c r="F739" s="1" t="s">
        <v>126</v>
      </c>
      <c r="G739" s="1">
        <v>1.6431372550000001</v>
      </c>
      <c r="H739" s="1">
        <v>35.1</v>
      </c>
      <c r="I739" s="1">
        <v>51</v>
      </c>
      <c r="J739" s="1">
        <v>0.67385344833333338</v>
      </c>
      <c r="K739" s="1">
        <v>0.54630843299999998</v>
      </c>
      <c r="L739" s="1">
        <v>0.68935555900000001</v>
      </c>
      <c r="M739" s="3">
        <v>0.65478744899999997</v>
      </c>
      <c r="N739" s="1" t="s">
        <v>78</v>
      </c>
      <c r="O739" s="1">
        <v>1.3914285710000001</v>
      </c>
      <c r="P739" s="1">
        <v>56.5</v>
      </c>
      <c r="Q739" s="1">
        <v>105</v>
      </c>
      <c r="R739" s="1">
        <v>0.63015048033333343</v>
      </c>
      <c r="S739" s="1">
        <v>0.10277578747075267</v>
      </c>
      <c r="T739" t="s">
        <v>886</v>
      </c>
      <c r="U739" s="1">
        <v>726</v>
      </c>
      <c r="V739">
        <f t="shared" si="44"/>
        <v>0.31788184674445485</v>
      </c>
      <c r="W739" s="1">
        <f t="shared" si="45"/>
        <v>21.4</v>
      </c>
      <c r="X739">
        <f t="shared" si="46"/>
        <v>0.25170868400000002</v>
      </c>
      <c r="Y739">
        <f t="shared" si="47"/>
        <v>54</v>
      </c>
      <c r="Z739" s="1">
        <v>2</v>
      </c>
      <c r="AA739">
        <v>98</v>
      </c>
      <c r="AB739">
        <v>2.0400000000000001E-2</v>
      </c>
      <c r="AC739">
        <v>3</v>
      </c>
      <c r="AD739">
        <v>96</v>
      </c>
      <c r="AE739">
        <v>3.1199999999999999E-2</v>
      </c>
      <c r="AF739" t="s">
        <v>2591</v>
      </c>
      <c r="AG739" t="s">
        <v>2590</v>
      </c>
    </row>
    <row r="740" spans="1:33">
      <c r="A740" s="2" t="s">
        <v>125</v>
      </c>
      <c r="B740" s="2" t="s">
        <v>79</v>
      </c>
      <c r="C740" s="1">
        <v>0.611478776</v>
      </c>
      <c r="D740">
        <v>0.67681801600000002</v>
      </c>
      <c r="E740">
        <v>0.73326355300000001</v>
      </c>
      <c r="F740" s="1" t="s">
        <v>126</v>
      </c>
      <c r="G740" s="1">
        <v>1.6431372550000001</v>
      </c>
      <c r="H740" s="1">
        <v>35.1</v>
      </c>
      <c r="I740" s="1">
        <v>51</v>
      </c>
      <c r="J740" s="1">
        <v>0.67385344833333338</v>
      </c>
      <c r="K740" s="1">
        <v>0.63652882899999996</v>
      </c>
      <c r="L740" s="1">
        <v>0.77536518600000004</v>
      </c>
      <c r="M740" s="3">
        <v>0.610415606</v>
      </c>
      <c r="N740" s="1" t="s">
        <v>80</v>
      </c>
      <c r="O740" s="1">
        <v>0.95325542600000002</v>
      </c>
      <c r="P740" s="1">
        <v>45.6</v>
      </c>
      <c r="Q740" s="1">
        <v>119.8</v>
      </c>
      <c r="R740" s="1">
        <v>0.67410320700000004</v>
      </c>
      <c r="S740" s="1">
        <v>0.15946995940435466</v>
      </c>
      <c r="T740" t="s">
        <v>887</v>
      </c>
      <c r="U740" s="1">
        <v>962</v>
      </c>
      <c r="V740">
        <f t="shared" si="44"/>
        <v>0.33146389689309036</v>
      </c>
      <c r="W740" s="1">
        <f t="shared" si="45"/>
        <v>10.5</v>
      </c>
      <c r="X740">
        <f t="shared" si="46"/>
        <v>0.68988182900000006</v>
      </c>
      <c r="Y740">
        <f t="shared" si="47"/>
        <v>68.8</v>
      </c>
      <c r="Z740" s="1">
        <v>1</v>
      </c>
      <c r="AA740">
        <v>99</v>
      </c>
      <c r="AB740">
        <v>1.01E-2</v>
      </c>
      <c r="AC740">
        <v>2</v>
      </c>
      <c r="AD740">
        <v>88</v>
      </c>
      <c r="AE740">
        <v>2.2700000000000001E-2</v>
      </c>
      <c r="AF740" t="s">
        <v>2591</v>
      </c>
      <c r="AG740" t="s">
        <v>2590</v>
      </c>
    </row>
    <row r="741" spans="1:33">
      <c r="A741" s="2" t="s">
        <v>125</v>
      </c>
      <c r="B741" s="2" t="s">
        <v>81</v>
      </c>
      <c r="C741" s="1">
        <v>0.611478776</v>
      </c>
      <c r="D741">
        <v>0.67681801600000002</v>
      </c>
      <c r="E741">
        <v>0.73326355300000001</v>
      </c>
      <c r="F741" s="1" t="s">
        <v>126</v>
      </c>
      <c r="G741" s="1">
        <v>1.6431372550000001</v>
      </c>
      <c r="H741" s="1">
        <v>35.1</v>
      </c>
      <c r="I741" s="1">
        <v>51</v>
      </c>
      <c r="J741" s="1">
        <v>0.67385344833333338</v>
      </c>
      <c r="K741" s="1">
        <v>0.50183280699999999</v>
      </c>
      <c r="L741" s="1">
        <v>0.68550824600000004</v>
      </c>
      <c r="M741" s="3">
        <v>0.66941488999999998</v>
      </c>
      <c r="N741" s="1" t="s">
        <v>82</v>
      </c>
      <c r="O741" s="1">
        <v>1.4359576970000001</v>
      </c>
      <c r="P741" s="1">
        <v>51</v>
      </c>
      <c r="Q741" s="1">
        <v>85.1</v>
      </c>
      <c r="R741" s="1">
        <v>0.61891864766666671</v>
      </c>
      <c r="S741" s="1">
        <v>0.12717865537223388</v>
      </c>
      <c r="T741" t="s">
        <v>888</v>
      </c>
      <c r="U741" s="1">
        <v>2918</v>
      </c>
      <c r="V741">
        <f t="shared" si="44"/>
        <v>0.38500947639527028</v>
      </c>
      <c r="W741" s="1">
        <f t="shared" si="45"/>
        <v>15.899999999999999</v>
      </c>
      <c r="X741">
        <f t="shared" si="46"/>
        <v>0.20717955799999999</v>
      </c>
      <c r="Y741">
        <f t="shared" si="47"/>
        <v>34.099999999999994</v>
      </c>
      <c r="Z741" s="1">
        <v>3</v>
      </c>
      <c r="AA741">
        <v>97</v>
      </c>
      <c r="AB741">
        <v>3.09E-2</v>
      </c>
      <c r="AC741">
        <v>3</v>
      </c>
      <c r="AD741">
        <v>98</v>
      </c>
      <c r="AE741">
        <v>3.0599999999999999E-2</v>
      </c>
      <c r="AF741" t="s">
        <v>2591</v>
      </c>
      <c r="AG741" t="s">
        <v>2589</v>
      </c>
    </row>
    <row r="742" spans="1:33">
      <c r="A742" s="2" t="s">
        <v>125</v>
      </c>
      <c r="B742" s="2" t="s">
        <v>83</v>
      </c>
      <c r="C742" s="1">
        <v>0.611478776</v>
      </c>
      <c r="D742">
        <v>0.67681801600000002</v>
      </c>
      <c r="E742">
        <v>0.73326355300000001</v>
      </c>
      <c r="F742" s="1" t="s">
        <v>126</v>
      </c>
      <c r="G742" s="1">
        <v>1.6431372550000001</v>
      </c>
      <c r="H742" s="1">
        <v>35.1</v>
      </c>
      <c r="I742" s="1">
        <v>51</v>
      </c>
      <c r="J742" s="1">
        <v>0.67385344833333338</v>
      </c>
      <c r="K742" s="1">
        <v>0.51815179099999997</v>
      </c>
      <c r="L742" s="1">
        <v>0.50115949400000004</v>
      </c>
      <c r="M742" s="3">
        <v>0.68053170600000001</v>
      </c>
      <c r="N742" s="1" t="s">
        <v>84</v>
      </c>
      <c r="O742" s="1">
        <v>1.760323887</v>
      </c>
      <c r="P742" s="1">
        <v>83.4</v>
      </c>
      <c r="Q742" s="1">
        <v>123.5</v>
      </c>
      <c r="R742" s="1">
        <v>0.56661433033333342</v>
      </c>
      <c r="S742" s="1">
        <v>0.20578262844187339</v>
      </c>
      <c r="T742" t="s">
        <v>889</v>
      </c>
      <c r="U742" s="1">
        <v>4452</v>
      </c>
      <c r="V742">
        <f t="shared" si="44"/>
        <v>0.40539501729585231</v>
      </c>
      <c r="W742" s="1">
        <f t="shared" si="45"/>
        <v>48.300000000000004</v>
      </c>
      <c r="X742">
        <f t="shared" si="46"/>
        <v>0.1171866319999999</v>
      </c>
      <c r="Y742">
        <f t="shared" si="47"/>
        <v>72.5</v>
      </c>
      <c r="Z742" s="1">
        <v>1</v>
      </c>
      <c r="AA742">
        <v>99</v>
      </c>
      <c r="AB742">
        <v>1.01E-2</v>
      </c>
      <c r="AC742">
        <v>2</v>
      </c>
      <c r="AD742">
        <v>94</v>
      </c>
      <c r="AE742">
        <v>2.1299999999999999E-2</v>
      </c>
      <c r="AF742" t="s">
        <v>2591</v>
      </c>
      <c r="AG742" t="s">
        <v>2589</v>
      </c>
    </row>
    <row r="743" spans="1:33">
      <c r="A743" s="2" t="s">
        <v>125</v>
      </c>
      <c r="B743" s="2" t="s">
        <v>85</v>
      </c>
      <c r="C743" s="1">
        <v>0.611478776</v>
      </c>
      <c r="D743">
        <v>0.67681801600000002</v>
      </c>
      <c r="E743">
        <v>0.73326355300000001</v>
      </c>
      <c r="F743" s="1" t="s">
        <v>126</v>
      </c>
      <c r="G743" s="1">
        <v>1.6431372550000001</v>
      </c>
      <c r="H743" s="1">
        <v>35.1</v>
      </c>
      <c r="I743" s="1">
        <v>51</v>
      </c>
      <c r="J743" s="1">
        <v>0.67385344833333338</v>
      </c>
      <c r="K743" s="1">
        <v>0.522280945</v>
      </c>
      <c r="L743" s="1">
        <v>0.58016629799999997</v>
      </c>
      <c r="M743" s="3">
        <v>0.62446713499999995</v>
      </c>
      <c r="N743" s="1" t="s">
        <v>86</v>
      </c>
      <c r="O743" s="1">
        <v>0.57177615599999998</v>
      </c>
      <c r="P743" s="1">
        <v>19.5</v>
      </c>
      <c r="Q743" s="1">
        <v>82.2</v>
      </c>
      <c r="R743" s="1">
        <v>0.57563812599999997</v>
      </c>
      <c r="S743" s="1">
        <v>0.17068821932718975</v>
      </c>
      <c r="T743" t="s">
        <v>890</v>
      </c>
      <c r="U743" s="1">
        <v>87</v>
      </c>
      <c r="V743">
        <f t="shared" si="44"/>
        <v>0.21550213917984651</v>
      </c>
      <c r="W743" s="1">
        <f t="shared" si="45"/>
        <v>15.600000000000001</v>
      </c>
      <c r="X743">
        <f t="shared" si="46"/>
        <v>1.0713610990000002</v>
      </c>
      <c r="Y743">
        <f t="shared" si="47"/>
        <v>31.200000000000003</v>
      </c>
      <c r="Z743" s="1">
        <v>1</v>
      </c>
      <c r="AA743">
        <v>99</v>
      </c>
      <c r="AB743">
        <v>1.01E-2</v>
      </c>
      <c r="AC743">
        <v>2</v>
      </c>
      <c r="AD743">
        <v>159</v>
      </c>
      <c r="AE743">
        <v>1.26E-2</v>
      </c>
      <c r="AF743" t="s">
        <v>2591</v>
      </c>
      <c r="AG743" t="s">
        <v>2590</v>
      </c>
    </row>
    <row r="744" spans="1:33">
      <c r="A744" s="2" t="s">
        <v>125</v>
      </c>
      <c r="B744" s="2" t="s">
        <v>87</v>
      </c>
      <c r="C744" s="1">
        <v>0.611478776</v>
      </c>
      <c r="D744">
        <v>0.67681801600000002</v>
      </c>
      <c r="E744">
        <v>0.73326355300000001</v>
      </c>
      <c r="F744" s="1" t="s">
        <v>126</v>
      </c>
      <c r="G744" s="1">
        <v>1.6431372550000001</v>
      </c>
      <c r="H744" s="1">
        <v>35.1</v>
      </c>
      <c r="I744" s="1">
        <v>51</v>
      </c>
      <c r="J744" s="1">
        <v>0.67385344833333338</v>
      </c>
      <c r="K744" s="1">
        <v>0.46780425199999998</v>
      </c>
      <c r="L744" s="1">
        <v>0.54149707400000002</v>
      </c>
      <c r="M744" s="3">
        <v>0.61626236400000001</v>
      </c>
      <c r="N744" s="1" t="s">
        <v>88</v>
      </c>
      <c r="O744" s="1">
        <v>1.395454545</v>
      </c>
      <c r="P744" s="1">
        <v>65.2</v>
      </c>
      <c r="Q744" s="1">
        <v>110</v>
      </c>
      <c r="R744" s="1">
        <v>0.54185456333333337</v>
      </c>
      <c r="S744" s="1">
        <v>0.229441505438331</v>
      </c>
      <c r="T744" t="s">
        <v>891</v>
      </c>
      <c r="U744" s="1">
        <v>1851</v>
      </c>
      <c r="V744">
        <f t="shared" si="44"/>
        <v>0.36304515763921158</v>
      </c>
      <c r="W744" s="1">
        <f t="shared" si="45"/>
        <v>30.1</v>
      </c>
      <c r="X744">
        <f t="shared" si="46"/>
        <v>0.24768271000000008</v>
      </c>
      <c r="Y744">
        <f t="shared" si="47"/>
        <v>59</v>
      </c>
      <c r="Z744" s="1">
        <v>1</v>
      </c>
      <c r="AA744">
        <v>99</v>
      </c>
      <c r="AB744">
        <v>1.01E-2</v>
      </c>
      <c r="AC744">
        <v>2</v>
      </c>
      <c r="AD744">
        <v>92</v>
      </c>
      <c r="AE744">
        <v>2.1700000000000001E-2</v>
      </c>
      <c r="AF744" t="s">
        <v>2591</v>
      </c>
      <c r="AG744" t="s">
        <v>2590</v>
      </c>
    </row>
    <row r="745" spans="1:33">
      <c r="A745" s="2" t="s">
        <v>125</v>
      </c>
      <c r="B745" s="2" t="s">
        <v>89</v>
      </c>
      <c r="C745" s="1">
        <v>0.611478776</v>
      </c>
      <c r="D745">
        <v>0.67681801600000002</v>
      </c>
      <c r="E745">
        <v>0.73326355300000001</v>
      </c>
      <c r="F745" s="1" t="s">
        <v>126</v>
      </c>
      <c r="G745" s="1">
        <v>1.6431372550000001</v>
      </c>
      <c r="H745" s="1">
        <v>35.1</v>
      </c>
      <c r="I745" s="1">
        <v>51</v>
      </c>
      <c r="J745" s="1">
        <v>0.67385344833333338</v>
      </c>
      <c r="K745" s="1">
        <v>0.51097051500000001</v>
      </c>
      <c r="L745" s="1">
        <v>0.61917891400000002</v>
      </c>
      <c r="M745" s="3">
        <v>0.60984479800000002</v>
      </c>
      <c r="N745" s="1" t="s">
        <v>90</v>
      </c>
      <c r="O745" s="1">
        <v>1.429752066</v>
      </c>
      <c r="P745" s="1">
        <v>59.8</v>
      </c>
      <c r="Q745" s="1">
        <v>108.9</v>
      </c>
      <c r="R745" s="1">
        <v>0.57999807566666661</v>
      </c>
      <c r="S745" s="1">
        <v>0.1692819118936236</v>
      </c>
      <c r="T745" t="s">
        <v>892</v>
      </c>
      <c r="U745" s="1">
        <v>5527</v>
      </c>
      <c r="V745">
        <f t="shared" si="44"/>
        <v>0.41583216273130835</v>
      </c>
      <c r="W745" s="1">
        <f t="shared" si="45"/>
        <v>24.699999999999996</v>
      </c>
      <c r="X745">
        <f t="shared" si="46"/>
        <v>0.21338518900000003</v>
      </c>
      <c r="Y745">
        <f t="shared" si="47"/>
        <v>57.900000000000006</v>
      </c>
      <c r="Z745" s="1">
        <v>1</v>
      </c>
      <c r="AA745">
        <v>99</v>
      </c>
      <c r="AB745">
        <v>1.01E-2</v>
      </c>
      <c r="AC745">
        <v>2</v>
      </c>
      <c r="AD745">
        <v>101</v>
      </c>
      <c r="AE745">
        <v>1.9800000000000002E-2</v>
      </c>
      <c r="AF745" t="s">
        <v>2591</v>
      </c>
      <c r="AG745" t="s">
        <v>2589</v>
      </c>
    </row>
    <row r="746" spans="1:33">
      <c r="A746" s="2" t="s">
        <v>125</v>
      </c>
      <c r="B746" s="2" t="s">
        <v>91</v>
      </c>
      <c r="C746" s="1">
        <v>0.611478776</v>
      </c>
      <c r="D746">
        <v>0.67681801600000002</v>
      </c>
      <c r="E746">
        <v>0.73326355300000001</v>
      </c>
      <c r="F746" s="1" t="s">
        <v>126</v>
      </c>
      <c r="G746" s="1">
        <v>1.6431372550000001</v>
      </c>
      <c r="H746" s="1">
        <v>35.1</v>
      </c>
      <c r="I746" s="1">
        <v>51</v>
      </c>
      <c r="J746" s="1">
        <v>0.67385344833333338</v>
      </c>
      <c r="K746" s="1">
        <v>0.37439919700000002</v>
      </c>
      <c r="L746" s="1">
        <v>0.508839347</v>
      </c>
      <c r="M746" s="3">
        <v>0.52701193599999996</v>
      </c>
      <c r="N746" s="1" t="s">
        <v>92</v>
      </c>
      <c r="O746" s="1">
        <v>1.911504425</v>
      </c>
      <c r="P746" s="1">
        <v>24.6</v>
      </c>
      <c r="Q746" s="1">
        <v>33.9</v>
      </c>
      <c r="R746" s="1">
        <v>0.47008349333333332</v>
      </c>
      <c r="S746" s="1">
        <v>0.35631908387419203</v>
      </c>
      <c r="T746" t="s">
        <v>893</v>
      </c>
      <c r="U746" s="1">
        <v>318</v>
      </c>
      <c r="V746">
        <f t="shared" si="44"/>
        <v>0.27804745777604806</v>
      </c>
      <c r="W746" s="1">
        <f t="shared" si="45"/>
        <v>10.5</v>
      </c>
      <c r="X746">
        <f t="shared" si="46"/>
        <v>0.26836716999999988</v>
      </c>
      <c r="Y746">
        <f t="shared" si="47"/>
        <v>17.100000000000001</v>
      </c>
      <c r="Z746" s="1">
        <v>1</v>
      </c>
      <c r="AA746">
        <v>99</v>
      </c>
      <c r="AB746">
        <v>1.01E-2</v>
      </c>
      <c r="AC746">
        <v>2</v>
      </c>
      <c r="AD746">
        <v>108</v>
      </c>
      <c r="AE746">
        <v>1.8499999999999999E-2</v>
      </c>
      <c r="AF746" t="s">
        <v>2591</v>
      </c>
      <c r="AG746" t="s">
        <v>2590</v>
      </c>
    </row>
    <row r="747" spans="1:33">
      <c r="A747" s="2" t="s">
        <v>125</v>
      </c>
      <c r="B747" s="2" t="s">
        <v>93</v>
      </c>
      <c r="C747" s="1">
        <v>0.611478776</v>
      </c>
      <c r="D747">
        <v>0.67681801600000002</v>
      </c>
      <c r="E747">
        <v>0.73326355300000001</v>
      </c>
      <c r="F747" s="1" t="s">
        <v>126</v>
      </c>
      <c r="G747" s="1">
        <v>1.6431372550000001</v>
      </c>
      <c r="H747" s="1">
        <v>35.1</v>
      </c>
      <c r="I747" s="1">
        <v>51</v>
      </c>
      <c r="J747" s="1">
        <v>0.67385344833333338</v>
      </c>
      <c r="K747" s="1">
        <v>0.54134617200000001</v>
      </c>
      <c r="L747" s="1">
        <v>0.674899633</v>
      </c>
      <c r="M747" s="3">
        <v>0.719840174</v>
      </c>
      <c r="N747" s="1" t="s">
        <v>94</v>
      </c>
      <c r="O747" s="1">
        <v>1.175388967</v>
      </c>
      <c r="P747" s="1">
        <v>36.6</v>
      </c>
      <c r="Q747" s="1">
        <v>70.7</v>
      </c>
      <c r="R747" s="1">
        <v>0.64536199299999997</v>
      </c>
      <c r="S747" s="1">
        <v>7.1431431743547907E-2</v>
      </c>
      <c r="T747" t="s">
        <v>894</v>
      </c>
      <c r="U747" s="1">
        <v>609</v>
      </c>
      <c r="V747">
        <f t="shared" si="44"/>
        <v>0.3094019214036528</v>
      </c>
      <c r="W747" s="1">
        <f t="shared" si="45"/>
        <v>1.5</v>
      </c>
      <c r="X747">
        <f t="shared" si="46"/>
        <v>0.46774828800000012</v>
      </c>
      <c r="Y747">
        <f t="shared" si="47"/>
        <v>19.700000000000003</v>
      </c>
      <c r="Z747" s="1">
        <v>1</v>
      </c>
      <c r="AA747">
        <v>99</v>
      </c>
      <c r="AB747">
        <v>1.01E-2</v>
      </c>
      <c r="AC747">
        <v>2</v>
      </c>
      <c r="AD747">
        <v>99</v>
      </c>
      <c r="AE747">
        <v>2.0199999999999999E-2</v>
      </c>
      <c r="AF747" t="s">
        <v>2591</v>
      </c>
      <c r="AG747" t="s">
        <v>2589</v>
      </c>
    </row>
    <row r="748" spans="1:33">
      <c r="A748" s="2" t="s">
        <v>125</v>
      </c>
      <c r="B748" s="2" t="s">
        <v>95</v>
      </c>
      <c r="C748" s="1">
        <v>0.611478776</v>
      </c>
      <c r="D748">
        <v>0.67681801600000002</v>
      </c>
      <c r="E748">
        <v>0.73326355300000001</v>
      </c>
      <c r="F748" s="1" t="s">
        <v>126</v>
      </c>
      <c r="G748" s="1">
        <v>1.6431372550000001</v>
      </c>
      <c r="H748" s="1">
        <v>35.1</v>
      </c>
      <c r="I748" s="1">
        <v>51</v>
      </c>
      <c r="J748" s="1">
        <v>0.67385344833333338</v>
      </c>
      <c r="K748" s="1">
        <v>0.59462093100000002</v>
      </c>
      <c r="L748" s="1">
        <v>0.68038960500000001</v>
      </c>
      <c r="M748" s="3">
        <v>0.72533004899999998</v>
      </c>
      <c r="N748" s="1" t="s">
        <v>96</v>
      </c>
      <c r="O748" s="1">
        <v>1.9717647060000001</v>
      </c>
      <c r="P748" s="1">
        <v>34.6</v>
      </c>
      <c r="Q748" s="1">
        <v>42.5</v>
      </c>
      <c r="R748" s="1">
        <v>0.66678019499999996</v>
      </c>
      <c r="S748" s="1">
        <v>1.8970600194694997E-2</v>
      </c>
      <c r="T748" t="s">
        <v>895</v>
      </c>
      <c r="U748" s="1">
        <v>3618</v>
      </c>
      <c r="V748">
        <f t="shared" si="44"/>
        <v>0.3953853958359772</v>
      </c>
      <c r="W748" s="1">
        <f t="shared" si="45"/>
        <v>0.5</v>
      </c>
      <c r="X748">
        <f t="shared" si="46"/>
        <v>0.32862745100000001</v>
      </c>
      <c r="Y748">
        <f t="shared" si="47"/>
        <v>8.5</v>
      </c>
      <c r="Z748" s="1">
        <v>20</v>
      </c>
      <c r="AA748">
        <v>80</v>
      </c>
      <c r="AB748">
        <v>0.25</v>
      </c>
      <c r="AC748">
        <v>24</v>
      </c>
      <c r="AD748">
        <v>83</v>
      </c>
      <c r="AE748">
        <v>0.28920000000000001</v>
      </c>
      <c r="AF748" t="s">
        <v>2591</v>
      </c>
      <c r="AG748" t="s">
        <v>2593</v>
      </c>
    </row>
    <row r="749" spans="1:33">
      <c r="A749" s="2" t="s">
        <v>125</v>
      </c>
      <c r="B749" s="2" t="s">
        <v>97</v>
      </c>
      <c r="C749" s="1">
        <v>0.611478776</v>
      </c>
      <c r="D749">
        <v>0.67681801600000002</v>
      </c>
      <c r="E749">
        <v>0.73326355300000001</v>
      </c>
      <c r="F749" s="1" t="s">
        <v>126</v>
      </c>
      <c r="G749" s="1">
        <v>1.6431372550000001</v>
      </c>
      <c r="H749" s="1">
        <v>35.1</v>
      </c>
      <c r="I749" s="1">
        <v>51</v>
      </c>
      <c r="J749" s="1">
        <v>0.67385344833333338</v>
      </c>
      <c r="K749" s="1">
        <v>0.63674842300000001</v>
      </c>
      <c r="L749" s="1">
        <v>0.68532635500000005</v>
      </c>
      <c r="M749" s="3">
        <v>0.727031494</v>
      </c>
      <c r="N749" s="1" t="s">
        <v>98</v>
      </c>
      <c r="O749" s="1">
        <v>2.360103627</v>
      </c>
      <c r="P749" s="1">
        <v>36.799999999999997</v>
      </c>
      <c r="Q749" s="1">
        <v>38.6</v>
      </c>
      <c r="R749" s="1">
        <v>0.68303542400000017</v>
      </c>
      <c r="S749" s="1">
        <v>2.7382210491905361E-2</v>
      </c>
      <c r="T749" t="s">
        <v>896</v>
      </c>
      <c r="U749" s="1">
        <v>3157</v>
      </c>
      <c r="V749">
        <f t="shared" si="44"/>
        <v>0.38880828687691305</v>
      </c>
      <c r="W749" s="1">
        <f t="shared" si="45"/>
        <v>1.6999999999999957</v>
      </c>
      <c r="X749">
        <f t="shared" si="46"/>
        <v>0.71696637199999991</v>
      </c>
      <c r="Y749">
        <f t="shared" si="47"/>
        <v>12.399999999999999</v>
      </c>
      <c r="Z749" s="1">
        <v>16</v>
      </c>
      <c r="AA749">
        <v>84</v>
      </c>
      <c r="AB749">
        <v>0.1905</v>
      </c>
      <c r="AC749">
        <v>20</v>
      </c>
      <c r="AD749">
        <v>87</v>
      </c>
      <c r="AE749">
        <v>0.22989999999999999</v>
      </c>
      <c r="AF749" t="s">
        <v>2591</v>
      </c>
      <c r="AG749" t="s">
        <v>2593</v>
      </c>
    </row>
    <row r="750" spans="1:33">
      <c r="A750" s="2" t="s">
        <v>125</v>
      </c>
      <c r="B750" s="2" t="s">
        <v>99</v>
      </c>
      <c r="C750" s="1">
        <v>0.611478776</v>
      </c>
      <c r="D750">
        <v>0.67681801600000002</v>
      </c>
      <c r="E750">
        <v>0.73326355300000001</v>
      </c>
      <c r="F750" s="1" t="s">
        <v>126</v>
      </c>
      <c r="G750" s="1">
        <v>1.6431372550000001</v>
      </c>
      <c r="H750" s="1">
        <v>35.1</v>
      </c>
      <c r="I750" s="1">
        <v>51</v>
      </c>
      <c r="J750" s="1">
        <v>0.67385344833333338</v>
      </c>
      <c r="K750" s="1">
        <v>0.52525630099999998</v>
      </c>
      <c r="L750" s="1">
        <v>0.68706170200000005</v>
      </c>
      <c r="M750" s="3">
        <v>0.71473597300000002</v>
      </c>
      <c r="N750" s="1" t="s">
        <v>100</v>
      </c>
      <c r="O750" s="1">
        <v>1.72605042</v>
      </c>
      <c r="P750" s="1">
        <v>46.5</v>
      </c>
      <c r="Q750" s="1">
        <v>59.5</v>
      </c>
      <c r="R750" s="1">
        <v>0.64235132533333339</v>
      </c>
      <c r="S750" s="1">
        <v>8.8783554325385206E-2</v>
      </c>
      <c r="T750" t="s">
        <v>897</v>
      </c>
      <c r="U750" s="1">
        <v>884</v>
      </c>
      <c r="V750">
        <f t="shared" si="44"/>
        <v>0.32738358500145259</v>
      </c>
      <c r="W750" s="1">
        <f t="shared" si="45"/>
        <v>11.399999999999999</v>
      </c>
      <c r="X750">
        <f t="shared" si="46"/>
        <v>8.29131649999999E-2</v>
      </c>
      <c r="Y750">
        <f t="shared" si="47"/>
        <v>8.5</v>
      </c>
      <c r="Z750" s="1">
        <v>0</v>
      </c>
      <c r="AA750">
        <v>100</v>
      </c>
      <c r="AB750">
        <v>0</v>
      </c>
      <c r="AC750">
        <v>0</v>
      </c>
      <c r="AD750">
        <v>109</v>
      </c>
      <c r="AE750">
        <v>0</v>
      </c>
      <c r="AF750" t="s">
        <v>2591</v>
      </c>
      <c r="AG750" t="s">
        <v>2589</v>
      </c>
    </row>
    <row r="751" spans="1:33">
      <c r="A751" s="2" t="s">
        <v>125</v>
      </c>
      <c r="B751" s="2" t="s">
        <v>148</v>
      </c>
      <c r="C751" s="1">
        <v>0.611478776</v>
      </c>
      <c r="D751">
        <v>0.67681801600000002</v>
      </c>
      <c r="E751">
        <v>0.73326355300000001</v>
      </c>
      <c r="F751" s="1" t="s">
        <v>126</v>
      </c>
      <c r="G751" s="1">
        <v>1.6431372550000001</v>
      </c>
      <c r="H751" s="1">
        <v>35.1</v>
      </c>
      <c r="I751" s="1">
        <v>51</v>
      </c>
      <c r="J751" s="1">
        <v>0.67385344833333338</v>
      </c>
      <c r="K751" s="1">
        <v>0.52246277500000005</v>
      </c>
      <c r="L751" s="1">
        <v>0.64036274199999998</v>
      </c>
      <c r="M751" s="3">
        <v>0.62317592099999997</v>
      </c>
      <c r="N751" s="1" t="s">
        <v>149</v>
      </c>
      <c r="O751" s="1">
        <v>1.201000834</v>
      </c>
      <c r="P751" s="1">
        <v>59.2</v>
      </c>
      <c r="Q751" s="1">
        <v>119.9</v>
      </c>
      <c r="R751" s="1">
        <v>0.59533381266666663</v>
      </c>
      <c r="S751" s="1">
        <v>0.14619207282138968</v>
      </c>
      <c r="T751" t="s">
        <v>910</v>
      </c>
      <c r="U751" s="1">
        <v>1204</v>
      </c>
      <c r="V751">
        <f t="shared" si="44"/>
        <v>0.34229183188020063</v>
      </c>
      <c r="W751" s="1">
        <f t="shared" si="45"/>
        <v>24.1</v>
      </c>
      <c r="X751">
        <f t="shared" si="46"/>
        <v>0.44213642100000006</v>
      </c>
      <c r="Y751">
        <f t="shared" si="47"/>
        <v>68.900000000000006</v>
      </c>
      <c r="Z751" s="1">
        <v>1</v>
      </c>
      <c r="AA751">
        <v>99</v>
      </c>
      <c r="AB751">
        <v>1.01E-2</v>
      </c>
      <c r="AC751">
        <v>2</v>
      </c>
      <c r="AD751">
        <v>102</v>
      </c>
      <c r="AE751">
        <v>1.9599999999999999E-2</v>
      </c>
      <c r="AF751" t="s">
        <v>2591</v>
      </c>
      <c r="AG751" t="s">
        <v>2589</v>
      </c>
    </row>
    <row r="752" spans="1:33">
      <c r="A752" s="2" t="s">
        <v>125</v>
      </c>
      <c r="B752" s="2" t="s">
        <v>101</v>
      </c>
      <c r="C752" s="1">
        <v>0.611478776</v>
      </c>
      <c r="D752">
        <v>0.67681801600000002</v>
      </c>
      <c r="E752">
        <v>0.73326355300000001</v>
      </c>
      <c r="F752" s="1" t="s">
        <v>126</v>
      </c>
      <c r="G752" s="1">
        <v>1.6431372550000001</v>
      </c>
      <c r="H752" s="1">
        <v>35.1</v>
      </c>
      <c r="I752" s="1">
        <v>51</v>
      </c>
      <c r="J752" s="1">
        <v>0.67385344833333338</v>
      </c>
      <c r="K752" s="1">
        <v>0.57277697599999999</v>
      </c>
      <c r="L752" s="1">
        <v>0.64568820599999999</v>
      </c>
      <c r="M752" s="3">
        <v>0.70909993500000001</v>
      </c>
      <c r="N752" s="1" t="s">
        <v>102</v>
      </c>
      <c r="O752" s="1">
        <v>1.2818181820000001</v>
      </c>
      <c r="P752" s="1">
        <v>58</v>
      </c>
      <c r="Q752" s="1">
        <v>110</v>
      </c>
      <c r="R752" s="1">
        <v>0.64252170566666666</v>
      </c>
      <c r="S752" s="1">
        <v>5.5233819610144896E-2</v>
      </c>
      <c r="T752" t="s">
        <v>898</v>
      </c>
      <c r="U752" s="1">
        <v>2270</v>
      </c>
      <c r="V752">
        <f t="shared" si="44"/>
        <v>0.37289176191034695</v>
      </c>
      <c r="W752" s="1">
        <f t="shared" si="45"/>
        <v>22.9</v>
      </c>
      <c r="X752">
        <f t="shared" si="46"/>
        <v>0.36131907299999999</v>
      </c>
      <c r="Y752">
        <f t="shared" si="47"/>
        <v>59</v>
      </c>
      <c r="Z752" s="1">
        <v>2</v>
      </c>
      <c r="AA752">
        <v>98</v>
      </c>
      <c r="AB752">
        <v>2.0400000000000001E-2</v>
      </c>
      <c r="AC752">
        <v>3</v>
      </c>
      <c r="AD752">
        <v>99</v>
      </c>
      <c r="AE752">
        <v>3.0300000000000001E-2</v>
      </c>
      <c r="AF752" t="s">
        <v>2591</v>
      </c>
      <c r="AG752" t="s">
        <v>2589</v>
      </c>
    </row>
    <row r="753" spans="1:33">
      <c r="A753" s="2" t="s">
        <v>125</v>
      </c>
      <c r="B753" s="2" t="s">
        <v>103</v>
      </c>
      <c r="C753" s="1">
        <v>0.611478776</v>
      </c>
      <c r="D753">
        <v>0.67681801600000002</v>
      </c>
      <c r="E753">
        <v>0.73326355300000001</v>
      </c>
      <c r="F753" s="1" t="s">
        <v>126</v>
      </c>
      <c r="G753" s="1">
        <v>1.6431372550000001</v>
      </c>
      <c r="H753" s="1">
        <v>35.1</v>
      </c>
      <c r="I753" s="1">
        <v>51</v>
      </c>
      <c r="J753" s="1">
        <v>0.67385344833333338</v>
      </c>
      <c r="K753" s="1">
        <v>0.58538445800000005</v>
      </c>
      <c r="L753" s="1">
        <v>0.70461059999999998</v>
      </c>
      <c r="M753" s="3">
        <v>0.67846608399999997</v>
      </c>
      <c r="N753" s="1" t="s">
        <v>104</v>
      </c>
      <c r="O753" s="1">
        <v>1.1020080320000001</v>
      </c>
      <c r="P753" s="1">
        <v>58.7</v>
      </c>
      <c r="Q753" s="1">
        <v>124.5</v>
      </c>
      <c r="R753" s="1">
        <v>0.65615371400000011</v>
      </c>
      <c r="S753" s="1">
        <v>6.6754054304500043E-2</v>
      </c>
      <c r="T753" t="s">
        <v>899</v>
      </c>
      <c r="U753" s="1">
        <v>1352</v>
      </c>
      <c r="V753">
        <f t="shared" si="44"/>
        <v>0.34788629906729079</v>
      </c>
      <c r="W753" s="1">
        <f t="shared" si="45"/>
        <v>23.6</v>
      </c>
      <c r="X753">
        <f t="shared" si="46"/>
        <v>0.54112922299999999</v>
      </c>
      <c r="Y753">
        <f t="shared" si="47"/>
        <v>73.5</v>
      </c>
      <c r="Z753" s="1">
        <v>0</v>
      </c>
      <c r="AA753">
        <v>100</v>
      </c>
      <c r="AB753">
        <v>0</v>
      </c>
      <c r="AC753">
        <v>1</v>
      </c>
      <c r="AD753">
        <v>102</v>
      </c>
      <c r="AE753">
        <v>9.7999999999999997E-3</v>
      </c>
      <c r="AF753" t="s">
        <v>2591</v>
      </c>
      <c r="AG753" t="s">
        <v>2589</v>
      </c>
    </row>
    <row r="754" spans="1:33">
      <c r="A754" s="2" t="s">
        <v>125</v>
      </c>
      <c r="B754" s="2" t="s">
        <v>105</v>
      </c>
      <c r="C754" s="1">
        <v>0.611478776</v>
      </c>
      <c r="D754">
        <v>0.67681801600000002</v>
      </c>
      <c r="E754">
        <v>0.73326355300000001</v>
      </c>
      <c r="F754" s="1" t="s">
        <v>126</v>
      </c>
      <c r="G754" s="1">
        <v>1.6431372550000001</v>
      </c>
      <c r="H754" s="1">
        <v>35.1</v>
      </c>
      <c r="I754" s="1">
        <v>51</v>
      </c>
      <c r="J754" s="1">
        <v>0.67385344833333338</v>
      </c>
      <c r="K754" s="1">
        <v>0.56210716000000005</v>
      </c>
      <c r="L754" s="1">
        <v>0.68032504299999996</v>
      </c>
      <c r="M754" s="3">
        <v>0.71115907899999997</v>
      </c>
      <c r="N754" s="1" t="s">
        <v>106</v>
      </c>
      <c r="O754" s="1">
        <v>1.0978593270000001</v>
      </c>
      <c r="P754" s="1">
        <v>43.5</v>
      </c>
      <c r="Q754" s="1">
        <v>98.1</v>
      </c>
      <c r="R754" s="1">
        <v>0.65119709399999992</v>
      </c>
      <c r="S754" s="1">
        <v>5.4207596106513128E-2</v>
      </c>
      <c r="T754" t="s">
        <v>900</v>
      </c>
      <c r="U754" s="1">
        <v>24086</v>
      </c>
      <c r="V754">
        <f t="shared" si="44"/>
        <v>0.48686274244634714</v>
      </c>
      <c r="W754" s="1">
        <f t="shared" si="45"/>
        <v>8.3999999999999986</v>
      </c>
      <c r="X754">
        <f t="shared" si="46"/>
        <v>0.54527792799999997</v>
      </c>
      <c r="Y754">
        <f t="shared" si="47"/>
        <v>47.099999999999994</v>
      </c>
      <c r="Z754" s="1">
        <v>17</v>
      </c>
      <c r="AA754">
        <v>83</v>
      </c>
      <c r="AB754">
        <v>0.20480000000000001</v>
      </c>
      <c r="AC754">
        <v>19</v>
      </c>
      <c r="AD754">
        <v>102</v>
      </c>
      <c r="AE754">
        <v>0.18629999999999999</v>
      </c>
      <c r="AF754" t="s">
        <v>2591</v>
      </c>
      <c r="AG754" t="s">
        <v>2589</v>
      </c>
    </row>
    <row r="755" spans="1:33">
      <c r="A755" s="2" t="s">
        <v>125</v>
      </c>
      <c r="B755" s="2" t="s">
        <v>107</v>
      </c>
      <c r="C755" s="1">
        <v>0.611478776</v>
      </c>
      <c r="D755">
        <v>0.67681801600000002</v>
      </c>
      <c r="E755">
        <v>0.73326355300000001</v>
      </c>
      <c r="F755" s="1" t="s">
        <v>126</v>
      </c>
      <c r="G755" s="1">
        <v>1.6431372550000001</v>
      </c>
      <c r="H755" s="1">
        <v>35.1</v>
      </c>
      <c r="I755" s="1">
        <v>51</v>
      </c>
      <c r="J755" s="1">
        <v>0.67385344833333338</v>
      </c>
      <c r="K755" s="1">
        <v>0.61734740899999996</v>
      </c>
      <c r="L755" s="1">
        <v>0.68293216999999995</v>
      </c>
      <c r="M755" s="3">
        <v>0.69981194099999999</v>
      </c>
      <c r="N755" s="1" t="s">
        <v>108</v>
      </c>
      <c r="O755" s="1">
        <v>2</v>
      </c>
      <c r="P755" s="1">
        <v>19</v>
      </c>
      <c r="Q755" s="1">
        <v>21.1</v>
      </c>
      <c r="R755" s="1">
        <v>0.66669717333333323</v>
      </c>
      <c r="S755" s="1">
        <v>3.4508463857768991E-2</v>
      </c>
      <c r="T755" t="s">
        <v>901</v>
      </c>
      <c r="U755" s="1">
        <v>341</v>
      </c>
      <c r="V755">
        <f t="shared" si="44"/>
        <v>0.28141715322138861</v>
      </c>
      <c r="W755" s="1">
        <f t="shared" si="45"/>
        <v>16.100000000000001</v>
      </c>
      <c r="X755">
        <f t="shared" si="46"/>
        <v>0.35686274499999993</v>
      </c>
      <c r="Y755">
        <f t="shared" si="47"/>
        <v>29.9</v>
      </c>
      <c r="Z755" s="1">
        <v>0</v>
      </c>
      <c r="AA755">
        <v>100</v>
      </c>
      <c r="AB755">
        <v>0</v>
      </c>
      <c r="AC755">
        <v>0</v>
      </c>
      <c r="AD755">
        <v>97</v>
      </c>
      <c r="AE755">
        <v>0</v>
      </c>
      <c r="AF755" t="s">
        <v>2591</v>
      </c>
      <c r="AG755" t="s">
        <v>2588</v>
      </c>
    </row>
    <row r="756" spans="1:33">
      <c r="A756" s="2" t="s">
        <v>125</v>
      </c>
      <c r="B756" s="2" t="s">
        <v>109</v>
      </c>
      <c r="C756" s="1">
        <v>0.611478776</v>
      </c>
      <c r="D756">
        <v>0.67681801600000002</v>
      </c>
      <c r="E756">
        <v>0.73326355300000001</v>
      </c>
      <c r="F756" s="1" t="s">
        <v>126</v>
      </c>
      <c r="G756" s="1">
        <v>1.6431372550000001</v>
      </c>
      <c r="H756" s="1">
        <v>35.1</v>
      </c>
      <c r="I756" s="1">
        <v>51</v>
      </c>
      <c r="J756" s="1">
        <v>0.67385344833333338</v>
      </c>
      <c r="K756" s="1">
        <v>0.51638908800000005</v>
      </c>
      <c r="L756" s="1">
        <v>0.68684605300000001</v>
      </c>
      <c r="M756" s="3">
        <v>0.66065444600000001</v>
      </c>
      <c r="N756" s="1" t="s">
        <v>110</v>
      </c>
      <c r="O756" s="1">
        <v>1.2897862229999999</v>
      </c>
      <c r="P756" s="1">
        <v>49.4</v>
      </c>
      <c r="Q756" s="1">
        <v>84.2</v>
      </c>
      <c r="R756" s="1">
        <v>0.62129652899999999</v>
      </c>
      <c r="S756" s="1">
        <v>0.12006120401423664</v>
      </c>
      <c r="T756" t="s">
        <v>902</v>
      </c>
      <c r="U756" s="1">
        <v>936</v>
      </c>
      <c r="V756">
        <f t="shared" si="44"/>
        <v>0.33014176097090053</v>
      </c>
      <c r="W756" s="1">
        <f t="shared" si="45"/>
        <v>14.299999999999997</v>
      </c>
      <c r="X756">
        <f t="shared" si="46"/>
        <v>0.35335103200000018</v>
      </c>
      <c r="Y756">
        <f t="shared" si="47"/>
        <v>33.200000000000003</v>
      </c>
      <c r="Z756" s="1">
        <v>1</v>
      </c>
      <c r="AA756">
        <v>99</v>
      </c>
      <c r="AB756">
        <v>1.01E-2</v>
      </c>
      <c r="AC756">
        <v>2</v>
      </c>
      <c r="AD756">
        <v>116</v>
      </c>
      <c r="AE756">
        <v>1.72E-2</v>
      </c>
      <c r="AF756" t="s">
        <v>2591</v>
      </c>
      <c r="AG756" t="s">
        <v>2589</v>
      </c>
    </row>
    <row r="757" spans="1:33">
      <c r="A757" s="2" t="s">
        <v>125</v>
      </c>
      <c r="B757" s="2" t="s">
        <v>111</v>
      </c>
      <c r="C757" s="1">
        <v>0.611478776</v>
      </c>
      <c r="D757">
        <v>0.67681801600000002</v>
      </c>
      <c r="E757">
        <v>0.73326355300000001</v>
      </c>
      <c r="F757" s="1" t="s">
        <v>126</v>
      </c>
      <c r="G757" s="1">
        <v>1.6431372550000001</v>
      </c>
      <c r="H757" s="1">
        <v>35.1</v>
      </c>
      <c r="I757" s="1">
        <v>51</v>
      </c>
      <c r="J757" s="1">
        <v>0.67385344833333338</v>
      </c>
      <c r="K757" s="1">
        <v>0.60132418300000001</v>
      </c>
      <c r="L757" s="1">
        <v>0.67605095299999995</v>
      </c>
      <c r="M757" s="3">
        <v>0.74222981799999999</v>
      </c>
      <c r="N757" s="1" t="s">
        <v>112</v>
      </c>
      <c r="O757" s="1">
        <v>1.561403509</v>
      </c>
      <c r="P757" s="1">
        <v>30</v>
      </c>
      <c r="Q757" s="1">
        <v>45.6</v>
      </c>
      <c r="R757" s="1">
        <v>0.67320165133333332</v>
      </c>
      <c r="S757" s="1">
        <v>1.356827375504498E-2</v>
      </c>
      <c r="T757" t="s">
        <v>903</v>
      </c>
      <c r="U757" s="1">
        <v>29614</v>
      </c>
      <c r="V757">
        <f t="shared" si="44"/>
        <v>0.49683300800554647</v>
      </c>
      <c r="W757" s="1">
        <f t="shared" si="45"/>
        <v>5.1000000000000014</v>
      </c>
      <c r="X757">
        <f t="shared" si="46"/>
        <v>8.1733746000000052E-2</v>
      </c>
      <c r="Y757">
        <f t="shared" si="47"/>
        <v>5.3999999999999986</v>
      </c>
      <c r="Z757" s="1">
        <v>21</v>
      </c>
      <c r="AA757">
        <v>79</v>
      </c>
      <c r="AB757">
        <v>0.26579999999999998</v>
      </c>
      <c r="AC757">
        <v>27</v>
      </c>
      <c r="AD757">
        <v>86</v>
      </c>
      <c r="AE757">
        <v>0.314</v>
      </c>
      <c r="AF757" t="s">
        <v>2591</v>
      </c>
      <c r="AG757" t="s">
        <v>2591</v>
      </c>
    </row>
    <row r="758" spans="1:33">
      <c r="A758" s="2" t="s">
        <v>125</v>
      </c>
      <c r="B758" s="2" t="s">
        <v>113</v>
      </c>
      <c r="C758" s="1">
        <v>0.611478776</v>
      </c>
      <c r="D758">
        <v>0.67681801600000002</v>
      </c>
      <c r="E758">
        <v>0.73326355300000001</v>
      </c>
      <c r="F758" s="1" t="s">
        <v>126</v>
      </c>
      <c r="G758" s="1">
        <v>1.6431372550000001</v>
      </c>
      <c r="H758" s="1">
        <v>35.1</v>
      </c>
      <c r="I758" s="1">
        <v>51</v>
      </c>
      <c r="J758" s="1">
        <v>0.67385344833333338</v>
      </c>
      <c r="K758" s="1">
        <v>0.57440698499999998</v>
      </c>
      <c r="L758" s="1">
        <v>0.66920790399999996</v>
      </c>
      <c r="M758" s="3">
        <v>0.71602402300000001</v>
      </c>
      <c r="N758" s="1" t="s">
        <v>114</v>
      </c>
      <c r="O758" s="1">
        <v>2.5573248409999998</v>
      </c>
      <c r="P758" s="1">
        <v>34.299999999999997</v>
      </c>
      <c r="Q758" s="1">
        <v>31.4</v>
      </c>
      <c r="R758" s="1">
        <v>0.65321297066666661</v>
      </c>
      <c r="S758" s="1">
        <v>4.1586450764896102E-2</v>
      </c>
      <c r="T758" t="s">
        <v>904</v>
      </c>
      <c r="U758" s="1">
        <v>25422</v>
      </c>
      <c r="V758">
        <f t="shared" si="44"/>
        <v>0.48946774604273702</v>
      </c>
      <c r="W758" s="1">
        <f t="shared" si="45"/>
        <v>0.80000000000000426</v>
      </c>
      <c r="X758">
        <f t="shared" si="46"/>
        <v>0.91418758599999972</v>
      </c>
      <c r="Y758">
        <f t="shared" si="47"/>
        <v>19.600000000000001</v>
      </c>
      <c r="Z758" s="1">
        <v>14</v>
      </c>
      <c r="AA758">
        <v>86</v>
      </c>
      <c r="AB758">
        <v>0.1628</v>
      </c>
      <c r="AC758">
        <v>15</v>
      </c>
      <c r="AD758">
        <v>92</v>
      </c>
      <c r="AE758">
        <v>0.16300000000000001</v>
      </c>
      <c r="AF758" t="s">
        <v>2591</v>
      </c>
      <c r="AG758" t="s">
        <v>2593</v>
      </c>
    </row>
    <row r="759" spans="1:33">
      <c r="A759" s="2" t="s">
        <v>125</v>
      </c>
      <c r="B759" s="2" t="s">
        <v>115</v>
      </c>
      <c r="C759" s="1">
        <v>0.611478776</v>
      </c>
      <c r="D759">
        <v>0.67681801600000002</v>
      </c>
      <c r="E759">
        <v>0.73326355300000001</v>
      </c>
      <c r="F759" s="1" t="s">
        <v>126</v>
      </c>
      <c r="G759" s="1">
        <v>1.6431372550000001</v>
      </c>
      <c r="H759" s="1">
        <v>35.1</v>
      </c>
      <c r="I759" s="1">
        <v>51</v>
      </c>
      <c r="J759" s="1">
        <v>0.67385344833333338</v>
      </c>
      <c r="K759" s="1">
        <v>0.55237211100000005</v>
      </c>
      <c r="L759" s="1">
        <v>0.65961031000000003</v>
      </c>
      <c r="M759" s="3">
        <v>0.69215541599999997</v>
      </c>
      <c r="N759" s="1" t="s">
        <v>116</v>
      </c>
      <c r="O759" s="1">
        <v>1.149700599</v>
      </c>
      <c r="P759" s="1">
        <v>66.900000000000006</v>
      </c>
      <c r="Q759" s="1">
        <v>133.6</v>
      </c>
      <c r="R759" s="1">
        <v>0.63471261233333331</v>
      </c>
      <c r="S759" s="1">
        <v>7.4024198211229728E-2</v>
      </c>
      <c r="T759" t="s">
        <v>905</v>
      </c>
      <c r="U759" s="1">
        <v>1994</v>
      </c>
      <c r="V759">
        <f t="shared" si="44"/>
        <v>0.36663612821951519</v>
      </c>
      <c r="W759" s="1">
        <f t="shared" si="45"/>
        <v>31.800000000000004</v>
      </c>
      <c r="X759">
        <f t="shared" si="46"/>
        <v>0.49343665600000008</v>
      </c>
      <c r="Y759">
        <f t="shared" si="47"/>
        <v>82.6</v>
      </c>
      <c r="Z759" s="1">
        <v>1</v>
      </c>
      <c r="AA759">
        <v>99</v>
      </c>
      <c r="AB759">
        <v>1.01E-2</v>
      </c>
      <c r="AC759">
        <v>2</v>
      </c>
      <c r="AD759">
        <v>110</v>
      </c>
      <c r="AE759">
        <v>1.8200000000000001E-2</v>
      </c>
      <c r="AF759" t="s">
        <v>2591</v>
      </c>
      <c r="AG759" t="s">
        <v>2589</v>
      </c>
    </row>
    <row r="760" spans="1:33">
      <c r="A760" s="2" t="s">
        <v>125</v>
      </c>
      <c r="B760" s="2" t="s">
        <v>117</v>
      </c>
      <c r="C760" s="1">
        <v>0.611478776</v>
      </c>
      <c r="D760">
        <v>0.67681801600000002</v>
      </c>
      <c r="E760">
        <v>0.73326355300000001</v>
      </c>
      <c r="F760" s="1" t="s">
        <v>126</v>
      </c>
      <c r="G760" s="1">
        <v>1.6431372550000001</v>
      </c>
      <c r="H760" s="1">
        <v>35.1</v>
      </c>
      <c r="I760" s="1">
        <v>51</v>
      </c>
      <c r="J760" s="1">
        <v>0.67385344833333338</v>
      </c>
      <c r="K760" s="1">
        <v>0.52788907299999999</v>
      </c>
      <c r="L760" s="1">
        <v>0.665074418</v>
      </c>
      <c r="M760" s="3">
        <v>0.69056128699999997</v>
      </c>
      <c r="N760" s="1" t="s">
        <v>118</v>
      </c>
      <c r="O760" s="1">
        <v>1.0818253339999999</v>
      </c>
      <c r="P760" s="1">
        <v>58.4</v>
      </c>
      <c r="Q760" s="1">
        <v>127.1</v>
      </c>
      <c r="R760" s="1">
        <v>0.62784159266666661</v>
      </c>
      <c r="S760" s="1">
        <v>9.4597220166073456E-2</v>
      </c>
      <c r="T760" t="s">
        <v>906</v>
      </c>
      <c r="U760" s="1">
        <v>2761</v>
      </c>
      <c r="V760">
        <f t="shared" si="44"/>
        <v>0.38234071184880702</v>
      </c>
      <c r="W760" s="1">
        <f t="shared" si="45"/>
        <v>23.299999999999997</v>
      </c>
      <c r="X760">
        <f t="shared" si="46"/>
        <v>0.56131192100000016</v>
      </c>
      <c r="Y760">
        <f t="shared" si="47"/>
        <v>76.099999999999994</v>
      </c>
      <c r="Z760" s="1">
        <v>1</v>
      </c>
      <c r="AA760">
        <v>99</v>
      </c>
      <c r="AB760">
        <v>1.01E-2</v>
      </c>
      <c r="AC760">
        <v>2</v>
      </c>
      <c r="AD760">
        <v>122</v>
      </c>
      <c r="AE760">
        <v>1.6400000000000001E-2</v>
      </c>
      <c r="AF760" t="s">
        <v>2591</v>
      </c>
      <c r="AG760" t="s">
        <v>2589</v>
      </c>
    </row>
    <row r="761" spans="1:33">
      <c r="A761" s="2" t="s">
        <v>125</v>
      </c>
      <c r="B761" s="2" t="s">
        <v>119</v>
      </c>
      <c r="C761" s="1">
        <v>0.611478776</v>
      </c>
      <c r="D761">
        <v>0.67681801600000002</v>
      </c>
      <c r="E761">
        <v>0.73326355300000001</v>
      </c>
      <c r="F761" s="1" t="s">
        <v>126</v>
      </c>
      <c r="G761" s="1">
        <v>1.6431372550000001</v>
      </c>
      <c r="H761" s="1">
        <v>35.1</v>
      </c>
      <c r="I761" s="1">
        <v>51</v>
      </c>
      <c r="J761" s="1">
        <v>0.67385344833333338</v>
      </c>
      <c r="K761" s="1">
        <v>0.48582609999999998</v>
      </c>
      <c r="L761" s="1">
        <v>0.67226483999999997</v>
      </c>
      <c r="M761" s="3">
        <v>0.68571362400000002</v>
      </c>
      <c r="N761" s="1" t="s">
        <v>120</v>
      </c>
      <c r="O761" s="1">
        <v>1.1435028249999999</v>
      </c>
      <c r="P761" s="1">
        <v>42.6</v>
      </c>
      <c r="Q761" s="1">
        <v>88.5</v>
      </c>
      <c r="R761" s="1">
        <v>0.61460152133333334</v>
      </c>
      <c r="S761" s="1">
        <v>0.13442589834385707</v>
      </c>
      <c r="T761" t="s">
        <v>907</v>
      </c>
      <c r="U761" s="1">
        <v>719</v>
      </c>
      <c r="V761">
        <f t="shared" si="44"/>
        <v>0.31741432115365359</v>
      </c>
      <c r="W761" s="1">
        <f t="shared" si="45"/>
        <v>7.5</v>
      </c>
      <c r="X761">
        <f t="shared" si="46"/>
        <v>0.49963443000000018</v>
      </c>
      <c r="Y761">
        <f t="shared" si="47"/>
        <v>37.5</v>
      </c>
      <c r="Z761" s="1">
        <v>1</v>
      </c>
      <c r="AA761">
        <v>99</v>
      </c>
      <c r="AB761">
        <v>1.01E-2</v>
      </c>
      <c r="AC761">
        <v>2</v>
      </c>
      <c r="AD761">
        <v>110</v>
      </c>
      <c r="AE761">
        <v>1.8200000000000001E-2</v>
      </c>
      <c r="AF761" t="s">
        <v>2591</v>
      </c>
      <c r="AG761" t="s">
        <v>2589</v>
      </c>
    </row>
    <row r="762" spans="1:33">
      <c r="A762" s="2" t="s">
        <v>125</v>
      </c>
      <c r="B762" s="2" t="s">
        <v>121</v>
      </c>
      <c r="C762" s="1">
        <v>0.611478776</v>
      </c>
      <c r="D762">
        <v>0.67681801600000002</v>
      </c>
      <c r="E762">
        <v>0.73326355300000001</v>
      </c>
      <c r="F762" s="1" t="s">
        <v>126</v>
      </c>
      <c r="G762" s="1">
        <v>1.6431372550000001</v>
      </c>
      <c r="H762" s="1">
        <v>35.1</v>
      </c>
      <c r="I762" s="1">
        <v>51</v>
      </c>
      <c r="J762" s="1">
        <v>0.67385344833333338</v>
      </c>
      <c r="K762" s="1">
        <v>0.57363214500000004</v>
      </c>
      <c r="L762" s="1">
        <v>0.65876685800000001</v>
      </c>
      <c r="M762" s="3">
        <v>0.71110834000000001</v>
      </c>
      <c r="N762" s="1" t="s">
        <v>122</v>
      </c>
      <c r="O762" s="1">
        <v>2.4518664050000001</v>
      </c>
      <c r="P762" s="1">
        <v>50.1</v>
      </c>
      <c r="Q762" s="1">
        <v>50.9</v>
      </c>
      <c r="R762" s="1">
        <v>0.64783578100000005</v>
      </c>
      <c r="S762" s="1">
        <v>4.7424310709450399E-2</v>
      </c>
      <c r="T762" t="s">
        <v>908</v>
      </c>
      <c r="U762" s="1">
        <v>8746</v>
      </c>
      <c r="V762">
        <f t="shared" si="44"/>
        <v>0.43797883033431534</v>
      </c>
      <c r="W762" s="1">
        <f t="shared" si="45"/>
        <v>15</v>
      </c>
      <c r="X762">
        <f t="shared" si="46"/>
        <v>0.80872915000000001</v>
      </c>
      <c r="Y762">
        <f t="shared" si="47"/>
        <v>0.10000000000000142</v>
      </c>
      <c r="Z762" s="1">
        <v>23</v>
      </c>
      <c r="AA762">
        <v>77</v>
      </c>
      <c r="AB762">
        <v>0.29870000000000002</v>
      </c>
      <c r="AC762">
        <v>29</v>
      </c>
      <c r="AD762">
        <v>90</v>
      </c>
      <c r="AE762">
        <v>0.32219999999999999</v>
      </c>
      <c r="AF762" t="s">
        <v>2591</v>
      </c>
      <c r="AG762" t="s">
        <v>2593</v>
      </c>
    </row>
    <row r="763" spans="1:33">
      <c r="A763" s="2" t="s">
        <v>125</v>
      </c>
      <c r="B763" s="2" t="s">
        <v>123</v>
      </c>
      <c r="C763" s="1">
        <v>0.611478776</v>
      </c>
      <c r="D763">
        <v>0.67681801600000002</v>
      </c>
      <c r="E763">
        <v>0.73326355300000001</v>
      </c>
      <c r="F763" s="1" t="s">
        <v>126</v>
      </c>
      <c r="G763" s="1">
        <v>1.6431372550000001</v>
      </c>
      <c r="H763" s="1">
        <v>35.1</v>
      </c>
      <c r="I763" s="1">
        <v>51</v>
      </c>
      <c r="J763" s="1">
        <v>0.67385344833333338</v>
      </c>
      <c r="K763" s="1">
        <v>0.59184352799999995</v>
      </c>
      <c r="L763" s="1">
        <v>0.67011857600000002</v>
      </c>
      <c r="M763" s="3">
        <v>0.74025419199999998</v>
      </c>
      <c r="N763" s="1" t="s">
        <v>124</v>
      </c>
      <c r="O763" s="1">
        <v>1.7166666669999999</v>
      </c>
      <c r="P763" s="1">
        <v>26</v>
      </c>
      <c r="Q763" s="1">
        <v>36</v>
      </c>
      <c r="R763" s="1">
        <v>0.66740543199999991</v>
      </c>
      <c r="S763" s="1">
        <v>2.1892795480783774E-2</v>
      </c>
      <c r="T763" t="s">
        <v>909</v>
      </c>
      <c r="U763" s="1">
        <v>40757</v>
      </c>
      <c r="V763">
        <f t="shared" si="44"/>
        <v>0.51224468993357997</v>
      </c>
      <c r="W763" s="1">
        <f t="shared" si="45"/>
        <v>9.1000000000000014</v>
      </c>
      <c r="X763">
        <f t="shared" si="46"/>
        <v>7.352941199999985E-2</v>
      </c>
      <c r="Y763">
        <f t="shared" si="47"/>
        <v>15</v>
      </c>
      <c r="Z763" s="1">
        <v>19</v>
      </c>
      <c r="AA763">
        <v>81</v>
      </c>
      <c r="AB763">
        <v>0.2346</v>
      </c>
      <c r="AC763">
        <v>26</v>
      </c>
      <c r="AD763">
        <v>88</v>
      </c>
      <c r="AE763">
        <v>0.29549999999999998</v>
      </c>
      <c r="AF763" t="s">
        <v>2591</v>
      </c>
      <c r="AG763" t="s">
        <v>2591</v>
      </c>
    </row>
    <row r="764" spans="1:33">
      <c r="A764" s="2" t="s">
        <v>123</v>
      </c>
      <c r="B764" s="2" t="s">
        <v>10</v>
      </c>
      <c r="C764" s="1">
        <v>0.59184352799999995</v>
      </c>
      <c r="D764">
        <v>0.67011857600000002</v>
      </c>
      <c r="E764">
        <v>0.74025419199999998</v>
      </c>
      <c r="F764" s="1" t="s">
        <v>124</v>
      </c>
      <c r="G764" s="1">
        <v>1.7166666669999999</v>
      </c>
      <c r="H764" s="1">
        <v>26</v>
      </c>
      <c r="I764" s="1">
        <v>36</v>
      </c>
      <c r="J764" s="1">
        <v>0.66740543199999991</v>
      </c>
      <c r="K764" s="1">
        <v>0.52456325500000001</v>
      </c>
      <c r="L764" s="1">
        <v>0.61925627999999999</v>
      </c>
      <c r="M764" s="3">
        <v>0.72111139899999999</v>
      </c>
      <c r="N764" s="1" t="s">
        <v>12</v>
      </c>
      <c r="O764" s="1">
        <v>0.61690647499999995</v>
      </c>
      <c r="P764" s="1">
        <v>30</v>
      </c>
      <c r="Q764" s="1">
        <v>111.2</v>
      </c>
      <c r="R764" s="1">
        <v>0.62164364466666666</v>
      </c>
      <c r="S764" s="1">
        <v>8.6487310128058617E-2</v>
      </c>
      <c r="T764" t="s">
        <v>911</v>
      </c>
      <c r="U764" s="1">
        <v>186</v>
      </c>
      <c r="V764">
        <f t="shared" si="44"/>
        <v>0.25216810491310182</v>
      </c>
      <c r="W764" s="1">
        <f t="shared" si="45"/>
        <v>4</v>
      </c>
      <c r="X764">
        <f t="shared" si="46"/>
        <v>1.099760192</v>
      </c>
      <c r="Y764">
        <f t="shared" si="47"/>
        <v>75.2</v>
      </c>
      <c r="Z764" s="1">
        <v>0</v>
      </c>
      <c r="AA764">
        <v>100</v>
      </c>
      <c r="AB764">
        <v>0</v>
      </c>
      <c r="AC764">
        <v>0</v>
      </c>
      <c r="AD764">
        <v>159</v>
      </c>
      <c r="AE764">
        <v>0</v>
      </c>
      <c r="AF764" t="s">
        <v>2591</v>
      </c>
      <c r="AG764" t="s">
        <v>2588</v>
      </c>
    </row>
    <row r="765" spans="1:33">
      <c r="A765" s="2" t="s">
        <v>123</v>
      </c>
      <c r="B765" s="2" t="s">
        <v>13</v>
      </c>
      <c r="C765" s="1">
        <v>0.59184352799999995</v>
      </c>
      <c r="D765">
        <v>0.67011857600000002</v>
      </c>
      <c r="E765">
        <v>0.74025419199999998</v>
      </c>
      <c r="F765" s="1" t="s">
        <v>124</v>
      </c>
      <c r="G765" s="1">
        <v>1.7166666669999999</v>
      </c>
      <c r="H765" s="1">
        <v>26</v>
      </c>
      <c r="I765" s="1">
        <v>36</v>
      </c>
      <c r="J765" s="1">
        <v>0.66740543199999991</v>
      </c>
      <c r="K765" s="1">
        <v>0.48695497399999998</v>
      </c>
      <c r="L765" s="1">
        <v>0.54991327199999995</v>
      </c>
      <c r="M765" s="3">
        <v>0.67282609299999996</v>
      </c>
      <c r="N765" s="1" t="s">
        <v>14</v>
      </c>
      <c r="O765" s="1">
        <v>1.6052009460000001</v>
      </c>
      <c r="P765" s="1">
        <v>26.6</v>
      </c>
      <c r="Q765" s="1">
        <v>42.3</v>
      </c>
      <c r="R765" s="1">
        <v>0.56989811299999993</v>
      </c>
      <c r="S765" s="1">
        <v>0.17319778406404956</v>
      </c>
      <c r="T765" t="s">
        <v>912</v>
      </c>
      <c r="U765" s="1">
        <v>261</v>
      </c>
      <c r="V765">
        <f t="shared" si="44"/>
        <v>0.26851561192647566</v>
      </c>
      <c r="W765" s="1">
        <f t="shared" si="45"/>
        <v>0.60000000000000142</v>
      </c>
      <c r="X765">
        <f t="shared" si="46"/>
        <v>0.11146572099999985</v>
      </c>
      <c r="Y765">
        <f t="shared" si="47"/>
        <v>6.2999999999999972</v>
      </c>
      <c r="Z765" s="1">
        <v>0</v>
      </c>
      <c r="AA765">
        <v>100</v>
      </c>
      <c r="AB765">
        <v>0</v>
      </c>
      <c r="AC765">
        <v>0</v>
      </c>
      <c r="AD765">
        <v>106</v>
      </c>
      <c r="AE765">
        <v>0</v>
      </c>
      <c r="AF765" t="s">
        <v>2591</v>
      </c>
      <c r="AG765" t="s">
        <v>2590</v>
      </c>
    </row>
    <row r="766" spans="1:33">
      <c r="A766" s="2" t="s">
        <v>123</v>
      </c>
      <c r="B766" s="2" t="s">
        <v>15</v>
      </c>
      <c r="C766" s="1">
        <v>0.59184352799999995</v>
      </c>
      <c r="D766">
        <v>0.67011857600000002</v>
      </c>
      <c r="E766">
        <v>0.74025419199999998</v>
      </c>
      <c r="F766" s="1" t="s">
        <v>124</v>
      </c>
      <c r="G766" s="1">
        <v>1.7166666669999999</v>
      </c>
      <c r="H766" s="1">
        <v>26</v>
      </c>
      <c r="I766" s="1">
        <v>36</v>
      </c>
      <c r="J766" s="1">
        <v>0.66740543199999991</v>
      </c>
      <c r="K766" s="1">
        <v>0.54560998800000005</v>
      </c>
      <c r="L766" s="1">
        <v>0.66721428400000005</v>
      </c>
      <c r="M766" s="3">
        <v>0.72650398400000005</v>
      </c>
      <c r="N766" s="1" t="s">
        <v>16</v>
      </c>
      <c r="O766" s="1">
        <v>5.1392405060000002</v>
      </c>
      <c r="P766" s="1">
        <v>35.9</v>
      </c>
      <c r="Q766" s="1">
        <v>15.8</v>
      </c>
      <c r="R766" s="1">
        <v>0.64644275200000012</v>
      </c>
      <c r="S766" s="1">
        <v>4.8322286297278166E-2</v>
      </c>
      <c r="T766" t="s">
        <v>913</v>
      </c>
      <c r="U766" s="1">
        <v>200885</v>
      </c>
      <c r="V766">
        <f t="shared" si="44"/>
        <v>0.58921638992991887</v>
      </c>
      <c r="W766" s="1">
        <f t="shared" si="45"/>
        <v>9.8999999999999986</v>
      </c>
      <c r="X766">
        <f t="shared" si="46"/>
        <v>3.422573839</v>
      </c>
      <c r="Y766">
        <f t="shared" si="47"/>
        <v>20.2</v>
      </c>
      <c r="Z766" s="1">
        <v>24</v>
      </c>
      <c r="AA766">
        <v>76</v>
      </c>
      <c r="AB766">
        <v>0.31580000000000003</v>
      </c>
      <c r="AC766">
        <v>28</v>
      </c>
      <c r="AD766">
        <v>74</v>
      </c>
      <c r="AE766">
        <v>0.37840000000000001</v>
      </c>
      <c r="AF766" t="s">
        <v>2591</v>
      </c>
      <c r="AG766" t="s">
        <v>2591</v>
      </c>
    </row>
    <row r="767" spans="1:33">
      <c r="A767" s="2" t="s">
        <v>123</v>
      </c>
      <c r="B767" s="2" t="s">
        <v>17</v>
      </c>
      <c r="C767" s="1">
        <v>0.59184352799999995</v>
      </c>
      <c r="D767">
        <v>0.67011857600000002</v>
      </c>
      <c r="E767">
        <v>0.74025419199999998</v>
      </c>
      <c r="F767" s="1" t="s">
        <v>124</v>
      </c>
      <c r="G767" s="1">
        <v>1.7166666669999999</v>
      </c>
      <c r="H767" s="1">
        <v>26</v>
      </c>
      <c r="I767" s="1">
        <v>36</v>
      </c>
      <c r="J767" s="1">
        <v>0.66740543199999991</v>
      </c>
      <c r="K767" s="1">
        <v>0.659112378</v>
      </c>
      <c r="L767" s="1">
        <v>0.68333493499999998</v>
      </c>
      <c r="M767" s="3">
        <v>0.70345495199999997</v>
      </c>
      <c r="N767" s="1" t="s">
        <v>18</v>
      </c>
      <c r="O767" s="1">
        <v>1.9463955639999999</v>
      </c>
      <c r="P767" s="1">
        <v>46.3</v>
      </c>
      <c r="Q767" s="1">
        <v>54.1</v>
      </c>
      <c r="R767" s="1">
        <v>0.68196742166666668</v>
      </c>
      <c r="S767" s="1">
        <v>7.7807161560597915E-2</v>
      </c>
      <c r="T767" t="s">
        <v>914</v>
      </c>
      <c r="U767" s="1">
        <v>8810</v>
      </c>
      <c r="V767">
        <f t="shared" si="44"/>
        <v>0.43833065649022751</v>
      </c>
      <c r="W767" s="1">
        <f t="shared" si="45"/>
        <v>20.299999999999997</v>
      </c>
      <c r="X767">
        <f t="shared" si="46"/>
        <v>0.22972889699999999</v>
      </c>
      <c r="Y767">
        <f t="shared" si="47"/>
        <v>18.100000000000001</v>
      </c>
      <c r="Z767" s="1">
        <v>16</v>
      </c>
      <c r="AA767">
        <v>84</v>
      </c>
      <c r="AB767">
        <v>0.1905</v>
      </c>
      <c r="AC767">
        <v>21</v>
      </c>
      <c r="AD767">
        <v>95</v>
      </c>
      <c r="AE767">
        <v>0.22109999999999999</v>
      </c>
      <c r="AF767" t="s">
        <v>2591</v>
      </c>
      <c r="AG767" t="s">
        <v>2591</v>
      </c>
    </row>
    <row r="768" spans="1:33">
      <c r="A768" s="2" t="s">
        <v>123</v>
      </c>
      <c r="B768" s="2" t="s">
        <v>19</v>
      </c>
      <c r="C768" s="1">
        <v>0.59184352799999995</v>
      </c>
      <c r="D768">
        <v>0.67011857600000002</v>
      </c>
      <c r="E768">
        <v>0.74025419199999998</v>
      </c>
      <c r="F768" s="1" t="s">
        <v>124</v>
      </c>
      <c r="G768" s="1">
        <v>1.7166666669999999</v>
      </c>
      <c r="H768" s="1">
        <v>26</v>
      </c>
      <c r="I768" s="1">
        <v>36</v>
      </c>
      <c r="J768" s="1">
        <v>0.66740543199999991</v>
      </c>
      <c r="K768" s="1">
        <v>0.49391595300000002</v>
      </c>
      <c r="L768" s="1">
        <v>0.603599314</v>
      </c>
      <c r="M768" s="3">
        <v>0.63481471599999995</v>
      </c>
      <c r="N768" s="1" t="s">
        <v>20</v>
      </c>
      <c r="O768" s="1">
        <v>1.2140902870000001</v>
      </c>
      <c r="P768" s="1">
        <v>64.900000000000006</v>
      </c>
      <c r="Q768" s="1">
        <v>146.19999999999999</v>
      </c>
      <c r="R768" s="1">
        <v>0.57744332766666662</v>
      </c>
      <c r="S768" s="1">
        <v>0.15853108610477581</v>
      </c>
      <c r="T768" t="s">
        <v>915</v>
      </c>
      <c r="U768" s="1">
        <v>9822</v>
      </c>
      <c r="V768">
        <f t="shared" si="44"/>
        <v>0.44357776997728726</v>
      </c>
      <c r="W768" s="1">
        <f t="shared" si="45"/>
        <v>38.900000000000006</v>
      </c>
      <c r="X768">
        <f t="shared" si="46"/>
        <v>0.50257637999999982</v>
      </c>
      <c r="Y768">
        <f t="shared" si="47"/>
        <v>110.19999999999999</v>
      </c>
      <c r="Z768" s="1">
        <v>2</v>
      </c>
      <c r="AA768">
        <v>98</v>
      </c>
      <c r="AB768">
        <v>2.0400000000000001E-2</v>
      </c>
      <c r="AC768">
        <v>3</v>
      </c>
      <c r="AD768">
        <v>93</v>
      </c>
      <c r="AE768">
        <v>3.2300000000000002E-2</v>
      </c>
      <c r="AF768" t="s">
        <v>2591</v>
      </c>
      <c r="AG768" t="s">
        <v>2593</v>
      </c>
    </row>
    <row r="769" spans="1:33">
      <c r="A769" s="2" t="s">
        <v>123</v>
      </c>
      <c r="B769" s="2" t="s">
        <v>21</v>
      </c>
      <c r="C769" s="1">
        <v>0.59184352799999995</v>
      </c>
      <c r="D769">
        <v>0.67011857600000002</v>
      </c>
      <c r="E769">
        <v>0.74025419199999998</v>
      </c>
      <c r="F769" s="1" t="s">
        <v>124</v>
      </c>
      <c r="G769" s="1">
        <v>1.7166666669999999</v>
      </c>
      <c r="H769" s="1">
        <v>26</v>
      </c>
      <c r="I769" s="1">
        <v>36</v>
      </c>
      <c r="J769" s="1">
        <v>0.66740543199999991</v>
      </c>
      <c r="K769" s="1">
        <v>0.53276376800000003</v>
      </c>
      <c r="L769" s="1">
        <v>0.65428149899999999</v>
      </c>
      <c r="M769" s="3">
        <v>0.70160154799999996</v>
      </c>
      <c r="N769" s="1" t="s">
        <v>22</v>
      </c>
      <c r="O769" s="1">
        <v>1.2440604749999999</v>
      </c>
      <c r="P769" s="1">
        <v>24.6</v>
      </c>
      <c r="Q769" s="1">
        <v>46.3</v>
      </c>
      <c r="R769" s="1">
        <v>0.62954893833333336</v>
      </c>
      <c r="S769" s="1">
        <v>7.2355082321508404E-2</v>
      </c>
      <c r="T769" t="s">
        <v>916</v>
      </c>
      <c r="U769" s="1">
        <v>952</v>
      </c>
      <c r="V769">
        <f t="shared" si="44"/>
        <v>0.33095966093160828</v>
      </c>
      <c r="W769" s="1">
        <f t="shared" si="45"/>
        <v>1.3999999999999986</v>
      </c>
      <c r="X769">
        <f t="shared" si="46"/>
        <v>0.47260619199999998</v>
      </c>
      <c r="Y769">
        <f t="shared" si="47"/>
        <v>10.299999999999997</v>
      </c>
      <c r="Z769" s="1">
        <v>0</v>
      </c>
      <c r="AA769">
        <v>100</v>
      </c>
      <c r="AB769">
        <v>0</v>
      </c>
      <c r="AC769">
        <v>0</v>
      </c>
      <c r="AD769">
        <v>102</v>
      </c>
      <c r="AE769">
        <v>0</v>
      </c>
      <c r="AF769" t="s">
        <v>2591</v>
      </c>
      <c r="AG769" t="s">
        <v>2589</v>
      </c>
    </row>
    <row r="770" spans="1:33">
      <c r="A770" s="2" t="s">
        <v>123</v>
      </c>
      <c r="B770" s="2" t="s">
        <v>23</v>
      </c>
      <c r="C770" s="1">
        <v>0.59184352799999995</v>
      </c>
      <c r="D770">
        <v>0.67011857600000002</v>
      </c>
      <c r="E770">
        <v>0.74025419199999998</v>
      </c>
      <c r="F770" s="1" t="s">
        <v>124</v>
      </c>
      <c r="G770" s="1">
        <v>1.7166666669999999</v>
      </c>
      <c r="H770" s="1">
        <v>26</v>
      </c>
      <c r="I770" s="1">
        <v>36</v>
      </c>
      <c r="J770" s="1">
        <v>0.66740543199999991</v>
      </c>
      <c r="K770" s="1">
        <v>0.49415677200000002</v>
      </c>
      <c r="L770" s="1">
        <v>0.62090818999999997</v>
      </c>
      <c r="M770" s="3">
        <v>0.63381026900000004</v>
      </c>
      <c r="N770" s="1" t="s">
        <v>24</v>
      </c>
      <c r="O770" s="1">
        <v>1.141304348</v>
      </c>
      <c r="P770" s="1">
        <v>44.4</v>
      </c>
      <c r="Q770" s="1">
        <v>101.2</v>
      </c>
      <c r="R770" s="1">
        <v>0.58295841033333329</v>
      </c>
      <c r="S770" s="1">
        <v>0.15262592549007667</v>
      </c>
      <c r="T770" t="s">
        <v>917</v>
      </c>
      <c r="U770" s="1">
        <v>166</v>
      </c>
      <c r="V770">
        <f t="shared" ref="V770:V833" si="48">LOG10(U770) / 9</f>
        <v>0.24667867644889499</v>
      </c>
      <c r="W770" s="1">
        <f t="shared" ref="W770:W833" si="49">ABS(H770-P770)</f>
        <v>18.399999999999999</v>
      </c>
      <c r="X770">
        <f t="shared" ref="X770:X833" si="50">ABS(G770-O770)</f>
        <v>0.5753623189999999</v>
      </c>
      <c r="Y770">
        <f t="shared" ref="Y770:Y833" si="51">ABS(I770-Q770)</f>
        <v>65.2</v>
      </c>
      <c r="Z770" s="1">
        <v>0</v>
      </c>
      <c r="AA770">
        <v>100</v>
      </c>
      <c r="AB770">
        <v>0</v>
      </c>
      <c r="AC770">
        <v>0</v>
      </c>
      <c r="AD770">
        <v>98</v>
      </c>
      <c r="AE770">
        <v>0</v>
      </c>
      <c r="AF770" t="s">
        <v>2591</v>
      </c>
      <c r="AG770" t="s">
        <v>2590</v>
      </c>
    </row>
    <row r="771" spans="1:33">
      <c r="A771" s="2" t="s">
        <v>123</v>
      </c>
      <c r="B771" s="2" t="s">
        <v>25</v>
      </c>
      <c r="C771" s="1">
        <v>0.59184352799999995</v>
      </c>
      <c r="D771">
        <v>0.67011857600000002</v>
      </c>
      <c r="E771">
        <v>0.74025419199999998</v>
      </c>
      <c r="F771" s="1" t="s">
        <v>124</v>
      </c>
      <c r="G771" s="1">
        <v>1.7166666669999999</v>
      </c>
      <c r="H771" s="1">
        <v>26</v>
      </c>
      <c r="I771" s="1">
        <v>36</v>
      </c>
      <c r="J771" s="1">
        <v>0.66740543199999991</v>
      </c>
      <c r="K771" s="1">
        <v>0.53959274199999996</v>
      </c>
      <c r="L771" s="1">
        <v>0.64971567399999997</v>
      </c>
      <c r="M771" s="3">
        <v>0.65028459999999999</v>
      </c>
      <c r="N771" s="1" t="s">
        <v>26</v>
      </c>
      <c r="O771" s="1">
        <v>1.623046875</v>
      </c>
      <c r="P771" s="1">
        <v>34.700000000000003</v>
      </c>
      <c r="Q771" s="1">
        <v>51.2</v>
      </c>
      <c r="R771" s="1">
        <v>0.61319767199999997</v>
      </c>
      <c r="S771" s="1">
        <v>0.10602334899580311</v>
      </c>
      <c r="T771" t="s">
        <v>918</v>
      </c>
      <c r="U771" s="1">
        <v>319</v>
      </c>
      <c r="V771">
        <f t="shared" si="48"/>
        <v>0.2781989647841312</v>
      </c>
      <c r="W771" s="1">
        <f t="shared" si="49"/>
        <v>8.7000000000000028</v>
      </c>
      <c r="X771">
        <f t="shared" si="50"/>
        <v>9.3619791999999924E-2</v>
      </c>
      <c r="Y771">
        <f t="shared" si="51"/>
        <v>15.200000000000003</v>
      </c>
      <c r="Z771" s="1">
        <v>0</v>
      </c>
      <c r="AA771">
        <v>100</v>
      </c>
      <c r="AB771">
        <v>0</v>
      </c>
      <c r="AC771">
        <v>0</v>
      </c>
      <c r="AD771">
        <v>100</v>
      </c>
      <c r="AE771">
        <v>0</v>
      </c>
      <c r="AF771" t="s">
        <v>2591</v>
      </c>
      <c r="AG771" t="s">
        <v>2594</v>
      </c>
    </row>
    <row r="772" spans="1:33">
      <c r="A772" s="2" t="s">
        <v>123</v>
      </c>
      <c r="B772" s="2" t="s">
        <v>27</v>
      </c>
      <c r="C772" s="1">
        <v>0.59184352799999995</v>
      </c>
      <c r="D772">
        <v>0.67011857600000002</v>
      </c>
      <c r="E772">
        <v>0.74025419199999998</v>
      </c>
      <c r="F772" s="1" t="s">
        <v>124</v>
      </c>
      <c r="G772" s="1">
        <v>1.7166666669999999</v>
      </c>
      <c r="H772" s="1">
        <v>26</v>
      </c>
      <c r="I772" s="1">
        <v>36</v>
      </c>
      <c r="J772" s="1">
        <v>0.66740543199999991</v>
      </c>
      <c r="K772" s="1">
        <v>0.518608662</v>
      </c>
      <c r="L772" s="1">
        <v>0.64320369700000002</v>
      </c>
      <c r="M772" s="3">
        <v>0.62228994199999998</v>
      </c>
      <c r="N772" s="1" t="s">
        <v>28</v>
      </c>
      <c r="O772" s="1">
        <v>1.8717391299999999</v>
      </c>
      <c r="P772" s="1">
        <v>33.700000000000003</v>
      </c>
      <c r="Q772" s="1">
        <v>46</v>
      </c>
      <c r="R772" s="1">
        <v>0.59470076699999996</v>
      </c>
      <c r="S772" s="1">
        <v>0.14143309580039987</v>
      </c>
      <c r="T772" t="s">
        <v>919</v>
      </c>
      <c r="U772" s="1">
        <v>153</v>
      </c>
      <c r="V772">
        <f t="shared" si="48"/>
        <v>0.24274349231306655</v>
      </c>
      <c r="W772" s="1">
        <f t="shared" si="49"/>
        <v>7.7000000000000028</v>
      </c>
      <c r="X772">
        <f t="shared" si="50"/>
        <v>0.15507246299999999</v>
      </c>
      <c r="Y772">
        <f t="shared" si="51"/>
        <v>10</v>
      </c>
      <c r="Z772" s="1">
        <v>0</v>
      </c>
      <c r="AA772">
        <v>100</v>
      </c>
      <c r="AB772">
        <v>0</v>
      </c>
      <c r="AC772">
        <v>0</v>
      </c>
      <c r="AD772">
        <v>107</v>
      </c>
      <c r="AE772">
        <v>0</v>
      </c>
      <c r="AF772" t="s">
        <v>2591</v>
      </c>
      <c r="AG772" t="s">
        <v>2590</v>
      </c>
    </row>
    <row r="773" spans="1:33">
      <c r="A773" s="2" t="s">
        <v>123</v>
      </c>
      <c r="B773" s="2" t="s">
        <v>29</v>
      </c>
      <c r="C773" s="1">
        <v>0.59184352799999995</v>
      </c>
      <c r="D773">
        <v>0.67011857600000002</v>
      </c>
      <c r="E773">
        <v>0.74025419199999998</v>
      </c>
      <c r="F773" s="1" t="s">
        <v>124</v>
      </c>
      <c r="G773" s="1">
        <v>1.7166666669999999</v>
      </c>
      <c r="H773" s="1">
        <v>26</v>
      </c>
      <c r="I773" s="1">
        <v>36</v>
      </c>
      <c r="J773" s="1">
        <v>0.66740543199999991</v>
      </c>
      <c r="K773" s="1">
        <v>0.59351545100000003</v>
      </c>
      <c r="L773" s="1">
        <v>0.68136602400000001</v>
      </c>
      <c r="M773" s="3">
        <v>0.73518087600000004</v>
      </c>
      <c r="N773" s="1" t="s">
        <v>30</v>
      </c>
      <c r="O773" s="1">
        <v>2.849112426</v>
      </c>
      <c r="P773" s="1">
        <v>37.9</v>
      </c>
      <c r="Q773" s="1">
        <v>33.799999999999997</v>
      </c>
      <c r="R773" s="1">
        <v>0.67002078366666673</v>
      </c>
      <c r="S773" s="1">
        <v>1.2451463699761908E-2</v>
      </c>
      <c r="T773" t="s">
        <v>920</v>
      </c>
      <c r="U773" s="1">
        <v>10568</v>
      </c>
      <c r="V773">
        <f t="shared" si="48"/>
        <v>0.44711031162294124</v>
      </c>
      <c r="W773" s="1">
        <f t="shared" si="49"/>
        <v>11.899999999999999</v>
      </c>
      <c r="X773">
        <f t="shared" si="50"/>
        <v>1.1324457590000001</v>
      </c>
      <c r="Y773">
        <f t="shared" si="51"/>
        <v>2.2000000000000028</v>
      </c>
      <c r="Z773" s="1">
        <v>21</v>
      </c>
      <c r="AA773">
        <v>79</v>
      </c>
      <c r="AB773">
        <v>0.26579999999999998</v>
      </c>
      <c r="AC773">
        <v>27</v>
      </c>
      <c r="AD773">
        <v>69</v>
      </c>
      <c r="AE773">
        <v>0.39129999999999998</v>
      </c>
      <c r="AF773" t="s">
        <v>2591</v>
      </c>
      <c r="AG773" t="s">
        <v>2593</v>
      </c>
    </row>
    <row r="774" spans="1:33">
      <c r="A774" s="2" t="s">
        <v>123</v>
      </c>
      <c r="B774" s="2" t="s">
        <v>31</v>
      </c>
      <c r="C774" s="1">
        <v>0.59184352799999995</v>
      </c>
      <c r="D774">
        <v>0.67011857600000002</v>
      </c>
      <c r="E774">
        <v>0.74025419199999998</v>
      </c>
      <c r="F774" s="1" t="s">
        <v>124</v>
      </c>
      <c r="G774" s="1">
        <v>1.7166666669999999</v>
      </c>
      <c r="H774" s="1">
        <v>26</v>
      </c>
      <c r="I774" s="1">
        <v>36</v>
      </c>
      <c r="J774" s="1">
        <v>0.66740543199999991</v>
      </c>
      <c r="K774" s="1">
        <v>0.47727961800000002</v>
      </c>
      <c r="L774" s="1">
        <v>0.66941086400000005</v>
      </c>
      <c r="M774" s="3">
        <v>0.69294815300000001</v>
      </c>
      <c r="N774" s="1" t="s">
        <v>32</v>
      </c>
      <c r="O774" s="1">
        <v>1.341891892</v>
      </c>
      <c r="P774" s="1">
        <v>42.1</v>
      </c>
      <c r="Q774" s="1">
        <v>74</v>
      </c>
      <c r="R774" s="1">
        <v>0.61321287833333338</v>
      </c>
      <c r="S774" s="1">
        <v>0.12394858473025236</v>
      </c>
      <c r="T774" t="s">
        <v>921</v>
      </c>
      <c r="U774" s="1">
        <v>444</v>
      </c>
      <c r="V774">
        <f t="shared" si="48"/>
        <v>0.29415366334606885</v>
      </c>
      <c r="W774" s="1">
        <f t="shared" si="49"/>
        <v>16.100000000000001</v>
      </c>
      <c r="X774">
        <f t="shared" si="50"/>
        <v>0.37477477499999989</v>
      </c>
      <c r="Y774">
        <f t="shared" si="51"/>
        <v>38</v>
      </c>
      <c r="Z774" s="1">
        <v>0</v>
      </c>
      <c r="AA774">
        <v>100</v>
      </c>
      <c r="AB774">
        <v>0</v>
      </c>
      <c r="AC774">
        <v>0</v>
      </c>
      <c r="AD774">
        <v>104</v>
      </c>
      <c r="AE774">
        <v>0</v>
      </c>
      <c r="AF774" t="s">
        <v>2591</v>
      </c>
      <c r="AG774" t="s">
        <v>2589</v>
      </c>
    </row>
    <row r="775" spans="1:33">
      <c r="A775" s="2" t="s">
        <v>123</v>
      </c>
      <c r="B775" s="2" t="s">
        <v>33</v>
      </c>
      <c r="C775" s="1">
        <v>0.59184352799999995</v>
      </c>
      <c r="D775">
        <v>0.67011857600000002</v>
      </c>
      <c r="E775">
        <v>0.74025419199999998</v>
      </c>
      <c r="F775" s="1" t="s">
        <v>124</v>
      </c>
      <c r="G775" s="1">
        <v>1.7166666669999999</v>
      </c>
      <c r="H775" s="1">
        <v>26</v>
      </c>
      <c r="I775" s="1">
        <v>36</v>
      </c>
      <c r="J775" s="1">
        <v>0.66740543199999991</v>
      </c>
      <c r="K775" s="1">
        <v>0.51347926600000005</v>
      </c>
      <c r="L775" s="1">
        <v>0.63144379399999995</v>
      </c>
      <c r="M775" s="3">
        <v>0.64189093500000005</v>
      </c>
      <c r="N775" s="1" t="s">
        <v>34</v>
      </c>
      <c r="O775" s="1">
        <v>2.3123667380000001</v>
      </c>
      <c r="P775" s="1">
        <v>79.099999999999994</v>
      </c>
      <c r="Q775" s="1">
        <v>93.8</v>
      </c>
      <c r="R775" s="1">
        <v>0.59560466500000009</v>
      </c>
      <c r="S775" s="1">
        <v>0.13157517489709142</v>
      </c>
      <c r="T775" t="s">
        <v>922</v>
      </c>
      <c r="U775" s="1">
        <v>392</v>
      </c>
      <c r="V775">
        <f t="shared" si="48"/>
        <v>0.28814289633560636</v>
      </c>
      <c r="W775" s="1">
        <f t="shared" si="49"/>
        <v>53.099999999999994</v>
      </c>
      <c r="X775">
        <f t="shared" si="50"/>
        <v>0.59570007100000022</v>
      </c>
      <c r="Y775">
        <f t="shared" si="51"/>
        <v>57.8</v>
      </c>
      <c r="Z775" s="1">
        <v>0</v>
      </c>
      <c r="AA775">
        <v>100</v>
      </c>
      <c r="AB775">
        <v>0</v>
      </c>
      <c r="AC775">
        <v>0</v>
      </c>
      <c r="AD775">
        <v>98</v>
      </c>
      <c r="AE775">
        <v>0</v>
      </c>
      <c r="AF775" t="s">
        <v>2591</v>
      </c>
      <c r="AG775" t="s">
        <v>2590</v>
      </c>
    </row>
    <row r="776" spans="1:33">
      <c r="A776" s="2" t="s">
        <v>123</v>
      </c>
      <c r="B776" s="2" t="s">
        <v>35</v>
      </c>
      <c r="C776" s="1">
        <v>0.59184352799999995</v>
      </c>
      <c r="D776">
        <v>0.67011857600000002</v>
      </c>
      <c r="E776">
        <v>0.74025419199999998</v>
      </c>
      <c r="F776" s="1" t="s">
        <v>124</v>
      </c>
      <c r="G776" s="1">
        <v>1.7166666669999999</v>
      </c>
      <c r="H776" s="1">
        <v>26</v>
      </c>
      <c r="I776" s="1">
        <v>36</v>
      </c>
      <c r="J776" s="1">
        <v>0.66740543199999991</v>
      </c>
      <c r="K776" s="1">
        <v>0.52542897600000005</v>
      </c>
      <c r="L776" s="1">
        <v>0.60774736299999998</v>
      </c>
      <c r="M776" s="3">
        <v>0.62585751700000003</v>
      </c>
      <c r="N776" s="1" t="s">
        <v>36</v>
      </c>
      <c r="O776" s="1">
        <v>0.98848810399999998</v>
      </c>
      <c r="P776" s="1">
        <v>54.2</v>
      </c>
      <c r="Q776" s="1">
        <v>130.30000000000001</v>
      </c>
      <c r="R776" s="1">
        <v>0.58634461866666665</v>
      </c>
      <c r="S776" s="1">
        <v>0.14624520566332311</v>
      </c>
      <c r="T776" t="s">
        <v>923</v>
      </c>
      <c r="U776" s="1">
        <v>1258</v>
      </c>
      <c r="V776">
        <f t="shared" si="48"/>
        <v>0.34440896012325001</v>
      </c>
      <c r="W776" s="1">
        <f t="shared" si="49"/>
        <v>28.200000000000003</v>
      </c>
      <c r="X776">
        <f t="shared" si="50"/>
        <v>0.72817856299999995</v>
      </c>
      <c r="Y776">
        <f t="shared" si="51"/>
        <v>94.300000000000011</v>
      </c>
      <c r="Z776" s="1">
        <v>0</v>
      </c>
      <c r="AA776">
        <v>100</v>
      </c>
      <c r="AB776">
        <v>0</v>
      </c>
      <c r="AC776">
        <v>0</v>
      </c>
      <c r="AD776">
        <v>97</v>
      </c>
      <c r="AE776">
        <v>0</v>
      </c>
      <c r="AF776" t="s">
        <v>2591</v>
      </c>
      <c r="AG776" t="s">
        <v>2589</v>
      </c>
    </row>
    <row r="777" spans="1:33">
      <c r="A777" s="2" t="s">
        <v>123</v>
      </c>
      <c r="B777" s="2" t="s">
        <v>37</v>
      </c>
      <c r="C777" s="1">
        <v>0.59184352799999995</v>
      </c>
      <c r="D777">
        <v>0.67011857600000002</v>
      </c>
      <c r="E777">
        <v>0.74025419199999998</v>
      </c>
      <c r="F777" s="1" t="s">
        <v>124</v>
      </c>
      <c r="G777" s="1">
        <v>1.7166666669999999</v>
      </c>
      <c r="H777" s="1">
        <v>26</v>
      </c>
      <c r="I777" s="1">
        <v>36</v>
      </c>
      <c r="J777" s="1">
        <v>0.66740543199999991</v>
      </c>
      <c r="K777" s="1">
        <v>0.50856695500000004</v>
      </c>
      <c r="L777" s="1">
        <v>0.654733224</v>
      </c>
      <c r="M777" s="3">
        <v>0.61418267199999999</v>
      </c>
      <c r="N777" s="1" t="s">
        <v>38</v>
      </c>
      <c r="O777" s="1">
        <v>0.64065708399999999</v>
      </c>
      <c r="P777" s="1">
        <v>41.9</v>
      </c>
      <c r="Q777" s="1">
        <v>146.1</v>
      </c>
      <c r="R777" s="1">
        <v>0.59249428366666679</v>
      </c>
      <c r="S777" s="1">
        <v>0.15187404262051701</v>
      </c>
      <c r="T777" t="s">
        <v>924</v>
      </c>
      <c r="U777" s="1">
        <v>703</v>
      </c>
      <c r="V777">
        <f t="shared" si="48"/>
        <v>0.31632836944664711</v>
      </c>
      <c r="W777" s="1">
        <f t="shared" si="49"/>
        <v>15.899999999999999</v>
      </c>
      <c r="X777">
        <f t="shared" si="50"/>
        <v>1.0760095829999998</v>
      </c>
      <c r="Y777">
        <f t="shared" si="51"/>
        <v>110.1</v>
      </c>
      <c r="Z777" s="1">
        <v>0</v>
      </c>
      <c r="AA777">
        <v>100</v>
      </c>
      <c r="AB777">
        <v>0</v>
      </c>
      <c r="AC777">
        <v>0</v>
      </c>
      <c r="AD777">
        <v>96</v>
      </c>
      <c r="AE777">
        <v>0</v>
      </c>
      <c r="AF777" t="s">
        <v>2591</v>
      </c>
      <c r="AG777" t="s">
        <v>2590</v>
      </c>
    </row>
    <row r="778" spans="1:33">
      <c r="A778" s="2" t="s">
        <v>123</v>
      </c>
      <c r="B778" s="2" t="s">
        <v>39</v>
      </c>
      <c r="C778" s="1">
        <v>0.59184352799999995</v>
      </c>
      <c r="D778">
        <v>0.67011857600000002</v>
      </c>
      <c r="E778">
        <v>0.74025419199999998</v>
      </c>
      <c r="F778" s="1" t="s">
        <v>124</v>
      </c>
      <c r="G778" s="1">
        <v>1.7166666669999999</v>
      </c>
      <c r="H778" s="1">
        <v>26</v>
      </c>
      <c r="I778" s="1">
        <v>36</v>
      </c>
      <c r="J778" s="1">
        <v>0.66740543199999991</v>
      </c>
      <c r="K778" s="1">
        <v>0.60811616199999996</v>
      </c>
      <c r="L778" s="1">
        <v>0.721105683</v>
      </c>
      <c r="M778" s="3">
        <v>0.741016169</v>
      </c>
      <c r="N778" s="1" t="s">
        <v>40</v>
      </c>
      <c r="O778" s="1">
        <v>1.0601915180000001</v>
      </c>
      <c r="P778" s="1">
        <v>34</v>
      </c>
      <c r="Q778" s="1">
        <v>73.099999999999994</v>
      </c>
      <c r="R778" s="1">
        <v>0.69007933799999999</v>
      </c>
      <c r="S778" s="1">
        <v>5.3526295467517013E-2</v>
      </c>
      <c r="T778" t="s">
        <v>925</v>
      </c>
      <c r="U778" s="1">
        <v>367</v>
      </c>
      <c r="V778">
        <f t="shared" si="48"/>
        <v>0.28496289602800995</v>
      </c>
      <c r="W778" s="1">
        <f t="shared" si="49"/>
        <v>8</v>
      </c>
      <c r="X778">
        <f t="shared" si="50"/>
        <v>0.65647514899999981</v>
      </c>
      <c r="Y778">
        <f t="shared" si="51"/>
        <v>37.099999999999994</v>
      </c>
      <c r="Z778" s="1">
        <v>0</v>
      </c>
      <c r="AA778">
        <v>100</v>
      </c>
      <c r="AB778">
        <v>0</v>
      </c>
      <c r="AC778">
        <v>0</v>
      </c>
      <c r="AD778">
        <v>99</v>
      </c>
      <c r="AE778">
        <v>0</v>
      </c>
      <c r="AF778" t="s">
        <v>2591</v>
      </c>
      <c r="AG778" t="s">
        <v>2589</v>
      </c>
    </row>
    <row r="779" spans="1:33">
      <c r="A779" s="2" t="s">
        <v>123</v>
      </c>
      <c r="B779" s="2" t="s">
        <v>41</v>
      </c>
      <c r="C779" s="1">
        <v>0.59184352799999995</v>
      </c>
      <c r="D779">
        <v>0.67011857600000002</v>
      </c>
      <c r="E779">
        <v>0.74025419199999998</v>
      </c>
      <c r="F779" s="1" t="s">
        <v>124</v>
      </c>
      <c r="G779" s="1">
        <v>1.7166666669999999</v>
      </c>
      <c r="H779" s="1">
        <v>26</v>
      </c>
      <c r="I779" s="1">
        <v>36</v>
      </c>
      <c r="J779" s="1">
        <v>0.66740543199999991</v>
      </c>
      <c r="K779" s="1">
        <v>0.60402244999999999</v>
      </c>
      <c r="L779" s="1">
        <v>0.669189213</v>
      </c>
      <c r="M779" s="3">
        <v>0.69821693799999995</v>
      </c>
      <c r="N779" s="1" t="s">
        <v>42</v>
      </c>
      <c r="O779" s="1">
        <v>1.3243902439999999</v>
      </c>
      <c r="P779" s="1">
        <v>23</v>
      </c>
      <c r="Q779" s="1">
        <v>41</v>
      </c>
      <c r="R779" s="1">
        <v>0.65714286700000002</v>
      </c>
      <c r="S779" s="1">
        <v>4.3775799027868947E-2</v>
      </c>
      <c r="T779" t="s">
        <v>926</v>
      </c>
      <c r="U779" s="1">
        <v>10521</v>
      </c>
      <c r="V779">
        <f t="shared" si="48"/>
        <v>0.44689522451124053</v>
      </c>
      <c r="W779" s="1">
        <f t="shared" si="49"/>
        <v>3</v>
      </c>
      <c r="X779">
        <f t="shared" si="50"/>
        <v>0.39227642299999999</v>
      </c>
      <c r="Y779">
        <f t="shared" si="51"/>
        <v>5</v>
      </c>
      <c r="Z779" s="1">
        <v>22</v>
      </c>
      <c r="AA779">
        <v>78</v>
      </c>
      <c r="AB779">
        <v>0.28210000000000002</v>
      </c>
      <c r="AC779">
        <v>30</v>
      </c>
      <c r="AD779">
        <v>83</v>
      </c>
      <c r="AE779">
        <v>0.3614</v>
      </c>
      <c r="AF779" t="s">
        <v>2591</v>
      </c>
      <c r="AG779" t="s">
        <v>2591</v>
      </c>
    </row>
    <row r="780" spans="1:33">
      <c r="A780" s="2" t="s">
        <v>123</v>
      </c>
      <c r="B780" s="2" t="s">
        <v>43</v>
      </c>
      <c r="C780" s="1">
        <v>0.59184352799999995</v>
      </c>
      <c r="D780">
        <v>0.67011857600000002</v>
      </c>
      <c r="E780">
        <v>0.74025419199999998</v>
      </c>
      <c r="F780" s="1" t="s">
        <v>124</v>
      </c>
      <c r="G780" s="1">
        <v>1.7166666669999999</v>
      </c>
      <c r="H780" s="1">
        <v>26</v>
      </c>
      <c r="I780" s="1">
        <v>36</v>
      </c>
      <c r="J780" s="1">
        <v>0.66740543199999991</v>
      </c>
      <c r="K780" s="1">
        <v>0.54180634699999997</v>
      </c>
      <c r="L780" s="1">
        <v>0.59470779900000004</v>
      </c>
      <c r="M780" s="3">
        <v>0.69518155599999998</v>
      </c>
      <c r="N780" s="1" t="s">
        <v>44</v>
      </c>
      <c r="O780" s="1">
        <v>1.7403685090000001</v>
      </c>
      <c r="P780" s="1">
        <v>41.2</v>
      </c>
      <c r="Q780" s="1">
        <v>59.7</v>
      </c>
      <c r="R780" s="1">
        <v>0.61056523400000007</v>
      </c>
      <c r="S780" s="1">
        <v>0.1011041407963046</v>
      </c>
      <c r="T780" t="s">
        <v>927</v>
      </c>
      <c r="U780" s="1">
        <v>4481</v>
      </c>
      <c r="V780">
        <f t="shared" si="48"/>
        <v>0.40570832710144927</v>
      </c>
      <c r="W780" s="1">
        <f t="shared" si="49"/>
        <v>15.200000000000003</v>
      </c>
      <c r="X780">
        <f t="shared" si="50"/>
        <v>2.370184200000014E-2</v>
      </c>
      <c r="Y780">
        <f t="shared" si="51"/>
        <v>23.700000000000003</v>
      </c>
      <c r="Z780" s="1">
        <v>3</v>
      </c>
      <c r="AA780">
        <v>97</v>
      </c>
      <c r="AB780">
        <v>3.09E-2</v>
      </c>
      <c r="AC780">
        <v>2</v>
      </c>
      <c r="AD780">
        <v>133</v>
      </c>
      <c r="AE780">
        <v>1.4999999999999999E-2</v>
      </c>
      <c r="AF780" t="s">
        <v>2591</v>
      </c>
      <c r="AG780" t="s">
        <v>2589</v>
      </c>
    </row>
    <row r="781" spans="1:33">
      <c r="A781" s="2" t="s">
        <v>123</v>
      </c>
      <c r="B781" s="2" t="s">
        <v>45</v>
      </c>
      <c r="C781" s="1">
        <v>0.59184352799999995</v>
      </c>
      <c r="D781">
        <v>0.67011857600000002</v>
      </c>
      <c r="E781">
        <v>0.74025419199999998</v>
      </c>
      <c r="F781" s="1" t="s">
        <v>124</v>
      </c>
      <c r="G781" s="1">
        <v>1.7166666669999999</v>
      </c>
      <c r="H781" s="1">
        <v>26</v>
      </c>
      <c r="I781" s="1">
        <v>36</v>
      </c>
      <c r="J781" s="1">
        <v>0.66740543199999991</v>
      </c>
      <c r="K781" s="1">
        <v>0.50907007599999998</v>
      </c>
      <c r="L781" s="1">
        <v>0.68428041399999995</v>
      </c>
      <c r="M781" s="3">
        <v>0.67454742099999998</v>
      </c>
      <c r="N781" s="1" t="s">
        <v>46</v>
      </c>
      <c r="O781" s="1">
        <v>0.98140043799999999</v>
      </c>
      <c r="P781" s="1">
        <v>38.9</v>
      </c>
      <c r="Q781" s="1">
        <v>91.4</v>
      </c>
      <c r="R781" s="1">
        <v>0.62263263699999993</v>
      </c>
      <c r="S781" s="1">
        <v>0.10662730310188372</v>
      </c>
      <c r="T781" t="s">
        <v>928</v>
      </c>
      <c r="U781" s="1">
        <v>4096</v>
      </c>
      <c r="V781">
        <f t="shared" si="48"/>
        <v>0.40137332755197491</v>
      </c>
      <c r="W781" s="1">
        <f t="shared" si="49"/>
        <v>12.899999999999999</v>
      </c>
      <c r="X781">
        <f t="shared" si="50"/>
        <v>0.73526622899999994</v>
      </c>
      <c r="Y781">
        <f t="shared" si="51"/>
        <v>55.400000000000006</v>
      </c>
      <c r="Z781" s="1">
        <v>0</v>
      </c>
      <c r="AA781">
        <v>100</v>
      </c>
      <c r="AB781">
        <v>0</v>
      </c>
      <c r="AC781">
        <v>0</v>
      </c>
      <c r="AD781">
        <v>115</v>
      </c>
      <c r="AE781">
        <v>0</v>
      </c>
      <c r="AF781" t="s">
        <v>2591</v>
      </c>
      <c r="AG781" t="s">
        <v>2589</v>
      </c>
    </row>
    <row r="782" spans="1:33">
      <c r="A782" s="2" t="s">
        <v>123</v>
      </c>
      <c r="B782" s="2" t="s">
        <v>47</v>
      </c>
      <c r="C782" s="1">
        <v>0.59184352799999995</v>
      </c>
      <c r="D782">
        <v>0.67011857600000002</v>
      </c>
      <c r="E782">
        <v>0.74025419199999998</v>
      </c>
      <c r="F782" s="1" t="s">
        <v>124</v>
      </c>
      <c r="G782" s="1">
        <v>1.7166666669999999</v>
      </c>
      <c r="H782" s="1">
        <v>26</v>
      </c>
      <c r="I782" s="1">
        <v>36</v>
      </c>
      <c r="J782" s="1">
        <v>0.66740543199999991</v>
      </c>
      <c r="K782" s="1">
        <v>0.50612154099999995</v>
      </c>
      <c r="L782" s="1">
        <v>0.55940039100000005</v>
      </c>
      <c r="M782" s="3">
        <v>0.66789001699999995</v>
      </c>
      <c r="N782" s="1" t="s">
        <v>48</v>
      </c>
      <c r="O782" s="1">
        <v>1.242622951</v>
      </c>
      <c r="P782" s="1">
        <v>17.8</v>
      </c>
      <c r="Q782" s="1">
        <v>30.5</v>
      </c>
      <c r="R782" s="1">
        <v>0.57780398300000002</v>
      </c>
      <c r="S782" s="1">
        <v>0.1576177317701058</v>
      </c>
      <c r="T782" t="s">
        <v>929</v>
      </c>
      <c r="U782" s="1">
        <v>711</v>
      </c>
      <c r="V782">
        <f t="shared" si="48"/>
        <v>0.31687440008108514</v>
      </c>
      <c r="W782" s="1">
        <f t="shared" si="49"/>
        <v>8.1999999999999993</v>
      </c>
      <c r="X782">
        <f t="shared" si="50"/>
        <v>0.47404371599999995</v>
      </c>
      <c r="Y782">
        <f t="shared" si="51"/>
        <v>5.5</v>
      </c>
      <c r="Z782" s="1">
        <v>0</v>
      </c>
      <c r="AA782">
        <v>100</v>
      </c>
      <c r="AB782">
        <v>0</v>
      </c>
      <c r="AC782">
        <v>0</v>
      </c>
      <c r="AD782">
        <v>122</v>
      </c>
      <c r="AE782">
        <v>0</v>
      </c>
      <c r="AF782" t="s">
        <v>2591</v>
      </c>
      <c r="AG782" t="s">
        <v>2590</v>
      </c>
    </row>
    <row r="783" spans="1:33">
      <c r="A783" s="2" t="s">
        <v>123</v>
      </c>
      <c r="B783" s="2" t="s">
        <v>49</v>
      </c>
      <c r="C783" s="1">
        <v>0.59184352799999995</v>
      </c>
      <c r="D783">
        <v>0.67011857600000002</v>
      </c>
      <c r="E783">
        <v>0.74025419199999998</v>
      </c>
      <c r="F783" s="1" t="s">
        <v>124</v>
      </c>
      <c r="G783" s="1">
        <v>1.7166666669999999</v>
      </c>
      <c r="H783" s="1">
        <v>26</v>
      </c>
      <c r="I783" s="1">
        <v>36</v>
      </c>
      <c r="J783" s="1">
        <v>0.66740543199999991</v>
      </c>
      <c r="K783" s="1">
        <v>0.50647110500000003</v>
      </c>
      <c r="L783" s="1">
        <v>0.55713136799999996</v>
      </c>
      <c r="M783" s="3">
        <v>0.63402682300000002</v>
      </c>
      <c r="N783" s="1" t="s">
        <v>50</v>
      </c>
      <c r="O783" s="1">
        <v>1.876675603</v>
      </c>
      <c r="P783" s="1">
        <v>28.8</v>
      </c>
      <c r="Q783" s="1">
        <v>37.299999999999997</v>
      </c>
      <c r="R783" s="1">
        <v>0.56587643200000004</v>
      </c>
      <c r="S783" s="1">
        <v>0.17702772016039844</v>
      </c>
      <c r="T783" t="s">
        <v>930</v>
      </c>
      <c r="U783" s="1">
        <v>857</v>
      </c>
      <c r="V783">
        <f t="shared" si="48"/>
        <v>0.32588675799146644</v>
      </c>
      <c r="W783" s="1">
        <f t="shared" si="49"/>
        <v>2.8000000000000007</v>
      </c>
      <c r="X783">
        <f t="shared" si="50"/>
        <v>0.1600089360000001</v>
      </c>
      <c r="Y783">
        <f t="shared" si="51"/>
        <v>1.2999999999999972</v>
      </c>
      <c r="Z783" s="1">
        <v>0</v>
      </c>
      <c r="AA783">
        <v>100</v>
      </c>
      <c r="AB783">
        <v>0</v>
      </c>
      <c r="AC783">
        <v>0</v>
      </c>
      <c r="AD783">
        <v>96</v>
      </c>
      <c r="AE783">
        <v>0</v>
      </c>
      <c r="AF783" t="s">
        <v>2591</v>
      </c>
      <c r="AG783" t="s">
        <v>2590</v>
      </c>
    </row>
    <row r="784" spans="1:33">
      <c r="A784" s="2" t="s">
        <v>123</v>
      </c>
      <c r="B784" s="2" t="s">
        <v>51</v>
      </c>
      <c r="C784" s="1">
        <v>0.59184352799999995</v>
      </c>
      <c r="D784">
        <v>0.67011857600000002</v>
      </c>
      <c r="E784">
        <v>0.74025419199999998</v>
      </c>
      <c r="F784" s="1" t="s">
        <v>124</v>
      </c>
      <c r="G784" s="1">
        <v>1.7166666669999999</v>
      </c>
      <c r="H784" s="1">
        <v>26</v>
      </c>
      <c r="I784" s="1">
        <v>36</v>
      </c>
      <c r="J784" s="1">
        <v>0.66740543199999991</v>
      </c>
      <c r="K784" s="1">
        <v>0.60067161999999996</v>
      </c>
      <c r="L784" s="1">
        <v>0.68094129999999997</v>
      </c>
      <c r="M784" s="3">
        <v>0.73595931299999995</v>
      </c>
      <c r="N784" s="1" t="s">
        <v>52</v>
      </c>
      <c r="O784" s="1">
        <v>1.858638743</v>
      </c>
      <c r="P784" s="1">
        <v>29.4</v>
      </c>
      <c r="Q784" s="1">
        <v>38.200000000000003</v>
      </c>
      <c r="R784" s="1">
        <v>0.67252407766666666</v>
      </c>
      <c r="S784" s="1">
        <v>1.4612068599800656E-2</v>
      </c>
      <c r="T784" t="s">
        <v>931</v>
      </c>
      <c r="U784" s="1">
        <v>16512</v>
      </c>
      <c r="V784">
        <f t="shared" si="48"/>
        <v>0.46864440888301306</v>
      </c>
      <c r="W784" s="1">
        <f t="shared" si="49"/>
        <v>3.3999999999999986</v>
      </c>
      <c r="X784">
        <f t="shared" si="50"/>
        <v>0.14197207600000006</v>
      </c>
      <c r="Y784">
        <f t="shared" si="51"/>
        <v>2.2000000000000028</v>
      </c>
      <c r="Z784" s="1">
        <v>32</v>
      </c>
      <c r="AA784">
        <v>68</v>
      </c>
      <c r="AB784">
        <v>0.47060000000000002</v>
      </c>
      <c r="AC784">
        <v>37</v>
      </c>
      <c r="AD784">
        <v>68</v>
      </c>
      <c r="AE784">
        <v>0.54410000000000003</v>
      </c>
      <c r="AF784" t="s">
        <v>2591</v>
      </c>
      <c r="AG784" t="s">
        <v>2591</v>
      </c>
    </row>
    <row r="785" spans="1:33">
      <c r="A785" s="2" t="s">
        <v>123</v>
      </c>
      <c r="B785" s="2" t="s">
        <v>53</v>
      </c>
      <c r="C785" s="1">
        <v>0.59184352799999995</v>
      </c>
      <c r="D785">
        <v>0.67011857600000002</v>
      </c>
      <c r="E785">
        <v>0.74025419199999998</v>
      </c>
      <c r="F785" s="1" t="s">
        <v>124</v>
      </c>
      <c r="G785" s="1">
        <v>1.7166666669999999</v>
      </c>
      <c r="H785" s="1">
        <v>26</v>
      </c>
      <c r="I785" s="1">
        <v>36</v>
      </c>
      <c r="J785" s="1">
        <v>0.66740543199999991</v>
      </c>
      <c r="K785" s="1">
        <v>0.54695832700000002</v>
      </c>
      <c r="L785" s="1">
        <v>0.659790137</v>
      </c>
      <c r="M785" s="3">
        <v>0.70662085500000005</v>
      </c>
      <c r="N785" s="1" t="s">
        <v>54</v>
      </c>
      <c r="O785" s="1">
        <v>2.5053995680000001</v>
      </c>
      <c r="P785" s="1">
        <v>43.9</v>
      </c>
      <c r="Q785" s="1">
        <v>46.3</v>
      </c>
      <c r="R785" s="1">
        <v>0.63778977300000006</v>
      </c>
      <c r="S785" s="1">
        <v>5.7031213197184225E-2</v>
      </c>
      <c r="T785" t="s">
        <v>932</v>
      </c>
      <c r="U785" s="1">
        <v>69070</v>
      </c>
      <c r="V785">
        <f t="shared" si="48"/>
        <v>0.5376988284451274</v>
      </c>
      <c r="W785" s="1">
        <f t="shared" si="49"/>
        <v>17.899999999999999</v>
      </c>
      <c r="X785">
        <f t="shared" si="50"/>
        <v>0.78873290100000015</v>
      </c>
      <c r="Y785">
        <f t="shared" si="51"/>
        <v>10.299999999999997</v>
      </c>
      <c r="Z785" s="1">
        <v>28</v>
      </c>
      <c r="AA785">
        <v>72</v>
      </c>
      <c r="AB785">
        <v>0.38890000000000002</v>
      </c>
      <c r="AC785">
        <v>29</v>
      </c>
      <c r="AD785">
        <v>76</v>
      </c>
      <c r="AE785">
        <v>0.38159999999999999</v>
      </c>
      <c r="AF785" t="s">
        <v>2591</v>
      </c>
      <c r="AG785" t="s">
        <v>2593</v>
      </c>
    </row>
    <row r="786" spans="1:33">
      <c r="A786" s="2" t="s">
        <v>123</v>
      </c>
      <c r="B786" s="2" t="s">
        <v>55</v>
      </c>
      <c r="C786" s="1">
        <v>0.59184352799999995</v>
      </c>
      <c r="D786">
        <v>0.67011857600000002</v>
      </c>
      <c r="E786">
        <v>0.74025419199999998</v>
      </c>
      <c r="F786" s="1" t="s">
        <v>124</v>
      </c>
      <c r="G786" s="1">
        <v>1.7166666669999999</v>
      </c>
      <c r="H786" s="1">
        <v>26</v>
      </c>
      <c r="I786" s="1">
        <v>36</v>
      </c>
      <c r="J786" s="1">
        <v>0.66740543199999991</v>
      </c>
      <c r="K786" s="1">
        <v>0.52971861799999997</v>
      </c>
      <c r="L786" s="1">
        <v>0.62258244500000004</v>
      </c>
      <c r="M786" s="3">
        <v>0.63939760400000001</v>
      </c>
      <c r="N786" s="1" t="s">
        <v>56</v>
      </c>
      <c r="O786" s="1">
        <v>1.0796934869999999</v>
      </c>
      <c r="P786" s="1">
        <v>55.3</v>
      </c>
      <c r="Q786" s="1">
        <v>130.5</v>
      </c>
      <c r="R786" s="1">
        <v>0.59723288899999993</v>
      </c>
      <c r="S786" s="1">
        <v>0.12763714011195565</v>
      </c>
      <c r="T786" t="s">
        <v>933</v>
      </c>
      <c r="U786" s="1">
        <v>1704</v>
      </c>
      <c r="V786">
        <f t="shared" si="48"/>
        <v>0.35905217671452017</v>
      </c>
      <c r="W786" s="1">
        <f t="shared" si="49"/>
        <v>29.299999999999997</v>
      </c>
      <c r="X786">
        <f t="shared" si="50"/>
        <v>0.63697318000000003</v>
      </c>
      <c r="Y786">
        <f t="shared" si="51"/>
        <v>94.5</v>
      </c>
      <c r="Z786" s="1">
        <v>0</v>
      </c>
      <c r="AA786">
        <v>100</v>
      </c>
      <c r="AB786">
        <v>0</v>
      </c>
      <c r="AC786">
        <v>0</v>
      </c>
      <c r="AD786">
        <v>97</v>
      </c>
      <c r="AE786">
        <v>0</v>
      </c>
      <c r="AF786" t="s">
        <v>2591</v>
      </c>
      <c r="AG786" t="s">
        <v>2592</v>
      </c>
    </row>
    <row r="787" spans="1:33">
      <c r="A787" s="2" t="s">
        <v>123</v>
      </c>
      <c r="B787" s="2" t="s">
        <v>57</v>
      </c>
      <c r="C787" s="1">
        <v>0.59184352799999995</v>
      </c>
      <c r="D787">
        <v>0.67011857600000002</v>
      </c>
      <c r="E787">
        <v>0.74025419199999998</v>
      </c>
      <c r="F787" s="1" t="s">
        <v>124</v>
      </c>
      <c r="G787" s="1">
        <v>1.7166666669999999</v>
      </c>
      <c r="H787" s="1">
        <v>26</v>
      </c>
      <c r="I787" s="1">
        <v>36</v>
      </c>
      <c r="J787" s="1">
        <v>0.66740543199999991</v>
      </c>
      <c r="K787" s="1">
        <v>0.528732855</v>
      </c>
      <c r="L787" s="1">
        <v>0.63387497599999998</v>
      </c>
      <c r="M787" s="3">
        <v>0.63337360200000004</v>
      </c>
      <c r="N787" s="1" t="s">
        <v>58</v>
      </c>
      <c r="O787" s="1">
        <v>1.386610879</v>
      </c>
      <c r="P787" s="1">
        <v>69</v>
      </c>
      <c r="Q787" s="1">
        <v>119.5</v>
      </c>
      <c r="R787" s="1">
        <v>0.59866047766666663</v>
      </c>
      <c r="S787" s="1">
        <v>0.12930590128149996</v>
      </c>
      <c r="T787" t="s">
        <v>934</v>
      </c>
      <c r="U787" s="1">
        <v>1071</v>
      </c>
      <c r="V787">
        <f t="shared" si="48"/>
        <v>0.33664327453687287</v>
      </c>
      <c r="W787" s="1">
        <f t="shared" si="49"/>
        <v>43</v>
      </c>
      <c r="X787">
        <f t="shared" si="50"/>
        <v>0.33005578799999991</v>
      </c>
      <c r="Y787">
        <f t="shared" si="51"/>
        <v>83.5</v>
      </c>
      <c r="Z787" s="1">
        <v>0</v>
      </c>
      <c r="AA787">
        <v>100</v>
      </c>
      <c r="AB787">
        <v>0</v>
      </c>
      <c r="AC787">
        <v>0</v>
      </c>
      <c r="AD787">
        <v>103</v>
      </c>
      <c r="AE787">
        <v>0</v>
      </c>
      <c r="AF787" t="s">
        <v>2591</v>
      </c>
      <c r="AG787" t="s">
        <v>2589</v>
      </c>
    </row>
    <row r="788" spans="1:33">
      <c r="A788" s="2" t="s">
        <v>123</v>
      </c>
      <c r="B788" s="2" t="s">
        <v>59</v>
      </c>
      <c r="C788" s="1">
        <v>0.59184352799999995</v>
      </c>
      <c r="D788">
        <v>0.67011857600000002</v>
      </c>
      <c r="E788">
        <v>0.74025419199999998</v>
      </c>
      <c r="F788" s="1" t="s">
        <v>124</v>
      </c>
      <c r="G788" s="1">
        <v>1.7166666669999999</v>
      </c>
      <c r="H788" s="1">
        <v>26</v>
      </c>
      <c r="I788" s="1">
        <v>36</v>
      </c>
      <c r="J788" s="1">
        <v>0.66740543199999991</v>
      </c>
      <c r="K788" s="1">
        <v>0.56225432799999997</v>
      </c>
      <c r="L788" s="1">
        <v>0.68100706499999997</v>
      </c>
      <c r="M788" s="3">
        <v>0.67505263699999996</v>
      </c>
      <c r="N788" s="1" t="s">
        <v>60</v>
      </c>
      <c r="O788" s="1">
        <v>1.1501154730000001</v>
      </c>
      <c r="P788" s="1">
        <v>60.5</v>
      </c>
      <c r="Q788" s="1">
        <v>129.9</v>
      </c>
      <c r="R788" s="1">
        <v>0.63943801</v>
      </c>
      <c r="S788" s="1">
        <v>7.2424600266491959E-2</v>
      </c>
      <c r="T788" t="s">
        <v>935</v>
      </c>
      <c r="U788" s="1">
        <v>6165</v>
      </c>
      <c r="V788">
        <f t="shared" si="48"/>
        <v>0.42110367565908341</v>
      </c>
      <c r="W788" s="1">
        <f t="shared" si="49"/>
        <v>34.5</v>
      </c>
      <c r="X788">
        <f t="shared" si="50"/>
        <v>0.56655119399999987</v>
      </c>
      <c r="Y788">
        <f t="shared" si="51"/>
        <v>93.9</v>
      </c>
      <c r="Z788" s="1">
        <v>0</v>
      </c>
      <c r="AA788">
        <v>100</v>
      </c>
      <c r="AB788">
        <v>0</v>
      </c>
      <c r="AC788">
        <v>0</v>
      </c>
      <c r="AD788">
        <v>122</v>
      </c>
      <c r="AE788">
        <v>0</v>
      </c>
      <c r="AF788" t="s">
        <v>2591</v>
      </c>
      <c r="AG788" t="s">
        <v>2589</v>
      </c>
    </row>
    <row r="789" spans="1:33">
      <c r="A789" s="2" t="s">
        <v>123</v>
      </c>
      <c r="B789" s="2" t="s">
        <v>61</v>
      </c>
      <c r="C789" s="1">
        <v>0.59184352799999995</v>
      </c>
      <c r="D789">
        <v>0.67011857600000002</v>
      </c>
      <c r="E789">
        <v>0.74025419199999998</v>
      </c>
      <c r="F789" s="1" t="s">
        <v>124</v>
      </c>
      <c r="G789" s="1">
        <v>1.7166666669999999</v>
      </c>
      <c r="H789" s="1">
        <v>26</v>
      </c>
      <c r="I789" s="1">
        <v>36</v>
      </c>
      <c r="J789" s="1">
        <v>0.66740543199999991</v>
      </c>
      <c r="K789" s="1">
        <v>0.62063455999999995</v>
      </c>
      <c r="L789" s="1">
        <v>0.67798104299999995</v>
      </c>
      <c r="M789" s="3">
        <v>0.72175371600000005</v>
      </c>
      <c r="N789" s="1" t="s">
        <v>62</v>
      </c>
      <c r="O789" s="1">
        <v>7.5471698109999998</v>
      </c>
      <c r="P789" s="1">
        <v>26.4</v>
      </c>
      <c r="Q789" s="1">
        <v>10.6</v>
      </c>
      <c r="R789" s="1">
        <v>0.6734564396666668</v>
      </c>
      <c r="S789" s="1">
        <v>3.5114235335226722E-2</v>
      </c>
      <c r="T789" t="s">
        <v>936</v>
      </c>
      <c r="U789" s="1">
        <v>1315</v>
      </c>
      <c r="V789">
        <f t="shared" si="48"/>
        <v>0.34654730586953075</v>
      </c>
      <c r="W789" s="1">
        <f t="shared" si="49"/>
        <v>0.39999999999999858</v>
      </c>
      <c r="X789">
        <f t="shared" si="50"/>
        <v>5.8305031439999997</v>
      </c>
      <c r="Y789">
        <f t="shared" si="51"/>
        <v>25.4</v>
      </c>
      <c r="Z789" s="1">
        <v>0</v>
      </c>
      <c r="AA789">
        <v>100</v>
      </c>
      <c r="AB789">
        <v>0</v>
      </c>
      <c r="AC789">
        <v>0</v>
      </c>
      <c r="AD789">
        <v>97</v>
      </c>
      <c r="AE789">
        <v>0</v>
      </c>
      <c r="AF789" t="s">
        <v>2591</v>
      </c>
      <c r="AG789" t="s">
        <v>2588</v>
      </c>
    </row>
    <row r="790" spans="1:33">
      <c r="A790" s="2" t="s">
        <v>123</v>
      </c>
      <c r="B790" s="2" t="s">
        <v>63</v>
      </c>
      <c r="C790" s="1">
        <v>0.59184352799999995</v>
      </c>
      <c r="D790">
        <v>0.67011857600000002</v>
      </c>
      <c r="E790">
        <v>0.74025419199999998</v>
      </c>
      <c r="F790" s="1" t="s">
        <v>124</v>
      </c>
      <c r="G790" s="1">
        <v>1.7166666669999999</v>
      </c>
      <c r="H790" s="1">
        <v>26</v>
      </c>
      <c r="I790" s="1">
        <v>36</v>
      </c>
      <c r="J790" s="1">
        <v>0.66740543199999991</v>
      </c>
      <c r="K790" s="1">
        <v>0.44311141399999998</v>
      </c>
      <c r="L790" s="1">
        <v>0.57053969199999999</v>
      </c>
      <c r="M790" s="3">
        <v>0.59266330599999995</v>
      </c>
      <c r="N790" s="1" t="s">
        <v>64</v>
      </c>
      <c r="O790" s="1">
        <v>0.89618138400000003</v>
      </c>
      <c r="P790" s="1">
        <v>29.7</v>
      </c>
      <c r="Q790" s="1">
        <v>83.8</v>
      </c>
      <c r="R790" s="1">
        <v>0.53543813733333334</v>
      </c>
      <c r="S790" s="1">
        <v>0.23199195137732573</v>
      </c>
      <c r="T790" t="s">
        <v>937</v>
      </c>
      <c r="U790" s="1">
        <v>218</v>
      </c>
      <c r="V790">
        <f t="shared" si="48"/>
        <v>0.25982849928940049</v>
      </c>
      <c r="W790" s="1">
        <f t="shared" si="49"/>
        <v>3.6999999999999993</v>
      </c>
      <c r="X790">
        <f t="shared" si="50"/>
        <v>0.8204852829999999</v>
      </c>
      <c r="Y790">
        <f t="shared" si="51"/>
        <v>47.8</v>
      </c>
      <c r="Z790" s="1">
        <v>0</v>
      </c>
      <c r="AA790">
        <v>100</v>
      </c>
      <c r="AB790">
        <v>0</v>
      </c>
      <c r="AC790">
        <v>0</v>
      </c>
      <c r="AD790">
        <v>104</v>
      </c>
      <c r="AE790">
        <v>0</v>
      </c>
      <c r="AF790" t="s">
        <v>2591</v>
      </c>
      <c r="AG790" t="s">
        <v>2590</v>
      </c>
    </row>
    <row r="791" spans="1:33">
      <c r="A791" s="2" t="s">
        <v>123</v>
      </c>
      <c r="B791" s="2" t="s">
        <v>65</v>
      </c>
      <c r="C791" s="1">
        <v>0.59184352799999995</v>
      </c>
      <c r="D791">
        <v>0.67011857600000002</v>
      </c>
      <c r="E791">
        <v>0.74025419199999998</v>
      </c>
      <c r="F791" s="1" t="s">
        <v>124</v>
      </c>
      <c r="G791" s="1">
        <v>1.7166666669999999</v>
      </c>
      <c r="H791" s="1">
        <v>26</v>
      </c>
      <c r="I791" s="1">
        <v>36</v>
      </c>
      <c r="J791" s="1">
        <v>0.66740543199999991</v>
      </c>
      <c r="K791" s="1">
        <v>0.67377447499999998</v>
      </c>
      <c r="L791" s="1">
        <v>0.69144672900000004</v>
      </c>
      <c r="M791" s="3">
        <v>0.73046409700000003</v>
      </c>
      <c r="N791" s="1" t="s">
        <v>66</v>
      </c>
      <c r="O791" s="1">
        <v>1.8507462690000001</v>
      </c>
      <c r="P791" s="1">
        <v>34.5</v>
      </c>
      <c r="Q791" s="1">
        <v>46.9</v>
      </c>
      <c r="R791" s="1">
        <v>0.69856176700000006</v>
      </c>
      <c r="S791" s="1">
        <v>8.5225677743372905E-2</v>
      </c>
      <c r="T791" t="s">
        <v>938</v>
      </c>
      <c r="U791" s="1">
        <v>9275</v>
      </c>
      <c r="V791">
        <f t="shared" si="48"/>
        <v>0.44081265758745375</v>
      </c>
      <c r="W791" s="1">
        <f t="shared" si="49"/>
        <v>8.5</v>
      </c>
      <c r="X791">
        <f t="shared" si="50"/>
        <v>0.13407960200000013</v>
      </c>
      <c r="Y791">
        <f t="shared" si="51"/>
        <v>10.899999999999999</v>
      </c>
      <c r="Z791" s="1">
        <v>6</v>
      </c>
      <c r="AA791">
        <v>94</v>
      </c>
      <c r="AB791">
        <v>6.3799999999999996E-2</v>
      </c>
      <c r="AC791">
        <v>7</v>
      </c>
      <c r="AD791">
        <v>79</v>
      </c>
      <c r="AE791">
        <v>8.8599999999999998E-2</v>
      </c>
      <c r="AF791" t="s">
        <v>2591</v>
      </c>
      <c r="AG791" t="s">
        <v>2593</v>
      </c>
    </row>
    <row r="792" spans="1:33">
      <c r="A792" s="2" t="s">
        <v>123</v>
      </c>
      <c r="B792" s="2" t="s">
        <v>67</v>
      </c>
      <c r="C792" s="1">
        <v>0.59184352799999995</v>
      </c>
      <c r="D792">
        <v>0.67011857600000002</v>
      </c>
      <c r="E792">
        <v>0.74025419199999998</v>
      </c>
      <c r="F792" s="1" t="s">
        <v>124</v>
      </c>
      <c r="G792" s="1">
        <v>1.7166666669999999</v>
      </c>
      <c r="H792" s="1">
        <v>26</v>
      </c>
      <c r="I792" s="1">
        <v>36</v>
      </c>
      <c r="J792" s="1">
        <v>0.66740543199999991</v>
      </c>
      <c r="K792" s="1">
        <v>0.53971122199999999</v>
      </c>
      <c r="L792" s="1">
        <v>0.621203065</v>
      </c>
      <c r="M792" s="3">
        <v>0.67806811499999997</v>
      </c>
      <c r="N792" s="1" t="s">
        <v>68</v>
      </c>
      <c r="O792" s="1">
        <v>1.5131894480000001</v>
      </c>
      <c r="P792" s="1">
        <v>27.2</v>
      </c>
      <c r="Q792" s="1">
        <v>41.7</v>
      </c>
      <c r="R792" s="1">
        <v>0.61299413400000002</v>
      </c>
      <c r="S792" s="1">
        <v>9.4750265001838835E-2</v>
      </c>
      <c r="T792" t="s">
        <v>939</v>
      </c>
      <c r="U792" s="1">
        <v>3502</v>
      </c>
      <c r="V792">
        <f t="shared" si="48"/>
        <v>0.39381290463860302</v>
      </c>
      <c r="W792" s="1">
        <f t="shared" si="49"/>
        <v>1.1999999999999993</v>
      </c>
      <c r="X792">
        <f t="shared" si="50"/>
        <v>0.20347721899999982</v>
      </c>
      <c r="Y792">
        <f t="shared" si="51"/>
        <v>5.7000000000000028</v>
      </c>
      <c r="Z792" s="1">
        <v>0</v>
      </c>
      <c r="AA792">
        <v>100</v>
      </c>
      <c r="AB792">
        <v>0</v>
      </c>
      <c r="AC792">
        <v>0</v>
      </c>
      <c r="AD792">
        <v>97</v>
      </c>
      <c r="AE792">
        <v>0</v>
      </c>
      <c r="AF792" t="s">
        <v>2591</v>
      </c>
      <c r="AG792" t="s">
        <v>2588</v>
      </c>
    </row>
    <row r="793" spans="1:33">
      <c r="A793" s="2" t="s">
        <v>123</v>
      </c>
      <c r="B793" s="2" t="s">
        <v>69</v>
      </c>
      <c r="C793" s="1">
        <v>0.59184352799999995</v>
      </c>
      <c r="D793">
        <v>0.67011857600000002</v>
      </c>
      <c r="E793">
        <v>0.74025419199999998</v>
      </c>
      <c r="F793" s="1" t="s">
        <v>124</v>
      </c>
      <c r="G793" s="1">
        <v>1.7166666669999999</v>
      </c>
      <c r="H793" s="1">
        <v>26</v>
      </c>
      <c r="I793" s="1">
        <v>36</v>
      </c>
      <c r="J793" s="1">
        <v>0.66740543199999991</v>
      </c>
      <c r="K793" s="1">
        <v>0.50188385300000005</v>
      </c>
      <c r="L793" s="1">
        <v>0.64580031500000001</v>
      </c>
      <c r="M793" s="3">
        <v>0.66006355800000005</v>
      </c>
      <c r="N793" s="1" t="s">
        <v>70</v>
      </c>
      <c r="O793" s="1">
        <v>1.2401055409999999</v>
      </c>
      <c r="P793" s="1">
        <v>43.4</v>
      </c>
      <c r="Q793" s="1">
        <v>75.8</v>
      </c>
      <c r="R793" s="1">
        <v>0.60258257533333337</v>
      </c>
      <c r="S793" s="1">
        <v>0.12294168831397946</v>
      </c>
      <c r="T793" t="s">
        <v>940</v>
      </c>
      <c r="U793" s="1">
        <v>339</v>
      </c>
      <c r="V793">
        <f t="shared" si="48"/>
        <v>0.28113329980034246</v>
      </c>
      <c r="W793" s="1">
        <f t="shared" si="49"/>
        <v>17.399999999999999</v>
      </c>
      <c r="X793">
        <f t="shared" si="50"/>
        <v>0.476561126</v>
      </c>
      <c r="Y793">
        <f t="shared" si="51"/>
        <v>39.799999999999997</v>
      </c>
      <c r="Z793" s="1">
        <v>0</v>
      </c>
      <c r="AA793">
        <v>100</v>
      </c>
      <c r="AB793">
        <v>0</v>
      </c>
      <c r="AC793">
        <v>0</v>
      </c>
      <c r="AD793">
        <v>104</v>
      </c>
      <c r="AE793">
        <v>0</v>
      </c>
      <c r="AF793" t="s">
        <v>2591</v>
      </c>
      <c r="AG793" t="s">
        <v>2589</v>
      </c>
    </row>
    <row r="794" spans="1:33">
      <c r="A794" s="2" t="s">
        <v>123</v>
      </c>
      <c r="B794" s="2" t="s">
        <v>71</v>
      </c>
      <c r="C794" s="1">
        <v>0.59184352799999995</v>
      </c>
      <c r="D794">
        <v>0.67011857600000002</v>
      </c>
      <c r="E794">
        <v>0.74025419199999998</v>
      </c>
      <c r="F794" s="1" t="s">
        <v>124</v>
      </c>
      <c r="G794" s="1">
        <v>1.7166666669999999</v>
      </c>
      <c r="H794" s="1">
        <v>26</v>
      </c>
      <c r="I794" s="1">
        <v>36</v>
      </c>
      <c r="J794" s="1">
        <v>0.66740543199999991</v>
      </c>
      <c r="K794" s="1">
        <v>0.53267569100000001</v>
      </c>
      <c r="L794" s="1">
        <v>0.64507433599999997</v>
      </c>
      <c r="M794" s="3">
        <v>0.66598465100000004</v>
      </c>
      <c r="N794" s="1" t="s">
        <v>72</v>
      </c>
      <c r="O794" s="1">
        <v>0.97289666900000005</v>
      </c>
      <c r="P794" s="1">
        <v>64.8</v>
      </c>
      <c r="Q794" s="1">
        <v>177.1</v>
      </c>
      <c r="R794" s="1">
        <v>0.61457822600000001</v>
      </c>
      <c r="S794" s="1">
        <v>9.8203928703422233E-2</v>
      </c>
      <c r="T794" t="s">
        <v>941</v>
      </c>
      <c r="U794" s="1">
        <v>3666</v>
      </c>
      <c r="V794">
        <f t="shared" si="48"/>
        <v>0.39602138451402197</v>
      </c>
      <c r="W794" s="1">
        <f t="shared" si="49"/>
        <v>38.799999999999997</v>
      </c>
      <c r="X794">
        <f t="shared" si="50"/>
        <v>0.74376999799999988</v>
      </c>
      <c r="Y794">
        <f t="shared" si="51"/>
        <v>141.1</v>
      </c>
      <c r="Z794" s="1">
        <v>3</v>
      </c>
      <c r="AA794">
        <v>97</v>
      </c>
      <c r="AB794">
        <v>3.09E-2</v>
      </c>
      <c r="AC794">
        <v>2</v>
      </c>
      <c r="AD794">
        <v>113</v>
      </c>
      <c r="AE794">
        <v>1.77E-2</v>
      </c>
      <c r="AF794" t="s">
        <v>2591</v>
      </c>
      <c r="AG794" t="s">
        <v>2589</v>
      </c>
    </row>
    <row r="795" spans="1:33">
      <c r="A795" s="2" t="s">
        <v>123</v>
      </c>
      <c r="B795" s="2" t="s">
        <v>73</v>
      </c>
      <c r="C795" s="1">
        <v>0.59184352799999995</v>
      </c>
      <c r="D795">
        <v>0.67011857600000002</v>
      </c>
      <c r="E795">
        <v>0.74025419199999998</v>
      </c>
      <c r="F795" s="1" t="s">
        <v>124</v>
      </c>
      <c r="G795" s="1">
        <v>1.7166666669999999</v>
      </c>
      <c r="H795" s="1">
        <v>26</v>
      </c>
      <c r="I795" s="1">
        <v>36</v>
      </c>
      <c r="J795" s="1">
        <v>0.66740543199999991</v>
      </c>
      <c r="K795" s="1">
        <v>0.55697925299999995</v>
      </c>
      <c r="L795" s="1">
        <v>0.64461978399999997</v>
      </c>
      <c r="M795" s="3">
        <v>0.69570690000000002</v>
      </c>
      <c r="N795" s="1" t="s">
        <v>74</v>
      </c>
      <c r="O795" s="1">
        <v>1.23433584</v>
      </c>
      <c r="P795" s="1">
        <v>44</v>
      </c>
      <c r="Q795" s="1">
        <v>79.8</v>
      </c>
      <c r="R795" s="1">
        <v>0.63243531233333328</v>
      </c>
      <c r="S795" s="1">
        <v>6.2049716270649875E-2</v>
      </c>
      <c r="T795" t="s">
        <v>942</v>
      </c>
      <c r="U795" s="1">
        <v>368</v>
      </c>
      <c r="V795">
        <f t="shared" si="48"/>
        <v>0.28509420207483527</v>
      </c>
      <c r="W795" s="1">
        <f t="shared" si="49"/>
        <v>18</v>
      </c>
      <c r="X795">
        <f t="shared" si="50"/>
        <v>0.48233082699999996</v>
      </c>
      <c r="Y795">
        <f t="shared" si="51"/>
        <v>43.8</v>
      </c>
      <c r="Z795" s="1">
        <v>0</v>
      </c>
      <c r="AA795">
        <v>100</v>
      </c>
      <c r="AB795">
        <v>0</v>
      </c>
      <c r="AC795">
        <v>0</v>
      </c>
      <c r="AD795">
        <v>100</v>
      </c>
      <c r="AE795">
        <v>0</v>
      </c>
      <c r="AF795" t="s">
        <v>2591</v>
      </c>
      <c r="AG795" t="s">
        <v>2589</v>
      </c>
    </row>
    <row r="796" spans="1:33">
      <c r="A796" s="2" t="s">
        <v>123</v>
      </c>
      <c r="B796" s="2" t="s">
        <v>75</v>
      </c>
      <c r="C796" s="1">
        <v>0.59184352799999995</v>
      </c>
      <c r="D796">
        <v>0.67011857600000002</v>
      </c>
      <c r="E796">
        <v>0.74025419199999998</v>
      </c>
      <c r="F796" s="1" t="s">
        <v>124</v>
      </c>
      <c r="G796" s="1">
        <v>1.7166666669999999</v>
      </c>
      <c r="H796" s="1">
        <v>26</v>
      </c>
      <c r="I796" s="1">
        <v>36</v>
      </c>
      <c r="J796" s="1">
        <v>0.66740543199999991</v>
      </c>
      <c r="K796" s="1">
        <v>0.50354843500000002</v>
      </c>
      <c r="L796" s="1">
        <v>0.59724402499999996</v>
      </c>
      <c r="M796" s="3">
        <v>0.70308254199999998</v>
      </c>
      <c r="N796" s="1" t="s">
        <v>76</v>
      </c>
      <c r="O796" s="1">
        <v>1.2696850390000001</v>
      </c>
      <c r="P796" s="1">
        <v>26.6</v>
      </c>
      <c r="Q796" s="1">
        <v>50.8</v>
      </c>
      <c r="R796" s="1">
        <v>0.60129166733333339</v>
      </c>
      <c r="S796" s="1">
        <v>0.12036799904896961</v>
      </c>
      <c r="T796" t="s">
        <v>943</v>
      </c>
      <c r="U796" s="1">
        <v>975</v>
      </c>
      <c r="V796">
        <f t="shared" si="48"/>
        <v>0.33211162396650412</v>
      </c>
      <c r="W796" s="1">
        <f t="shared" si="49"/>
        <v>0.60000000000000142</v>
      </c>
      <c r="X796">
        <f t="shared" si="50"/>
        <v>0.44698162799999985</v>
      </c>
      <c r="Y796">
        <f t="shared" si="51"/>
        <v>14.799999999999997</v>
      </c>
      <c r="Z796" s="1">
        <v>0</v>
      </c>
      <c r="AA796">
        <v>100</v>
      </c>
      <c r="AB796">
        <v>0</v>
      </c>
      <c r="AC796">
        <v>0</v>
      </c>
      <c r="AD796">
        <v>100</v>
      </c>
      <c r="AE796">
        <v>0</v>
      </c>
      <c r="AF796" t="s">
        <v>2591</v>
      </c>
      <c r="AG796" t="s">
        <v>2594</v>
      </c>
    </row>
    <row r="797" spans="1:33">
      <c r="A797" s="2" t="s">
        <v>123</v>
      </c>
      <c r="B797" s="2" t="s">
        <v>77</v>
      </c>
      <c r="C797" s="1">
        <v>0.59184352799999995</v>
      </c>
      <c r="D797">
        <v>0.67011857600000002</v>
      </c>
      <c r="E797">
        <v>0.74025419199999998</v>
      </c>
      <c r="F797" s="1" t="s">
        <v>124</v>
      </c>
      <c r="G797" s="1">
        <v>1.7166666669999999</v>
      </c>
      <c r="H797" s="1">
        <v>26</v>
      </c>
      <c r="I797" s="1">
        <v>36</v>
      </c>
      <c r="J797" s="1">
        <v>0.66740543199999991</v>
      </c>
      <c r="K797" s="1">
        <v>0.54630843299999998</v>
      </c>
      <c r="L797" s="1">
        <v>0.68935555900000001</v>
      </c>
      <c r="M797" s="3">
        <v>0.65478744899999997</v>
      </c>
      <c r="N797" s="1" t="s">
        <v>78</v>
      </c>
      <c r="O797" s="1">
        <v>1.3914285710000001</v>
      </c>
      <c r="P797" s="1">
        <v>56.5</v>
      </c>
      <c r="Q797" s="1">
        <v>105</v>
      </c>
      <c r="R797" s="1">
        <v>0.63015048033333343</v>
      </c>
      <c r="S797" s="1">
        <v>9.8732317660578398E-2</v>
      </c>
      <c r="T797" t="s">
        <v>944</v>
      </c>
      <c r="U797" s="1">
        <v>489</v>
      </c>
      <c r="V797">
        <f t="shared" si="48"/>
        <v>0.29881209545818005</v>
      </c>
      <c r="W797" s="1">
        <f t="shared" si="49"/>
        <v>30.5</v>
      </c>
      <c r="X797">
        <f t="shared" si="50"/>
        <v>0.32523809599999987</v>
      </c>
      <c r="Y797">
        <f t="shared" si="51"/>
        <v>69</v>
      </c>
      <c r="Z797" s="1">
        <v>0</v>
      </c>
      <c r="AA797">
        <v>100</v>
      </c>
      <c r="AB797">
        <v>0</v>
      </c>
      <c r="AC797">
        <v>0</v>
      </c>
      <c r="AD797">
        <v>89</v>
      </c>
      <c r="AE797">
        <v>0</v>
      </c>
      <c r="AF797" t="s">
        <v>2591</v>
      </c>
      <c r="AG797" t="s">
        <v>2590</v>
      </c>
    </row>
    <row r="798" spans="1:33">
      <c r="A798" s="2" t="s">
        <v>123</v>
      </c>
      <c r="B798" s="2" t="s">
        <v>79</v>
      </c>
      <c r="C798" s="1">
        <v>0.59184352799999995</v>
      </c>
      <c r="D798">
        <v>0.67011857600000002</v>
      </c>
      <c r="E798">
        <v>0.74025419199999998</v>
      </c>
      <c r="F798" s="1" t="s">
        <v>124</v>
      </c>
      <c r="G798" s="1">
        <v>1.7166666669999999</v>
      </c>
      <c r="H798" s="1">
        <v>26</v>
      </c>
      <c r="I798" s="1">
        <v>36</v>
      </c>
      <c r="J798" s="1">
        <v>0.66740543199999991</v>
      </c>
      <c r="K798" s="1">
        <v>0.63652882899999996</v>
      </c>
      <c r="L798" s="1">
        <v>0.77536518600000004</v>
      </c>
      <c r="M798" s="3">
        <v>0.610415606</v>
      </c>
      <c r="N798" s="1" t="s">
        <v>80</v>
      </c>
      <c r="O798" s="1">
        <v>0.95325542600000002</v>
      </c>
      <c r="P798" s="1">
        <v>45.6</v>
      </c>
      <c r="Q798" s="1">
        <v>119.8</v>
      </c>
      <c r="R798" s="1">
        <v>0.67410320700000004</v>
      </c>
      <c r="S798" s="1">
        <v>0.17300775548059139</v>
      </c>
      <c r="T798" t="s">
        <v>945</v>
      </c>
      <c r="U798" s="1">
        <v>431</v>
      </c>
      <c r="V798">
        <f t="shared" si="48"/>
        <v>0.29271969668452574</v>
      </c>
      <c r="W798" s="1">
        <f t="shared" si="49"/>
        <v>19.600000000000001</v>
      </c>
      <c r="X798">
        <f t="shared" si="50"/>
        <v>0.76341124099999991</v>
      </c>
      <c r="Y798">
        <f t="shared" si="51"/>
        <v>83.8</v>
      </c>
      <c r="Z798" s="1">
        <v>0</v>
      </c>
      <c r="AA798">
        <v>100</v>
      </c>
      <c r="AB798">
        <v>0</v>
      </c>
      <c r="AC798">
        <v>0</v>
      </c>
      <c r="AD798">
        <v>80</v>
      </c>
      <c r="AE798">
        <v>0</v>
      </c>
      <c r="AF798" t="s">
        <v>2591</v>
      </c>
      <c r="AG798" t="s">
        <v>2590</v>
      </c>
    </row>
    <row r="799" spans="1:33">
      <c r="A799" s="2" t="s">
        <v>123</v>
      </c>
      <c r="B799" s="2" t="s">
        <v>81</v>
      </c>
      <c r="C799" s="1">
        <v>0.59184352799999995</v>
      </c>
      <c r="D799">
        <v>0.67011857600000002</v>
      </c>
      <c r="E799">
        <v>0.74025419199999998</v>
      </c>
      <c r="F799" s="1" t="s">
        <v>124</v>
      </c>
      <c r="G799" s="1">
        <v>1.7166666669999999</v>
      </c>
      <c r="H799" s="1">
        <v>26</v>
      </c>
      <c r="I799" s="1">
        <v>36</v>
      </c>
      <c r="J799" s="1">
        <v>0.66740543199999991</v>
      </c>
      <c r="K799" s="1">
        <v>0.50183280699999999</v>
      </c>
      <c r="L799" s="1">
        <v>0.68550824600000004</v>
      </c>
      <c r="M799" s="3">
        <v>0.66941488999999998</v>
      </c>
      <c r="N799" s="1" t="s">
        <v>82</v>
      </c>
      <c r="O799" s="1">
        <v>1.4359576970000001</v>
      </c>
      <c r="P799" s="1">
        <v>51</v>
      </c>
      <c r="Q799" s="1">
        <v>85.1</v>
      </c>
      <c r="R799" s="1">
        <v>0.61891864766666671</v>
      </c>
      <c r="S799" s="1">
        <v>0.11557239525724097</v>
      </c>
      <c r="T799" t="s">
        <v>946</v>
      </c>
      <c r="U799" s="1">
        <v>2770</v>
      </c>
      <c r="V799">
        <f t="shared" si="48"/>
        <v>0.38249775211827208</v>
      </c>
      <c r="W799" s="1">
        <f t="shared" si="49"/>
        <v>25</v>
      </c>
      <c r="X799">
        <f t="shared" si="50"/>
        <v>0.28070896999999984</v>
      </c>
      <c r="Y799">
        <f t="shared" si="51"/>
        <v>49.099999999999994</v>
      </c>
      <c r="Z799" s="1">
        <v>3</v>
      </c>
      <c r="AA799">
        <v>97</v>
      </c>
      <c r="AB799">
        <v>3.09E-2</v>
      </c>
      <c r="AC799">
        <v>3</v>
      </c>
      <c r="AD799">
        <v>88</v>
      </c>
      <c r="AE799">
        <v>3.4099999999999998E-2</v>
      </c>
      <c r="AF799" t="s">
        <v>2591</v>
      </c>
      <c r="AG799" t="s">
        <v>2589</v>
      </c>
    </row>
    <row r="800" spans="1:33">
      <c r="A800" s="2" t="s">
        <v>123</v>
      </c>
      <c r="B800" s="2" t="s">
        <v>83</v>
      </c>
      <c r="C800" s="1">
        <v>0.59184352799999995</v>
      </c>
      <c r="D800">
        <v>0.67011857600000002</v>
      </c>
      <c r="E800">
        <v>0.74025419199999998</v>
      </c>
      <c r="F800" s="1" t="s">
        <v>124</v>
      </c>
      <c r="G800" s="1">
        <v>1.7166666669999999</v>
      </c>
      <c r="H800" s="1">
        <v>26</v>
      </c>
      <c r="I800" s="1">
        <v>36</v>
      </c>
      <c r="J800" s="1">
        <v>0.66740543199999991</v>
      </c>
      <c r="K800" s="1">
        <v>0.51815179099999997</v>
      </c>
      <c r="L800" s="1">
        <v>0.50115949400000004</v>
      </c>
      <c r="M800" s="3">
        <v>0.68053170600000001</v>
      </c>
      <c r="N800" s="1" t="s">
        <v>84</v>
      </c>
      <c r="O800" s="1">
        <v>1.760323887</v>
      </c>
      <c r="P800" s="1">
        <v>83.4</v>
      </c>
      <c r="Q800" s="1">
        <v>123.5</v>
      </c>
      <c r="R800" s="1">
        <v>0.56661433033333342</v>
      </c>
      <c r="S800" s="1">
        <v>0.19376382228470845</v>
      </c>
      <c r="T800" t="s">
        <v>947</v>
      </c>
      <c r="U800" s="1">
        <v>2728</v>
      </c>
      <c r="V800">
        <f t="shared" si="48"/>
        <v>0.38176048510938237</v>
      </c>
      <c r="W800" s="1">
        <f t="shared" si="49"/>
        <v>57.400000000000006</v>
      </c>
      <c r="X800">
        <f t="shared" si="50"/>
        <v>4.3657220000000052E-2</v>
      </c>
      <c r="Y800">
        <f t="shared" si="51"/>
        <v>87.5</v>
      </c>
      <c r="Z800" s="1">
        <v>0</v>
      </c>
      <c r="AA800">
        <v>100</v>
      </c>
      <c r="AB800">
        <v>0</v>
      </c>
      <c r="AC800">
        <v>0</v>
      </c>
      <c r="AD800">
        <v>86</v>
      </c>
      <c r="AE800">
        <v>0</v>
      </c>
      <c r="AF800" t="s">
        <v>2591</v>
      </c>
      <c r="AG800" t="s">
        <v>2589</v>
      </c>
    </row>
    <row r="801" spans="1:33">
      <c r="A801" s="2" t="s">
        <v>123</v>
      </c>
      <c r="B801" s="2" t="s">
        <v>85</v>
      </c>
      <c r="C801" s="1">
        <v>0.59184352799999995</v>
      </c>
      <c r="D801">
        <v>0.67011857600000002</v>
      </c>
      <c r="E801">
        <v>0.74025419199999998</v>
      </c>
      <c r="F801" s="1" t="s">
        <v>124</v>
      </c>
      <c r="G801" s="1">
        <v>1.7166666669999999</v>
      </c>
      <c r="H801" s="1">
        <v>26</v>
      </c>
      <c r="I801" s="1">
        <v>36</v>
      </c>
      <c r="J801" s="1">
        <v>0.66740543199999991</v>
      </c>
      <c r="K801" s="1">
        <v>0.522280945</v>
      </c>
      <c r="L801" s="1">
        <v>0.58016629799999997</v>
      </c>
      <c r="M801" s="3">
        <v>0.62446713499999995</v>
      </c>
      <c r="N801" s="1" t="s">
        <v>86</v>
      </c>
      <c r="O801" s="1">
        <v>0.57177615599999998</v>
      </c>
      <c r="P801" s="1">
        <v>19.5</v>
      </c>
      <c r="Q801" s="1">
        <v>82.2</v>
      </c>
      <c r="R801" s="1">
        <v>0.57563812599999997</v>
      </c>
      <c r="S801" s="1">
        <v>0.16228680734965006</v>
      </c>
      <c r="T801" t="s">
        <v>948</v>
      </c>
      <c r="U801" s="1">
        <v>243</v>
      </c>
      <c r="V801">
        <f t="shared" si="48"/>
        <v>0.26506736373314577</v>
      </c>
      <c r="W801" s="1">
        <f t="shared" si="49"/>
        <v>6.5</v>
      </c>
      <c r="X801">
        <f t="shared" si="50"/>
        <v>1.1448905109999998</v>
      </c>
      <c r="Y801">
        <f t="shared" si="51"/>
        <v>46.2</v>
      </c>
      <c r="Z801" s="1">
        <v>0</v>
      </c>
      <c r="AA801">
        <v>100</v>
      </c>
      <c r="AB801">
        <v>0</v>
      </c>
      <c r="AC801">
        <v>0</v>
      </c>
      <c r="AD801">
        <v>151</v>
      </c>
      <c r="AE801">
        <v>0</v>
      </c>
      <c r="AF801" t="s">
        <v>2591</v>
      </c>
      <c r="AG801" t="s">
        <v>2590</v>
      </c>
    </row>
    <row r="802" spans="1:33">
      <c r="A802" s="2" t="s">
        <v>123</v>
      </c>
      <c r="B802" s="2" t="s">
        <v>87</v>
      </c>
      <c r="C802" s="1">
        <v>0.59184352799999995</v>
      </c>
      <c r="D802">
        <v>0.67011857600000002</v>
      </c>
      <c r="E802">
        <v>0.74025419199999998</v>
      </c>
      <c r="F802" s="1" t="s">
        <v>124</v>
      </c>
      <c r="G802" s="1">
        <v>1.7166666669999999</v>
      </c>
      <c r="H802" s="1">
        <v>26</v>
      </c>
      <c r="I802" s="1">
        <v>36</v>
      </c>
      <c r="J802" s="1">
        <v>0.66740543199999991</v>
      </c>
      <c r="K802" s="1">
        <v>0.46780425199999998</v>
      </c>
      <c r="L802" s="1">
        <v>0.54149707400000002</v>
      </c>
      <c r="M802" s="3">
        <v>0.61626236400000001</v>
      </c>
      <c r="N802" s="1" t="s">
        <v>88</v>
      </c>
      <c r="O802" s="1">
        <v>1.395454545</v>
      </c>
      <c r="P802" s="1">
        <v>65.2</v>
      </c>
      <c r="Q802" s="1">
        <v>110</v>
      </c>
      <c r="R802" s="1">
        <v>0.54185456333333337</v>
      </c>
      <c r="S802" s="1">
        <v>0.21749300259576571</v>
      </c>
      <c r="T802" t="s">
        <v>949</v>
      </c>
      <c r="U802" s="1">
        <v>1994</v>
      </c>
      <c r="V802">
        <f t="shared" si="48"/>
        <v>0.36663612821951519</v>
      </c>
      <c r="W802" s="1">
        <f t="shared" si="49"/>
        <v>39.200000000000003</v>
      </c>
      <c r="X802">
        <f t="shared" si="50"/>
        <v>0.32121212199999993</v>
      </c>
      <c r="Y802">
        <f t="shared" si="51"/>
        <v>74</v>
      </c>
      <c r="Z802" s="1">
        <v>0</v>
      </c>
      <c r="AA802">
        <v>100</v>
      </c>
      <c r="AB802">
        <v>0</v>
      </c>
      <c r="AC802">
        <v>0</v>
      </c>
      <c r="AD802">
        <v>84</v>
      </c>
      <c r="AE802">
        <v>0</v>
      </c>
      <c r="AF802" t="s">
        <v>2591</v>
      </c>
      <c r="AG802" t="s">
        <v>2590</v>
      </c>
    </row>
    <row r="803" spans="1:33">
      <c r="A803" s="2" t="s">
        <v>123</v>
      </c>
      <c r="B803" s="2" t="s">
        <v>89</v>
      </c>
      <c r="C803" s="1">
        <v>0.59184352799999995</v>
      </c>
      <c r="D803">
        <v>0.67011857600000002</v>
      </c>
      <c r="E803">
        <v>0.74025419199999998</v>
      </c>
      <c r="F803" s="1" t="s">
        <v>124</v>
      </c>
      <c r="G803" s="1">
        <v>1.7166666669999999</v>
      </c>
      <c r="H803" s="1">
        <v>26</v>
      </c>
      <c r="I803" s="1">
        <v>36</v>
      </c>
      <c r="J803" s="1">
        <v>0.66740543199999991</v>
      </c>
      <c r="K803" s="1">
        <v>0.51097051500000001</v>
      </c>
      <c r="L803" s="1">
        <v>0.61917891400000002</v>
      </c>
      <c r="M803" s="3">
        <v>0.60984479800000002</v>
      </c>
      <c r="N803" s="1" t="s">
        <v>90</v>
      </c>
      <c r="O803" s="1">
        <v>1.429752066</v>
      </c>
      <c r="P803" s="1">
        <v>59.8</v>
      </c>
      <c r="Q803" s="1">
        <v>108.9</v>
      </c>
      <c r="R803" s="1">
        <v>0.57999807566666661</v>
      </c>
      <c r="S803" s="1">
        <v>0.1616845800929069</v>
      </c>
      <c r="T803" t="s">
        <v>950</v>
      </c>
      <c r="U803" s="1">
        <v>1031</v>
      </c>
      <c r="V803">
        <f t="shared" si="48"/>
        <v>0.33480651836483521</v>
      </c>
      <c r="W803" s="1">
        <f t="shared" si="49"/>
        <v>33.799999999999997</v>
      </c>
      <c r="X803">
        <f t="shared" si="50"/>
        <v>0.28691460099999988</v>
      </c>
      <c r="Y803">
        <f t="shared" si="51"/>
        <v>72.900000000000006</v>
      </c>
      <c r="Z803" s="1">
        <v>0</v>
      </c>
      <c r="AA803">
        <v>100</v>
      </c>
      <c r="AB803">
        <v>0</v>
      </c>
      <c r="AC803">
        <v>0</v>
      </c>
      <c r="AD803">
        <v>93</v>
      </c>
      <c r="AE803">
        <v>0</v>
      </c>
      <c r="AF803" t="s">
        <v>2591</v>
      </c>
      <c r="AG803" t="s">
        <v>2589</v>
      </c>
    </row>
    <row r="804" spans="1:33">
      <c r="A804" s="2" t="s">
        <v>123</v>
      </c>
      <c r="B804" s="2" t="s">
        <v>91</v>
      </c>
      <c r="C804" s="1">
        <v>0.59184352799999995</v>
      </c>
      <c r="D804">
        <v>0.67011857600000002</v>
      </c>
      <c r="E804">
        <v>0.74025419199999998</v>
      </c>
      <c r="F804" s="1" t="s">
        <v>124</v>
      </c>
      <c r="G804" s="1">
        <v>1.7166666669999999</v>
      </c>
      <c r="H804" s="1">
        <v>26</v>
      </c>
      <c r="I804" s="1">
        <v>36</v>
      </c>
      <c r="J804" s="1">
        <v>0.66740543199999991</v>
      </c>
      <c r="K804" s="1">
        <v>0.37439919700000002</v>
      </c>
      <c r="L804" s="1">
        <v>0.508839347</v>
      </c>
      <c r="M804" s="3">
        <v>0.52701193599999996</v>
      </c>
      <c r="N804" s="1" t="s">
        <v>92</v>
      </c>
      <c r="O804" s="1">
        <v>1.911504425</v>
      </c>
      <c r="P804" s="1">
        <v>24.6</v>
      </c>
      <c r="Q804" s="1">
        <v>33.9</v>
      </c>
      <c r="R804" s="1">
        <v>0.47008349333333332</v>
      </c>
      <c r="S804" s="1">
        <v>0.34462339812444764</v>
      </c>
      <c r="T804" t="s">
        <v>951</v>
      </c>
      <c r="U804" s="1">
        <v>886</v>
      </c>
      <c r="V804">
        <f t="shared" si="48"/>
        <v>0.32749263576522786</v>
      </c>
      <c r="W804" s="1">
        <f t="shared" si="49"/>
        <v>1.3999999999999986</v>
      </c>
      <c r="X804">
        <f t="shared" si="50"/>
        <v>0.19483775800000003</v>
      </c>
      <c r="Y804">
        <f t="shared" si="51"/>
        <v>2.1000000000000014</v>
      </c>
      <c r="Z804" s="1">
        <v>0</v>
      </c>
      <c r="AA804">
        <v>100</v>
      </c>
      <c r="AB804">
        <v>0</v>
      </c>
      <c r="AC804">
        <v>0</v>
      </c>
      <c r="AD804">
        <v>100</v>
      </c>
      <c r="AE804">
        <v>0</v>
      </c>
      <c r="AF804" t="s">
        <v>2591</v>
      </c>
      <c r="AG804" t="s">
        <v>2590</v>
      </c>
    </row>
    <row r="805" spans="1:33">
      <c r="A805" s="2" t="s">
        <v>123</v>
      </c>
      <c r="B805" s="2" t="s">
        <v>93</v>
      </c>
      <c r="C805" s="1">
        <v>0.59184352799999995</v>
      </c>
      <c r="D805">
        <v>0.67011857600000002</v>
      </c>
      <c r="E805">
        <v>0.74025419199999998</v>
      </c>
      <c r="F805" s="1" t="s">
        <v>124</v>
      </c>
      <c r="G805" s="1">
        <v>1.7166666669999999</v>
      </c>
      <c r="H805" s="1">
        <v>26</v>
      </c>
      <c r="I805" s="1">
        <v>36</v>
      </c>
      <c r="J805" s="1">
        <v>0.66740543199999991</v>
      </c>
      <c r="K805" s="1">
        <v>0.54134617200000001</v>
      </c>
      <c r="L805" s="1">
        <v>0.674899633</v>
      </c>
      <c r="M805" s="3">
        <v>0.719840174</v>
      </c>
      <c r="N805" s="1" t="s">
        <v>94</v>
      </c>
      <c r="O805" s="1">
        <v>1.175388967</v>
      </c>
      <c r="P805" s="1">
        <v>36.6</v>
      </c>
      <c r="Q805" s="1">
        <v>70.7</v>
      </c>
      <c r="R805" s="1">
        <v>0.64536199299999997</v>
      </c>
      <c r="S805" s="1">
        <v>5.4676993332957703E-2</v>
      </c>
      <c r="T805" t="s">
        <v>952</v>
      </c>
      <c r="U805" s="1">
        <v>325</v>
      </c>
      <c r="V805">
        <f t="shared" si="48"/>
        <v>0.27909815121987491</v>
      </c>
      <c r="W805" s="1">
        <f t="shared" si="49"/>
        <v>10.600000000000001</v>
      </c>
      <c r="X805">
        <f t="shared" si="50"/>
        <v>0.54127769999999997</v>
      </c>
      <c r="Y805">
        <f t="shared" si="51"/>
        <v>34.700000000000003</v>
      </c>
      <c r="Z805" s="1">
        <v>0</v>
      </c>
      <c r="AA805">
        <v>100</v>
      </c>
      <c r="AB805">
        <v>0</v>
      </c>
      <c r="AC805">
        <v>0</v>
      </c>
      <c r="AD805">
        <v>91</v>
      </c>
      <c r="AE805">
        <v>0</v>
      </c>
      <c r="AF805" t="s">
        <v>2591</v>
      </c>
      <c r="AG805" t="s">
        <v>2589</v>
      </c>
    </row>
    <row r="806" spans="1:33">
      <c r="A806" s="2" t="s">
        <v>123</v>
      </c>
      <c r="B806" s="2" t="s">
        <v>95</v>
      </c>
      <c r="C806" s="1">
        <v>0.59184352799999995</v>
      </c>
      <c r="D806">
        <v>0.67011857600000002</v>
      </c>
      <c r="E806">
        <v>0.74025419199999998</v>
      </c>
      <c r="F806" s="1" t="s">
        <v>124</v>
      </c>
      <c r="G806" s="1">
        <v>1.7166666669999999</v>
      </c>
      <c r="H806" s="1">
        <v>26</v>
      </c>
      <c r="I806" s="1">
        <v>36</v>
      </c>
      <c r="J806" s="1">
        <v>0.66740543199999991</v>
      </c>
      <c r="K806" s="1">
        <v>0.59462093100000002</v>
      </c>
      <c r="L806" s="1">
        <v>0.68038960500000001</v>
      </c>
      <c r="M806" s="3">
        <v>0.72533004899999998</v>
      </c>
      <c r="N806" s="1" t="s">
        <v>96</v>
      </c>
      <c r="O806" s="1">
        <v>1.9717647060000001</v>
      </c>
      <c r="P806" s="1">
        <v>34.6</v>
      </c>
      <c r="Q806" s="1">
        <v>42.5</v>
      </c>
      <c r="R806" s="1">
        <v>0.66678019499999996</v>
      </c>
      <c r="S806" s="1">
        <v>1.8328612834246326E-2</v>
      </c>
      <c r="T806" t="s">
        <v>953</v>
      </c>
      <c r="U806" s="1">
        <v>12250</v>
      </c>
      <c r="V806">
        <f t="shared" si="48"/>
        <v>0.45423734318895015</v>
      </c>
      <c r="W806" s="1">
        <f t="shared" si="49"/>
        <v>8.6000000000000014</v>
      </c>
      <c r="X806">
        <f t="shared" si="50"/>
        <v>0.25509803900000017</v>
      </c>
      <c r="Y806">
        <f t="shared" si="51"/>
        <v>6.5</v>
      </c>
      <c r="Z806" s="1">
        <v>23</v>
      </c>
      <c r="AA806">
        <v>77</v>
      </c>
      <c r="AB806">
        <v>0.29870000000000002</v>
      </c>
      <c r="AC806">
        <v>27</v>
      </c>
      <c r="AD806">
        <v>70</v>
      </c>
      <c r="AE806">
        <v>0.38569999999999999</v>
      </c>
      <c r="AF806" t="s">
        <v>2591</v>
      </c>
      <c r="AG806" t="s">
        <v>2593</v>
      </c>
    </row>
    <row r="807" spans="1:33">
      <c r="A807" s="2" t="s">
        <v>123</v>
      </c>
      <c r="B807" s="2" t="s">
        <v>97</v>
      </c>
      <c r="C807" s="1">
        <v>0.59184352799999995</v>
      </c>
      <c r="D807">
        <v>0.67011857600000002</v>
      </c>
      <c r="E807">
        <v>0.74025419199999998</v>
      </c>
      <c r="F807" s="1" t="s">
        <v>124</v>
      </c>
      <c r="G807" s="1">
        <v>1.7166666669999999</v>
      </c>
      <c r="H807" s="1">
        <v>26</v>
      </c>
      <c r="I807" s="1">
        <v>36</v>
      </c>
      <c r="J807" s="1">
        <v>0.66740543199999991</v>
      </c>
      <c r="K807" s="1">
        <v>0.63674842300000001</v>
      </c>
      <c r="L807" s="1">
        <v>0.68532635500000005</v>
      </c>
      <c r="M807" s="3">
        <v>0.727031494</v>
      </c>
      <c r="N807" s="1" t="s">
        <v>98</v>
      </c>
      <c r="O807" s="1">
        <v>2.360103627</v>
      </c>
      <c r="P807" s="1">
        <v>36.799999999999997</v>
      </c>
      <c r="Q807" s="1">
        <v>38.6</v>
      </c>
      <c r="R807" s="1">
        <v>0.68303542400000017</v>
      </c>
      <c r="S807" s="1">
        <v>4.9219568054515425E-2</v>
      </c>
      <c r="T807" t="s">
        <v>954</v>
      </c>
      <c r="U807" s="1">
        <v>9317</v>
      </c>
      <c r="V807">
        <f t="shared" si="48"/>
        <v>0.44103067727654799</v>
      </c>
      <c r="W807" s="1">
        <f t="shared" si="49"/>
        <v>10.799999999999997</v>
      </c>
      <c r="X807">
        <f t="shared" si="50"/>
        <v>0.64343696000000006</v>
      </c>
      <c r="Y807">
        <f t="shared" si="51"/>
        <v>2.6000000000000014</v>
      </c>
      <c r="Z807" s="1">
        <v>15</v>
      </c>
      <c r="AA807">
        <v>85</v>
      </c>
      <c r="AB807">
        <v>0.17649999999999999</v>
      </c>
      <c r="AC807">
        <v>20</v>
      </c>
      <c r="AD807">
        <v>77</v>
      </c>
      <c r="AE807">
        <v>0.25969999999999999</v>
      </c>
      <c r="AF807" t="s">
        <v>2591</v>
      </c>
      <c r="AG807" t="s">
        <v>2593</v>
      </c>
    </row>
    <row r="808" spans="1:33">
      <c r="A808" s="2" t="s">
        <v>123</v>
      </c>
      <c r="B808" s="2" t="s">
        <v>99</v>
      </c>
      <c r="C808" s="1">
        <v>0.59184352799999995</v>
      </c>
      <c r="D808">
        <v>0.67011857600000002</v>
      </c>
      <c r="E808">
        <v>0.74025419199999998</v>
      </c>
      <c r="F808" s="1" t="s">
        <v>124</v>
      </c>
      <c r="G808" s="1">
        <v>1.7166666669999999</v>
      </c>
      <c r="H808" s="1">
        <v>26</v>
      </c>
      <c r="I808" s="1">
        <v>36</v>
      </c>
      <c r="J808" s="1">
        <v>0.66740543199999991</v>
      </c>
      <c r="K808" s="1">
        <v>0.52525630099999998</v>
      </c>
      <c r="L808" s="1">
        <v>0.68706170200000005</v>
      </c>
      <c r="M808" s="3">
        <v>0.71473597300000002</v>
      </c>
      <c r="N808" s="1" t="s">
        <v>100</v>
      </c>
      <c r="O808" s="1">
        <v>1.72605042</v>
      </c>
      <c r="P808" s="1">
        <v>46.5</v>
      </c>
      <c r="Q808" s="1">
        <v>59.5</v>
      </c>
      <c r="R808" s="1">
        <v>0.64235132533333339</v>
      </c>
      <c r="S808" s="1">
        <v>7.3294664329222214E-2</v>
      </c>
      <c r="T808" t="s">
        <v>955</v>
      </c>
      <c r="U808" s="1">
        <v>628</v>
      </c>
      <c r="V808">
        <f t="shared" si="48"/>
        <v>0.31088440485968843</v>
      </c>
      <c r="W808" s="1">
        <f t="shared" si="49"/>
        <v>20.5</v>
      </c>
      <c r="X808">
        <f t="shared" si="50"/>
        <v>9.3837530000000502E-3</v>
      </c>
      <c r="Y808">
        <f t="shared" si="51"/>
        <v>23.5</v>
      </c>
      <c r="Z808" s="1">
        <v>0</v>
      </c>
      <c r="AA808">
        <v>100</v>
      </c>
      <c r="AB808">
        <v>0</v>
      </c>
      <c r="AC808">
        <v>0</v>
      </c>
      <c r="AD808">
        <v>99</v>
      </c>
      <c r="AE808">
        <v>0</v>
      </c>
      <c r="AF808" t="s">
        <v>2591</v>
      </c>
      <c r="AG808" t="s">
        <v>2589</v>
      </c>
    </row>
    <row r="809" spans="1:33">
      <c r="A809" s="2" t="s">
        <v>123</v>
      </c>
      <c r="B809" s="2" t="s">
        <v>148</v>
      </c>
      <c r="C809" s="1">
        <v>0.59184352799999995</v>
      </c>
      <c r="D809">
        <v>0.67011857600000002</v>
      </c>
      <c r="E809">
        <v>0.74025419199999998</v>
      </c>
      <c r="F809" s="1" t="s">
        <v>124</v>
      </c>
      <c r="G809" s="1">
        <v>1.7166666669999999</v>
      </c>
      <c r="H809" s="1">
        <v>26</v>
      </c>
      <c r="I809" s="1">
        <v>36</v>
      </c>
      <c r="J809" s="1">
        <v>0.66740543199999991</v>
      </c>
      <c r="K809" s="1">
        <v>0.52246277500000005</v>
      </c>
      <c r="L809" s="1">
        <v>0.64036274199999998</v>
      </c>
      <c r="M809" s="3">
        <v>0.62317592099999997</v>
      </c>
      <c r="N809" s="1" t="s">
        <v>149</v>
      </c>
      <c r="O809" s="1">
        <v>1.201000834</v>
      </c>
      <c r="P809" s="1">
        <v>59.2</v>
      </c>
      <c r="Q809" s="1">
        <v>119.9</v>
      </c>
      <c r="R809" s="1">
        <v>0.59533381266666663</v>
      </c>
      <c r="S809" s="1">
        <v>0.13930692762469496</v>
      </c>
      <c r="T809" t="s">
        <v>967</v>
      </c>
      <c r="U809" s="1">
        <v>1193</v>
      </c>
      <c r="V809">
        <f t="shared" si="48"/>
        <v>0.34184893818559359</v>
      </c>
      <c r="W809" s="1">
        <f t="shared" si="49"/>
        <v>33.200000000000003</v>
      </c>
      <c r="X809">
        <f t="shared" si="50"/>
        <v>0.51566583299999991</v>
      </c>
      <c r="Y809">
        <f t="shared" si="51"/>
        <v>83.9</v>
      </c>
      <c r="Z809" s="1">
        <v>0</v>
      </c>
      <c r="AA809">
        <v>100</v>
      </c>
      <c r="AB809">
        <v>0</v>
      </c>
      <c r="AC809">
        <v>0</v>
      </c>
      <c r="AD809">
        <v>94</v>
      </c>
      <c r="AE809">
        <v>0</v>
      </c>
      <c r="AF809" t="s">
        <v>2591</v>
      </c>
      <c r="AG809" t="s">
        <v>2589</v>
      </c>
    </row>
    <row r="810" spans="1:33">
      <c r="A810" s="2" t="s">
        <v>123</v>
      </c>
      <c r="B810" s="2" t="s">
        <v>101</v>
      </c>
      <c r="C810" s="1">
        <v>0.59184352799999995</v>
      </c>
      <c r="D810">
        <v>0.67011857600000002</v>
      </c>
      <c r="E810">
        <v>0.74025419199999998</v>
      </c>
      <c r="F810" s="1" t="s">
        <v>124</v>
      </c>
      <c r="G810" s="1">
        <v>1.7166666669999999</v>
      </c>
      <c r="H810" s="1">
        <v>26</v>
      </c>
      <c r="I810" s="1">
        <v>36</v>
      </c>
      <c r="J810" s="1">
        <v>0.66740543199999991</v>
      </c>
      <c r="K810" s="1">
        <v>0.57277697599999999</v>
      </c>
      <c r="L810" s="1">
        <v>0.64568820599999999</v>
      </c>
      <c r="M810" s="3">
        <v>0.70909993500000001</v>
      </c>
      <c r="N810" s="1" t="s">
        <v>102</v>
      </c>
      <c r="O810" s="1">
        <v>1.2818181820000001</v>
      </c>
      <c r="P810" s="1">
        <v>58</v>
      </c>
      <c r="Q810" s="1">
        <v>110</v>
      </c>
      <c r="R810" s="1">
        <v>0.64252170566666666</v>
      </c>
      <c r="S810" s="1">
        <v>4.3942736745993083E-2</v>
      </c>
      <c r="T810" t="s">
        <v>956</v>
      </c>
      <c r="U810" s="1">
        <v>2131</v>
      </c>
      <c r="V810">
        <f t="shared" si="48"/>
        <v>0.36984260552380022</v>
      </c>
      <c r="W810" s="1">
        <f t="shared" si="49"/>
        <v>32</v>
      </c>
      <c r="X810">
        <f t="shared" si="50"/>
        <v>0.43484848499999984</v>
      </c>
      <c r="Y810">
        <f t="shared" si="51"/>
        <v>74</v>
      </c>
      <c r="Z810" s="1">
        <v>1</v>
      </c>
      <c r="AA810">
        <v>99</v>
      </c>
      <c r="AB810">
        <v>1.01E-2</v>
      </c>
      <c r="AC810">
        <v>1</v>
      </c>
      <c r="AD810">
        <v>91</v>
      </c>
      <c r="AE810">
        <v>1.0999999999999999E-2</v>
      </c>
      <c r="AF810" t="s">
        <v>2591</v>
      </c>
      <c r="AG810" t="s">
        <v>2589</v>
      </c>
    </row>
    <row r="811" spans="1:33">
      <c r="A811" s="2" t="s">
        <v>123</v>
      </c>
      <c r="B811" s="2" t="s">
        <v>103</v>
      </c>
      <c r="C811" s="1">
        <v>0.59184352799999995</v>
      </c>
      <c r="D811">
        <v>0.67011857600000002</v>
      </c>
      <c r="E811">
        <v>0.74025419199999998</v>
      </c>
      <c r="F811" s="1" t="s">
        <v>124</v>
      </c>
      <c r="G811" s="1">
        <v>1.7166666669999999</v>
      </c>
      <c r="H811" s="1">
        <v>26</v>
      </c>
      <c r="I811" s="1">
        <v>36</v>
      </c>
      <c r="J811" s="1">
        <v>0.66740543199999991</v>
      </c>
      <c r="K811" s="1">
        <v>0.58538445800000005</v>
      </c>
      <c r="L811" s="1">
        <v>0.70461059999999998</v>
      </c>
      <c r="M811" s="3">
        <v>0.67846608399999997</v>
      </c>
      <c r="N811" s="1" t="s">
        <v>104</v>
      </c>
      <c r="O811" s="1">
        <v>1.1020080320000001</v>
      </c>
      <c r="P811" s="1">
        <v>58.7</v>
      </c>
      <c r="Q811" s="1">
        <v>124.5</v>
      </c>
      <c r="R811" s="1">
        <v>0.65615371400000011</v>
      </c>
      <c r="S811" s="1">
        <v>7.1057649800011932E-2</v>
      </c>
      <c r="T811" t="s">
        <v>957</v>
      </c>
      <c r="U811" s="1">
        <v>590</v>
      </c>
      <c r="V811">
        <f t="shared" si="48"/>
        <v>0.30787244573801603</v>
      </c>
      <c r="W811" s="1">
        <f t="shared" si="49"/>
        <v>32.700000000000003</v>
      </c>
      <c r="X811">
        <f t="shared" si="50"/>
        <v>0.61465863499999984</v>
      </c>
      <c r="Y811">
        <f t="shared" si="51"/>
        <v>88.5</v>
      </c>
      <c r="Z811" s="1">
        <v>0</v>
      </c>
      <c r="AA811">
        <v>100</v>
      </c>
      <c r="AB811">
        <v>0</v>
      </c>
      <c r="AC811">
        <v>0</v>
      </c>
      <c r="AD811">
        <v>93</v>
      </c>
      <c r="AE811">
        <v>0</v>
      </c>
      <c r="AF811" t="s">
        <v>2591</v>
      </c>
      <c r="AG811" t="s">
        <v>2589</v>
      </c>
    </row>
    <row r="812" spans="1:33">
      <c r="A812" s="2" t="s">
        <v>123</v>
      </c>
      <c r="B812" s="2" t="s">
        <v>105</v>
      </c>
      <c r="C812" s="1">
        <v>0.59184352799999995</v>
      </c>
      <c r="D812">
        <v>0.67011857600000002</v>
      </c>
      <c r="E812">
        <v>0.74025419199999998</v>
      </c>
      <c r="F812" s="1" t="s">
        <v>124</v>
      </c>
      <c r="G812" s="1">
        <v>1.7166666669999999</v>
      </c>
      <c r="H812" s="1">
        <v>26</v>
      </c>
      <c r="I812" s="1">
        <v>36</v>
      </c>
      <c r="J812" s="1">
        <v>0.66740543199999991</v>
      </c>
      <c r="K812" s="1">
        <v>0.56210716000000005</v>
      </c>
      <c r="L812" s="1">
        <v>0.68032504299999996</v>
      </c>
      <c r="M812" s="3">
        <v>0.71115907899999997</v>
      </c>
      <c r="N812" s="1" t="s">
        <v>106</v>
      </c>
      <c r="O812" s="1">
        <v>1.0978593270000001</v>
      </c>
      <c r="P812" s="1">
        <v>43.5</v>
      </c>
      <c r="Q812" s="1">
        <v>98.1</v>
      </c>
      <c r="R812" s="1">
        <v>0.65119709399999992</v>
      </c>
      <c r="S812" s="1">
        <v>4.2836306457679975E-2</v>
      </c>
      <c r="T812" t="s">
        <v>958</v>
      </c>
      <c r="U812" s="1">
        <v>64720</v>
      </c>
      <c r="V812">
        <f t="shared" si="48"/>
        <v>0.53455983428935727</v>
      </c>
      <c r="W812" s="1">
        <f t="shared" si="49"/>
        <v>17.5</v>
      </c>
      <c r="X812">
        <f t="shared" si="50"/>
        <v>0.61880733999999982</v>
      </c>
      <c r="Y812">
        <f t="shared" si="51"/>
        <v>62.099999999999994</v>
      </c>
      <c r="Z812" s="1">
        <v>14</v>
      </c>
      <c r="AA812">
        <v>86</v>
      </c>
      <c r="AB812">
        <v>0.1628</v>
      </c>
      <c r="AC812">
        <v>17</v>
      </c>
      <c r="AD812">
        <v>94</v>
      </c>
      <c r="AE812">
        <v>0.18090000000000001</v>
      </c>
      <c r="AF812" t="s">
        <v>2591</v>
      </c>
      <c r="AG812" t="s">
        <v>2589</v>
      </c>
    </row>
    <row r="813" spans="1:33">
      <c r="A813" s="2" t="s">
        <v>123</v>
      </c>
      <c r="B813" s="2" t="s">
        <v>107</v>
      </c>
      <c r="C813" s="1">
        <v>0.59184352799999995</v>
      </c>
      <c r="D813">
        <v>0.67011857600000002</v>
      </c>
      <c r="E813">
        <v>0.74025419199999998</v>
      </c>
      <c r="F813" s="1" t="s">
        <v>124</v>
      </c>
      <c r="G813" s="1">
        <v>1.7166666669999999</v>
      </c>
      <c r="H813" s="1">
        <v>26</v>
      </c>
      <c r="I813" s="1">
        <v>36</v>
      </c>
      <c r="J813" s="1">
        <v>0.66740543199999991</v>
      </c>
      <c r="K813" s="1">
        <v>0.61734740899999996</v>
      </c>
      <c r="L813" s="1">
        <v>0.68293216999999995</v>
      </c>
      <c r="M813" s="3">
        <v>0.69981194099999999</v>
      </c>
      <c r="N813" s="1" t="s">
        <v>108</v>
      </c>
      <c r="O813" s="1">
        <v>2</v>
      </c>
      <c r="P813" s="1">
        <v>19</v>
      </c>
      <c r="Q813" s="1">
        <v>21.1</v>
      </c>
      <c r="R813" s="1">
        <v>0.66669717333333323</v>
      </c>
      <c r="S813" s="1">
        <v>4.9499614172294266E-2</v>
      </c>
      <c r="T813" t="s">
        <v>959</v>
      </c>
      <c r="U813" s="1">
        <v>611</v>
      </c>
      <c r="V813">
        <f t="shared" si="48"/>
        <v>0.30956013447139491</v>
      </c>
      <c r="W813" s="1">
        <f t="shared" si="49"/>
        <v>7</v>
      </c>
      <c r="X813">
        <f t="shared" si="50"/>
        <v>0.28333333300000008</v>
      </c>
      <c r="Y813">
        <f t="shared" si="51"/>
        <v>14.899999999999999</v>
      </c>
      <c r="Z813" s="1">
        <v>0</v>
      </c>
      <c r="AA813">
        <v>100</v>
      </c>
      <c r="AB813">
        <v>0</v>
      </c>
      <c r="AC813">
        <v>0</v>
      </c>
      <c r="AD813">
        <v>87</v>
      </c>
      <c r="AE813">
        <v>0</v>
      </c>
      <c r="AF813" t="s">
        <v>2591</v>
      </c>
      <c r="AG813" t="s">
        <v>2588</v>
      </c>
    </row>
    <row r="814" spans="1:33">
      <c r="A814" s="2" t="s">
        <v>123</v>
      </c>
      <c r="B814" s="2" t="s">
        <v>109</v>
      </c>
      <c r="C814" s="1">
        <v>0.59184352799999995</v>
      </c>
      <c r="D814">
        <v>0.67011857600000002</v>
      </c>
      <c r="E814">
        <v>0.74025419199999998</v>
      </c>
      <c r="F814" s="1" t="s">
        <v>124</v>
      </c>
      <c r="G814" s="1">
        <v>1.7166666669999999</v>
      </c>
      <c r="H814" s="1">
        <v>26</v>
      </c>
      <c r="I814" s="1">
        <v>36</v>
      </c>
      <c r="J814" s="1">
        <v>0.66740543199999991</v>
      </c>
      <c r="K814" s="1">
        <v>0.51638908800000005</v>
      </c>
      <c r="L814" s="1">
        <v>0.68684605300000001</v>
      </c>
      <c r="M814" s="3">
        <v>0.66065444600000001</v>
      </c>
      <c r="N814" s="1" t="s">
        <v>110</v>
      </c>
      <c r="O814" s="1">
        <v>1.2897862229999999</v>
      </c>
      <c r="P814" s="1">
        <v>49.4</v>
      </c>
      <c r="Q814" s="1">
        <v>84.2</v>
      </c>
      <c r="R814" s="1">
        <v>0.62129652899999999</v>
      </c>
      <c r="S814" s="1">
        <v>0.1109472873294504</v>
      </c>
      <c r="T814" t="s">
        <v>960</v>
      </c>
      <c r="U814" s="1">
        <v>464</v>
      </c>
      <c r="V814">
        <f t="shared" si="48"/>
        <v>0.29627977561720897</v>
      </c>
      <c r="W814" s="1">
        <f t="shared" si="49"/>
        <v>23.4</v>
      </c>
      <c r="X814">
        <f t="shared" si="50"/>
        <v>0.42688044400000003</v>
      </c>
      <c r="Y814">
        <f t="shared" si="51"/>
        <v>48.2</v>
      </c>
      <c r="Z814" s="1">
        <v>0</v>
      </c>
      <c r="AA814">
        <v>100</v>
      </c>
      <c r="AB814">
        <v>0</v>
      </c>
      <c r="AC814">
        <v>0</v>
      </c>
      <c r="AD814">
        <v>108</v>
      </c>
      <c r="AE814">
        <v>0</v>
      </c>
      <c r="AF814" t="s">
        <v>2591</v>
      </c>
      <c r="AG814" t="s">
        <v>2589</v>
      </c>
    </row>
    <row r="815" spans="1:33">
      <c r="A815" s="2" t="s">
        <v>123</v>
      </c>
      <c r="B815" s="2" t="s">
        <v>111</v>
      </c>
      <c r="C815" s="1">
        <v>0.59184352799999995</v>
      </c>
      <c r="D815">
        <v>0.67011857600000002</v>
      </c>
      <c r="E815">
        <v>0.74025419199999998</v>
      </c>
      <c r="F815" s="1" t="s">
        <v>124</v>
      </c>
      <c r="G815" s="1">
        <v>1.7166666669999999</v>
      </c>
      <c r="H815" s="1">
        <v>26</v>
      </c>
      <c r="I815" s="1">
        <v>36</v>
      </c>
      <c r="J815" s="1">
        <v>0.66740543199999991</v>
      </c>
      <c r="K815" s="1">
        <v>0.60132418300000001</v>
      </c>
      <c r="L815" s="1">
        <v>0.67605095299999995</v>
      </c>
      <c r="M815" s="3">
        <v>0.74222981799999999</v>
      </c>
      <c r="N815" s="1" t="s">
        <v>112</v>
      </c>
      <c r="O815" s="1">
        <v>1.561403509</v>
      </c>
      <c r="P815" s="1">
        <v>30</v>
      </c>
      <c r="Q815" s="1">
        <v>45.6</v>
      </c>
      <c r="R815" s="1">
        <v>0.67320165133333332</v>
      </c>
      <c r="S815" s="1">
        <v>1.135689280529804E-2</v>
      </c>
      <c r="T815" t="s">
        <v>961</v>
      </c>
      <c r="U815" s="1">
        <v>33174</v>
      </c>
      <c r="V815">
        <f t="shared" si="48"/>
        <v>0.50231087114693107</v>
      </c>
      <c r="W815" s="1">
        <f t="shared" si="49"/>
        <v>4</v>
      </c>
      <c r="X815">
        <f t="shared" si="50"/>
        <v>0.1552631579999999</v>
      </c>
      <c r="Y815">
        <f t="shared" si="51"/>
        <v>9.6000000000000014</v>
      </c>
      <c r="Z815" s="1">
        <v>30</v>
      </c>
      <c r="AA815">
        <v>70</v>
      </c>
      <c r="AB815">
        <v>0.42859999999999998</v>
      </c>
      <c r="AC815">
        <v>35</v>
      </c>
      <c r="AD815">
        <v>68</v>
      </c>
      <c r="AE815">
        <v>0.51470000000000005</v>
      </c>
      <c r="AF815" t="s">
        <v>2591</v>
      </c>
      <c r="AG815" t="s">
        <v>2591</v>
      </c>
    </row>
    <row r="816" spans="1:33">
      <c r="A816" s="2" t="s">
        <v>123</v>
      </c>
      <c r="B816" s="2" t="s">
        <v>113</v>
      </c>
      <c r="C816" s="1">
        <v>0.59184352799999995</v>
      </c>
      <c r="D816">
        <v>0.67011857600000002</v>
      </c>
      <c r="E816">
        <v>0.74025419199999998</v>
      </c>
      <c r="F816" s="1" t="s">
        <v>124</v>
      </c>
      <c r="G816" s="1">
        <v>1.7166666669999999</v>
      </c>
      <c r="H816" s="1">
        <v>26</v>
      </c>
      <c r="I816" s="1">
        <v>36</v>
      </c>
      <c r="J816" s="1">
        <v>0.66740543199999991</v>
      </c>
      <c r="K816" s="1">
        <v>0.57440698499999998</v>
      </c>
      <c r="L816" s="1">
        <v>0.66920790399999996</v>
      </c>
      <c r="M816" s="3">
        <v>0.71602402300000001</v>
      </c>
      <c r="N816" s="1" t="s">
        <v>114</v>
      </c>
      <c r="O816" s="1">
        <v>2.5573248409999998</v>
      </c>
      <c r="P816" s="1">
        <v>34.299999999999997</v>
      </c>
      <c r="Q816" s="1">
        <v>31.4</v>
      </c>
      <c r="R816" s="1">
        <v>0.65321297066666661</v>
      </c>
      <c r="S816" s="1">
        <v>2.9865757064755475E-2</v>
      </c>
      <c r="T816" t="s">
        <v>962</v>
      </c>
      <c r="U816" s="1">
        <v>15662</v>
      </c>
      <c r="V816">
        <f t="shared" si="48"/>
        <v>0.46609413551460488</v>
      </c>
      <c r="W816" s="1">
        <f t="shared" si="49"/>
        <v>8.2999999999999972</v>
      </c>
      <c r="X816">
        <f t="shared" si="50"/>
        <v>0.84065817399999987</v>
      </c>
      <c r="Y816">
        <f t="shared" si="51"/>
        <v>4.6000000000000014</v>
      </c>
      <c r="Z816" s="1">
        <v>16</v>
      </c>
      <c r="AA816">
        <v>84</v>
      </c>
      <c r="AB816">
        <v>0.1905</v>
      </c>
      <c r="AC816">
        <v>17</v>
      </c>
      <c r="AD816">
        <v>80</v>
      </c>
      <c r="AE816">
        <v>0.21249999999999999</v>
      </c>
      <c r="AF816" t="s">
        <v>2591</v>
      </c>
      <c r="AG816" t="s">
        <v>2593</v>
      </c>
    </row>
    <row r="817" spans="1:33">
      <c r="A817" s="2" t="s">
        <v>123</v>
      </c>
      <c r="B817" s="2" t="s">
        <v>115</v>
      </c>
      <c r="C817" s="1">
        <v>0.59184352799999995</v>
      </c>
      <c r="D817">
        <v>0.67011857600000002</v>
      </c>
      <c r="E817">
        <v>0.74025419199999998</v>
      </c>
      <c r="F817" s="1" t="s">
        <v>124</v>
      </c>
      <c r="G817" s="1">
        <v>1.7166666669999999</v>
      </c>
      <c r="H817" s="1">
        <v>26</v>
      </c>
      <c r="I817" s="1">
        <v>36</v>
      </c>
      <c r="J817" s="1">
        <v>0.66740543199999991</v>
      </c>
      <c r="K817" s="1">
        <v>0.55237211100000005</v>
      </c>
      <c r="L817" s="1">
        <v>0.65961031000000003</v>
      </c>
      <c r="M817" s="3">
        <v>0.69215541599999997</v>
      </c>
      <c r="N817" s="1" t="s">
        <v>116</v>
      </c>
      <c r="O817" s="1">
        <v>1.149700599</v>
      </c>
      <c r="P817" s="1">
        <v>66.900000000000006</v>
      </c>
      <c r="Q817" s="1">
        <v>133.6</v>
      </c>
      <c r="R817" s="1">
        <v>0.63471261233333331</v>
      </c>
      <c r="S817" s="1">
        <v>6.3102366572204041E-2</v>
      </c>
      <c r="T817" t="s">
        <v>963</v>
      </c>
      <c r="U817" s="1">
        <v>709</v>
      </c>
      <c r="V817">
        <f t="shared" si="48"/>
        <v>0.31673847057589627</v>
      </c>
      <c r="W817" s="1">
        <f t="shared" si="49"/>
        <v>40.900000000000006</v>
      </c>
      <c r="X817">
        <f t="shared" si="50"/>
        <v>0.56696606799999993</v>
      </c>
      <c r="Y817">
        <f t="shared" si="51"/>
        <v>97.6</v>
      </c>
      <c r="Z817" s="1">
        <v>0</v>
      </c>
      <c r="AA817">
        <v>100</v>
      </c>
      <c r="AB817">
        <v>0</v>
      </c>
      <c r="AC817">
        <v>0</v>
      </c>
      <c r="AD817">
        <v>102</v>
      </c>
      <c r="AE817">
        <v>0</v>
      </c>
      <c r="AF817" t="s">
        <v>2591</v>
      </c>
      <c r="AG817" t="s">
        <v>2589</v>
      </c>
    </row>
    <row r="818" spans="1:33">
      <c r="A818" s="2" t="s">
        <v>123</v>
      </c>
      <c r="B818" s="2" t="s">
        <v>117</v>
      </c>
      <c r="C818" s="1">
        <v>0.59184352799999995</v>
      </c>
      <c r="D818">
        <v>0.67011857600000002</v>
      </c>
      <c r="E818">
        <v>0.74025419199999998</v>
      </c>
      <c r="F818" s="1" t="s">
        <v>124</v>
      </c>
      <c r="G818" s="1">
        <v>1.7166666669999999</v>
      </c>
      <c r="H818" s="1">
        <v>26</v>
      </c>
      <c r="I818" s="1">
        <v>36</v>
      </c>
      <c r="J818" s="1">
        <v>0.66740543199999991</v>
      </c>
      <c r="K818" s="1">
        <v>0.52788907299999999</v>
      </c>
      <c r="L818" s="1">
        <v>0.665074418</v>
      </c>
      <c r="M818" s="3">
        <v>0.69056128699999997</v>
      </c>
      <c r="N818" s="1" t="s">
        <v>118</v>
      </c>
      <c r="O818" s="1">
        <v>1.0818253339999999</v>
      </c>
      <c r="P818" s="1">
        <v>58.4</v>
      </c>
      <c r="Q818" s="1">
        <v>127.1</v>
      </c>
      <c r="R818" s="1">
        <v>0.62784159266666661</v>
      </c>
      <c r="S818" s="1">
        <v>8.1148016929651526E-2</v>
      </c>
      <c r="T818" t="s">
        <v>964</v>
      </c>
      <c r="U818" s="1">
        <v>2381</v>
      </c>
      <c r="V818">
        <f t="shared" si="48"/>
        <v>0.37519548837831995</v>
      </c>
      <c r="W818" s="1">
        <f t="shared" si="49"/>
        <v>32.4</v>
      </c>
      <c r="X818">
        <f t="shared" si="50"/>
        <v>0.63484133300000001</v>
      </c>
      <c r="Y818">
        <f t="shared" si="51"/>
        <v>91.1</v>
      </c>
      <c r="Z818" s="1">
        <v>0</v>
      </c>
      <c r="AA818">
        <v>100</v>
      </c>
      <c r="AB818">
        <v>0</v>
      </c>
      <c r="AC818">
        <v>0</v>
      </c>
      <c r="AD818">
        <v>114</v>
      </c>
      <c r="AE818">
        <v>0</v>
      </c>
      <c r="AF818" t="s">
        <v>2591</v>
      </c>
      <c r="AG818" t="s">
        <v>2589</v>
      </c>
    </row>
    <row r="819" spans="1:33">
      <c r="A819" s="2" t="s">
        <v>123</v>
      </c>
      <c r="B819" s="2" t="s">
        <v>119</v>
      </c>
      <c r="C819" s="1">
        <v>0.59184352799999995</v>
      </c>
      <c r="D819">
        <v>0.67011857600000002</v>
      </c>
      <c r="E819">
        <v>0.74025419199999998</v>
      </c>
      <c r="F819" s="1" t="s">
        <v>124</v>
      </c>
      <c r="G819" s="1">
        <v>1.7166666669999999</v>
      </c>
      <c r="H819" s="1">
        <v>26</v>
      </c>
      <c r="I819" s="1">
        <v>36</v>
      </c>
      <c r="J819" s="1">
        <v>0.66740543199999991</v>
      </c>
      <c r="K819" s="1">
        <v>0.48582609999999998</v>
      </c>
      <c r="L819" s="1">
        <v>0.67226483999999997</v>
      </c>
      <c r="M819" s="3">
        <v>0.68571362400000002</v>
      </c>
      <c r="N819" s="1" t="s">
        <v>120</v>
      </c>
      <c r="O819" s="1">
        <v>1.1435028249999999</v>
      </c>
      <c r="P819" s="1">
        <v>42.6</v>
      </c>
      <c r="Q819" s="1">
        <v>88.5</v>
      </c>
      <c r="R819" s="1">
        <v>0.61460152133333334</v>
      </c>
      <c r="S819" s="1">
        <v>0.11924334382537037</v>
      </c>
      <c r="T819" t="s">
        <v>965</v>
      </c>
      <c r="U819" s="1">
        <v>521</v>
      </c>
      <c r="V819">
        <f t="shared" si="48"/>
        <v>0.30187085814439163</v>
      </c>
      <c r="W819" s="1">
        <f t="shared" si="49"/>
        <v>16.600000000000001</v>
      </c>
      <c r="X819">
        <f t="shared" si="50"/>
        <v>0.57316384200000003</v>
      </c>
      <c r="Y819">
        <f t="shared" si="51"/>
        <v>52.5</v>
      </c>
      <c r="Z819" s="1">
        <v>0</v>
      </c>
      <c r="AA819">
        <v>100</v>
      </c>
      <c r="AB819">
        <v>0</v>
      </c>
      <c r="AC819">
        <v>0</v>
      </c>
      <c r="AD819">
        <v>102</v>
      </c>
      <c r="AE819">
        <v>0</v>
      </c>
      <c r="AF819" t="s">
        <v>2591</v>
      </c>
      <c r="AG819" t="s">
        <v>2589</v>
      </c>
    </row>
    <row r="820" spans="1:33">
      <c r="A820" s="2" t="s">
        <v>123</v>
      </c>
      <c r="B820" s="2" t="s">
        <v>121</v>
      </c>
      <c r="C820" s="1">
        <v>0.59184352799999995</v>
      </c>
      <c r="D820">
        <v>0.67011857600000002</v>
      </c>
      <c r="E820">
        <v>0.74025419199999998</v>
      </c>
      <c r="F820" s="1" t="s">
        <v>124</v>
      </c>
      <c r="G820" s="1">
        <v>1.7166666669999999</v>
      </c>
      <c r="H820" s="1">
        <v>26</v>
      </c>
      <c r="I820" s="1">
        <v>36</v>
      </c>
      <c r="J820" s="1">
        <v>0.66740543199999991</v>
      </c>
      <c r="K820" s="1">
        <v>0.57363214500000004</v>
      </c>
      <c r="L820" s="1">
        <v>0.65876685800000001</v>
      </c>
      <c r="M820" s="3">
        <v>0.71110834000000001</v>
      </c>
      <c r="N820" s="1" t="s">
        <v>122</v>
      </c>
      <c r="O820" s="1">
        <v>2.4518664050000001</v>
      </c>
      <c r="P820" s="1">
        <v>50.1</v>
      </c>
      <c r="Q820" s="1">
        <v>50.9</v>
      </c>
      <c r="R820" s="1">
        <v>0.64783578100000005</v>
      </c>
      <c r="S820" s="1">
        <v>3.6193876016946742E-2</v>
      </c>
      <c r="T820" t="s">
        <v>966</v>
      </c>
      <c r="U820" s="1">
        <v>16047</v>
      </c>
      <c r="V820">
        <f t="shared" si="48"/>
        <v>0.46726598362385324</v>
      </c>
      <c r="W820" s="1">
        <f t="shared" si="49"/>
        <v>24.1</v>
      </c>
      <c r="X820">
        <f t="shared" si="50"/>
        <v>0.73519973800000016</v>
      </c>
      <c r="Y820">
        <f t="shared" si="51"/>
        <v>14.899999999999999</v>
      </c>
      <c r="Z820" s="1">
        <v>31</v>
      </c>
      <c r="AA820">
        <v>69</v>
      </c>
      <c r="AB820">
        <v>0.44929999999999998</v>
      </c>
      <c r="AC820">
        <v>38</v>
      </c>
      <c r="AD820">
        <v>71</v>
      </c>
      <c r="AE820">
        <v>0.53520000000000001</v>
      </c>
      <c r="AF820" t="s">
        <v>2591</v>
      </c>
      <c r="AG820" t="s">
        <v>2593</v>
      </c>
    </row>
    <row r="821" spans="1:33">
      <c r="A821" s="2" t="s">
        <v>121</v>
      </c>
      <c r="B821" s="2" t="s">
        <v>10</v>
      </c>
      <c r="C821" s="1">
        <v>0.57363214500000004</v>
      </c>
      <c r="D821">
        <v>0.65876685800000001</v>
      </c>
      <c r="E821">
        <v>0.71110834000000001</v>
      </c>
      <c r="F821" s="1" t="s">
        <v>122</v>
      </c>
      <c r="G821" s="1">
        <v>2.4518664050000001</v>
      </c>
      <c r="H821" s="1">
        <v>50.1</v>
      </c>
      <c r="I821" s="1">
        <v>50.9</v>
      </c>
      <c r="J821" s="1">
        <v>0.64783578100000005</v>
      </c>
      <c r="K821" s="1">
        <v>0.52456325500000001</v>
      </c>
      <c r="L821" s="1">
        <v>0.61925627999999999</v>
      </c>
      <c r="M821" s="3">
        <v>0.72111139899999999</v>
      </c>
      <c r="N821" s="1" t="s">
        <v>12</v>
      </c>
      <c r="O821" s="1">
        <v>0.61690647499999995</v>
      </c>
      <c r="P821" s="1">
        <v>30</v>
      </c>
      <c r="Q821" s="1">
        <v>111.2</v>
      </c>
      <c r="R821" s="1">
        <v>0.62164364466666666</v>
      </c>
      <c r="S821" s="1">
        <v>6.3787952852271956E-2</v>
      </c>
      <c r="T821" t="s">
        <v>968</v>
      </c>
      <c r="U821" s="1">
        <v>261</v>
      </c>
      <c r="V821">
        <f t="shared" si="48"/>
        <v>0.26851561192647566</v>
      </c>
      <c r="W821" s="1">
        <f t="shared" si="49"/>
        <v>20.100000000000001</v>
      </c>
      <c r="X821">
        <f t="shared" si="50"/>
        <v>1.8349599300000001</v>
      </c>
      <c r="Y821">
        <f t="shared" si="51"/>
        <v>60.300000000000004</v>
      </c>
      <c r="Z821" s="1">
        <v>1</v>
      </c>
      <c r="AA821">
        <v>99</v>
      </c>
      <c r="AB821">
        <v>1.01E-2</v>
      </c>
      <c r="AC821">
        <v>2</v>
      </c>
      <c r="AD821">
        <v>162</v>
      </c>
      <c r="AE821">
        <v>1.23E-2</v>
      </c>
      <c r="AF821" t="s">
        <v>2593</v>
      </c>
      <c r="AG821" t="s">
        <v>2588</v>
      </c>
    </row>
    <row r="822" spans="1:33">
      <c r="A822" s="2" t="s">
        <v>121</v>
      </c>
      <c r="B822" s="2" t="s">
        <v>13</v>
      </c>
      <c r="C822" s="1">
        <v>0.57363214500000004</v>
      </c>
      <c r="D822">
        <v>0.65876685800000001</v>
      </c>
      <c r="E822">
        <v>0.71110834000000001</v>
      </c>
      <c r="F822" s="1" t="s">
        <v>122</v>
      </c>
      <c r="G822" s="1">
        <v>2.4518664050000001</v>
      </c>
      <c r="H822" s="1">
        <v>50.1</v>
      </c>
      <c r="I822" s="1">
        <v>50.9</v>
      </c>
      <c r="J822" s="1">
        <v>0.64783578100000005</v>
      </c>
      <c r="K822" s="1">
        <v>0.48695497399999998</v>
      </c>
      <c r="L822" s="1">
        <v>0.54991327199999995</v>
      </c>
      <c r="M822" s="3">
        <v>0.67282609299999996</v>
      </c>
      <c r="N822" s="1" t="s">
        <v>14</v>
      </c>
      <c r="O822" s="1">
        <v>1.6052009460000001</v>
      </c>
      <c r="P822" s="1">
        <v>26.6</v>
      </c>
      <c r="Q822" s="1">
        <v>42.3</v>
      </c>
      <c r="R822" s="1">
        <v>0.56989811299999993</v>
      </c>
      <c r="S822" s="1">
        <v>0.14431758587570562</v>
      </c>
      <c r="T822" t="s">
        <v>969</v>
      </c>
      <c r="U822" s="1">
        <v>203</v>
      </c>
      <c r="V822">
        <f t="shared" si="48"/>
        <v>0.25638844865702365</v>
      </c>
      <c r="W822" s="1">
        <f t="shared" si="49"/>
        <v>23.5</v>
      </c>
      <c r="X822">
        <f t="shared" si="50"/>
        <v>0.84666545900000001</v>
      </c>
      <c r="Y822">
        <f t="shared" si="51"/>
        <v>8.6000000000000014</v>
      </c>
      <c r="Z822" s="1">
        <v>1</v>
      </c>
      <c r="AA822">
        <v>99</v>
      </c>
      <c r="AB822">
        <v>1.01E-2</v>
      </c>
      <c r="AC822">
        <v>2</v>
      </c>
      <c r="AD822">
        <v>109</v>
      </c>
      <c r="AE822">
        <v>1.83E-2</v>
      </c>
      <c r="AF822" t="s">
        <v>2593</v>
      </c>
      <c r="AG822" t="s">
        <v>2590</v>
      </c>
    </row>
    <row r="823" spans="1:33">
      <c r="A823" s="2" t="s">
        <v>121</v>
      </c>
      <c r="B823" s="2" t="s">
        <v>15</v>
      </c>
      <c r="C823" s="1">
        <v>0.57363214500000004</v>
      </c>
      <c r="D823">
        <v>0.65876685800000001</v>
      </c>
      <c r="E823">
        <v>0.71110834000000001</v>
      </c>
      <c r="F823" s="1" t="s">
        <v>122</v>
      </c>
      <c r="G823" s="1">
        <v>2.4518664050000001</v>
      </c>
      <c r="H823" s="1">
        <v>50.1</v>
      </c>
      <c r="I823" s="1">
        <v>50.9</v>
      </c>
      <c r="J823" s="1">
        <v>0.64783578100000005</v>
      </c>
      <c r="K823" s="1">
        <v>0.54560998800000005</v>
      </c>
      <c r="L823" s="1">
        <v>0.66721428400000005</v>
      </c>
      <c r="M823" s="3">
        <v>0.72650398400000005</v>
      </c>
      <c r="N823" s="1" t="s">
        <v>16</v>
      </c>
      <c r="O823" s="1">
        <v>5.1392405060000002</v>
      </c>
      <c r="P823" s="1">
        <v>35.9</v>
      </c>
      <c r="Q823" s="1">
        <v>15.8</v>
      </c>
      <c r="R823" s="1">
        <v>0.64644275200000012</v>
      </c>
      <c r="S823" s="1">
        <v>3.3070018795471869E-2</v>
      </c>
      <c r="T823" t="s">
        <v>970</v>
      </c>
      <c r="U823" s="1">
        <v>21225</v>
      </c>
      <c r="V823">
        <f t="shared" si="48"/>
        <v>0.48076085543510999</v>
      </c>
      <c r="W823" s="1">
        <f t="shared" si="49"/>
        <v>14.200000000000003</v>
      </c>
      <c r="X823">
        <f t="shared" si="50"/>
        <v>2.6873741010000001</v>
      </c>
      <c r="Y823">
        <f t="shared" si="51"/>
        <v>35.099999999999994</v>
      </c>
      <c r="Z823" s="1">
        <v>37</v>
      </c>
      <c r="AA823">
        <v>63</v>
      </c>
      <c r="AB823">
        <v>0.58730000000000004</v>
      </c>
      <c r="AC823">
        <v>38</v>
      </c>
      <c r="AD823">
        <v>69</v>
      </c>
      <c r="AE823">
        <v>0.55069999999999997</v>
      </c>
      <c r="AF823" t="s">
        <v>2593</v>
      </c>
      <c r="AG823" t="s">
        <v>2591</v>
      </c>
    </row>
    <row r="824" spans="1:33">
      <c r="A824" s="2" t="s">
        <v>121</v>
      </c>
      <c r="B824" s="2" t="s">
        <v>17</v>
      </c>
      <c r="C824" s="1">
        <v>0.57363214500000004</v>
      </c>
      <c r="D824">
        <v>0.65876685800000001</v>
      </c>
      <c r="E824">
        <v>0.71110834000000001</v>
      </c>
      <c r="F824" s="1" t="s">
        <v>122</v>
      </c>
      <c r="G824" s="1">
        <v>2.4518664050000001</v>
      </c>
      <c r="H824" s="1">
        <v>50.1</v>
      </c>
      <c r="I824" s="1">
        <v>50.9</v>
      </c>
      <c r="J824" s="1">
        <v>0.64783578100000005</v>
      </c>
      <c r="K824" s="1">
        <v>0.659112378</v>
      </c>
      <c r="L824" s="1">
        <v>0.68333493499999998</v>
      </c>
      <c r="M824" s="3">
        <v>0.70345495199999997</v>
      </c>
      <c r="N824" s="1" t="s">
        <v>18</v>
      </c>
      <c r="O824" s="1">
        <v>1.9463955639999999</v>
      </c>
      <c r="P824" s="1">
        <v>46.3</v>
      </c>
      <c r="Q824" s="1">
        <v>54.1</v>
      </c>
      <c r="R824" s="1">
        <v>0.68196742166666668</v>
      </c>
      <c r="S824" s="1">
        <v>8.926945160070579E-2</v>
      </c>
      <c r="T824" t="s">
        <v>971</v>
      </c>
      <c r="U824" s="1">
        <v>8909</v>
      </c>
      <c r="V824">
        <f t="shared" si="48"/>
        <v>0.43886988432614593</v>
      </c>
      <c r="W824" s="1">
        <f t="shared" si="49"/>
        <v>3.8000000000000043</v>
      </c>
      <c r="X824">
        <f t="shared" si="50"/>
        <v>0.50547084100000017</v>
      </c>
      <c r="Y824">
        <f t="shared" si="51"/>
        <v>3.2000000000000028</v>
      </c>
      <c r="Z824" s="1">
        <v>22</v>
      </c>
      <c r="AA824">
        <v>78</v>
      </c>
      <c r="AB824">
        <v>0.28210000000000002</v>
      </c>
      <c r="AC824">
        <v>26</v>
      </c>
      <c r="AD824">
        <v>95</v>
      </c>
      <c r="AE824">
        <v>0.2737</v>
      </c>
      <c r="AF824" t="s">
        <v>2593</v>
      </c>
      <c r="AG824" t="s">
        <v>2591</v>
      </c>
    </row>
    <row r="825" spans="1:33">
      <c r="A825" s="2" t="s">
        <v>121</v>
      </c>
      <c r="B825" s="2" t="s">
        <v>19</v>
      </c>
      <c r="C825" s="1">
        <v>0.57363214500000004</v>
      </c>
      <c r="D825">
        <v>0.65876685800000001</v>
      </c>
      <c r="E825">
        <v>0.71110834000000001</v>
      </c>
      <c r="F825" s="1" t="s">
        <v>122</v>
      </c>
      <c r="G825" s="1">
        <v>2.4518664050000001</v>
      </c>
      <c r="H825" s="1">
        <v>50.1</v>
      </c>
      <c r="I825" s="1">
        <v>50.9</v>
      </c>
      <c r="J825" s="1">
        <v>0.64783578100000005</v>
      </c>
      <c r="K825" s="1">
        <v>0.49391595300000002</v>
      </c>
      <c r="L825" s="1">
        <v>0.603599314</v>
      </c>
      <c r="M825" s="3">
        <v>0.63481471599999995</v>
      </c>
      <c r="N825" s="1" t="s">
        <v>20</v>
      </c>
      <c r="O825" s="1">
        <v>1.2140902870000001</v>
      </c>
      <c r="P825" s="1">
        <v>64.900000000000006</v>
      </c>
      <c r="Q825" s="1">
        <v>146.19999999999999</v>
      </c>
      <c r="R825" s="1">
        <v>0.57744332766666662</v>
      </c>
      <c r="S825" s="1">
        <v>0.1233646879825268</v>
      </c>
      <c r="T825" t="s">
        <v>972</v>
      </c>
      <c r="U825" s="1">
        <v>14089</v>
      </c>
      <c r="V825">
        <f t="shared" si="48"/>
        <v>0.4609866854586922</v>
      </c>
      <c r="W825" s="1">
        <f t="shared" si="49"/>
        <v>14.800000000000004</v>
      </c>
      <c r="X825">
        <f t="shared" si="50"/>
        <v>1.237776118</v>
      </c>
      <c r="Y825">
        <f t="shared" si="51"/>
        <v>95.299999999999983</v>
      </c>
      <c r="Z825" s="1">
        <v>2</v>
      </c>
      <c r="AA825">
        <v>98</v>
      </c>
      <c r="AB825">
        <v>2.0400000000000001E-2</v>
      </c>
      <c r="AC825">
        <v>3</v>
      </c>
      <c r="AD825">
        <v>98</v>
      </c>
      <c r="AE825">
        <v>3.0599999999999999E-2</v>
      </c>
      <c r="AF825" t="s">
        <v>2593</v>
      </c>
      <c r="AG825" t="s">
        <v>2593</v>
      </c>
    </row>
    <row r="826" spans="1:33">
      <c r="A826" s="2" t="s">
        <v>121</v>
      </c>
      <c r="B826" s="2" t="s">
        <v>21</v>
      </c>
      <c r="C826" s="1">
        <v>0.57363214500000004</v>
      </c>
      <c r="D826">
        <v>0.65876685800000001</v>
      </c>
      <c r="E826">
        <v>0.71110834000000001</v>
      </c>
      <c r="F826" s="1" t="s">
        <v>122</v>
      </c>
      <c r="G826" s="1">
        <v>2.4518664050000001</v>
      </c>
      <c r="H826" s="1">
        <v>50.1</v>
      </c>
      <c r="I826" s="1">
        <v>50.9</v>
      </c>
      <c r="J826" s="1">
        <v>0.64783578100000005</v>
      </c>
      <c r="K826" s="1">
        <v>0.53276376800000003</v>
      </c>
      <c r="L826" s="1">
        <v>0.65428149899999999</v>
      </c>
      <c r="M826" s="3">
        <v>0.70160154799999996</v>
      </c>
      <c r="N826" s="1" t="s">
        <v>22</v>
      </c>
      <c r="O826" s="1">
        <v>1.2440604749999999</v>
      </c>
      <c r="P826" s="1">
        <v>24.6</v>
      </c>
      <c r="Q826" s="1">
        <v>46.3</v>
      </c>
      <c r="R826" s="1">
        <v>0.62954893833333336</v>
      </c>
      <c r="S826" s="1">
        <v>4.2198599243390485E-2</v>
      </c>
      <c r="T826" t="s">
        <v>973</v>
      </c>
      <c r="U826" s="1">
        <v>997</v>
      </c>
      <c r="V826">
        <f t="shared" si="48"/>
        <v>0.33318835092351734</v>
      </c>
      <c r="W826" s="1">
        <f t="shared" si="49"/>
        <v>25.5</v>
      </c>
      <c r="X826">
        <f t="shared" si="50"/>
        <v>1.2078059300000001</v>
      </c>
      <c r="Y826">
        <f t="shared" si="51"/>
        <v>4.6000000000000014</v>
      </c>
      <c r="Z826" s="1">
        <v>1</v>
      </c>
      <c r="AA826">
        <v>99</v>
      </c>
      <c r="AB826">
        <v>1.01E-2</v>
      </c>
      <c r="AC826">
        <v>2</v>
      </c>
      <c r="AD826">
        <v>105</v>
      </c>
      <c r="AE826">
        <v>1.9E-2</v>
      </c>
      <c r="AF826" t="s">
        <v>2593</v>
      </c>
      <c r="AG826" t="s">
        <v>2589</v>
      </c>
    </row>
    <row r="827" spans="1:33">
      <c r="A827" s="2" t="s">
        <v>121</v>
      </c>
      <c r="B827" s="2" t="s">
        <v>23</v>
      </c>
      <c r="C827" s="1">
        <v>0.57363214500000004</v>
      </c>
      <c r="D827">
        <v>0.65876685800000001</v>
      </c>
      <c r="E827">
        <v>0.71110834000000001</v>
      </c>
      <c r="F827" s="1" t="s">
        <v>122</v>
      </c>
      <c r="G827" s="1">
        <v>2.4518664050000001</v>
      </c>
      <c r="H827" s="1">
        <v>50.1</v>
      </c>
      <c r="I827" s="1">
        <v>50.9</v>
      </c>
      <c r="J827" s="1">
        <v>0.64783578100000005</v>
      </c>
      <c r="K827" s="1">
        <v>0.49415677200000002</v>
      </c>
      <c r="L827" s="1">
        <v>0.62090818999999997</v>
      </c>
      <c r="M827" s="3">
        <v>0.63381026900000004</v>
      </c>
      <c r="N827" s="1" t="s">
        <v>24</v>
      </c>
      <c r="O827" s="1">
        <v>1.141304348</v>
      </c>
      <c r="P827" s="1">
        <v>44.4</v>
      </c>
      <c r="Q827" s="1">
        <v>101.2</v>
      </c>
      <c r="R827" s="1">
        <v>0.58295841033333329</v>
      </c>
      <c r="S827" s="1">
        <v>0.11715206117070411</v>
      </c>
      <c r="T827" t="s">
        <v>974</v>
      </c>
      <c r="U827" s="1">
        <v>446</v>
      </c>
      <c r="V827">
        <f t="shared" si="48"/>
        <v>0.29437053985690464</v>
      </c>
      <c r="W827" s="1">
        <f t="shared" si="49"/>
        <v>5.7000000000000028</v>
      </c>
      <c r="X827">
        <f t="shared" si="50"/>
        <v>1.3105620570000001</v>
      </c>
      <c r="Y827">
        <f t="shared" si="51"/>
        <v>50.300000000000004</v>
      </c>
      <c r="Z827" s="1">
        <v>2</v>
      </c>
      <c r="AA827">
        <v>98</v>
      </c>
      <c r="AB827">
        <v>2.0400000000000001E-2</v>
      </c>
      <c r="AC827">
        <v>3</v>
      </c>
      <c r="AD827">
        <v>100</v>
      </c>
      <c r="AE827">
        <v>0.03</v>
      </c>
      <c r="AF827" t="s">
        <v>2593</v>
      </c>
      <c r="AG827" t="s">
        <v>2590</v>
      </c>
    </row>
    <row r="828" spans="1:33">
      <c r="A828" s="2" t="s">
        <v>121</v>
      </c>
      <c r="B828" s="2" t="s">
        <v>25</v>
      </c>
      <c r="C828" s="1">
        <v>0.57363214500000004</v>
      </c>
      <c r="D828">
        <v>0.65876685800000001</v>
      </c>
      <c r="E828">
        <v>0.71110834000000001</v>
      </c>
      <c r="F828" s="1" t="s">
        <v>122</v>
      </c>
      <c r="G828" s="1">
        <v>2.4518664050000001</v>
      </c>
      <c r="H828" s="1">
        <v>50.1</v>
      </c>
      <c r="I828" s="1">
        <v>50.9</v>
      </c>
      <c r="J828" s="1">
        <v>0.64783578100000005</v>
      </c>
      <c r="K828" s="1">
        <v>0.53959274199999996</v>
      </c>
      <c r="L828" s="1">
        <v>0.64971567399999997</v>
      </c>
      <c r="M828" s="3">
        <v>0.65028459999999999</v>
      </c>
      <c r="N828" s="1" t="s">
        <v>26</v>
      </c>
      <c r="O828" s="1">
        <v>1.623046875</v>
      </c>
      <c r="P828" s="1">
        <v>34.700000000000003</v>
      </c>
      <c r="Q828" s="1">
        <v>51.2</v>
      </c>
      <c r="R828" s="1">
        <v>0.61319767199999997</v>
      </c>
      <c r="S828" s="1">
        <v>7.0286074267851051E-2</v>
      </c>
      <c r="T828" t="s">
        <v>975</v>
      </c>
      <c r="U828" s="1">
        <v>374</v>
      </c>
      <c r="V828">
        <f t="shared" si="48"/>
        <v>0.28587462246672002</v>
      </c>
      <c r="W828" s="1">
        <f t="shared" si="49"/>
        <v>15.399999999999999</v>
      </c>
      <c r="X828">
        <f t="shared" si="50"/>
        <v>0.82881953000000008</v>
      </c>
      <c r="Y828">
        <f t="shared" si="51"/>
        <v>0.30000000000000426</v>
      </c>
      <c r="Z828" s="1">
        <v>0</v>
      </c>
      <c r="AA828">
        <v>100</v>
      </c>
      <c r="AB828">
        <v>0</v>
      </c>
      <c r="AC828">
        <v>0</v>
      </c>
      <c r="AD828">
        <v>105</v>
      </c>
      <c r="AE828">
        <v>0</v>
      </c>
      <c r="AF828" t="s">
        <v>2593</v>
      </c>
      <c r="AG828" t="s">
        <v>2594</v>
      </c>
    </row>
    <row r="829" spans="1:33">
      <c r="A829" s="2" t="s">
        <v>121</v>
      </c>
      <c r="B829" s="2" t="s">
        <v>27</v>
      </c>
      <c r="C829" s="1">
        <v>0.57363214500000004</v>
      </c>
      <c r="D829">
        <v>0.65876685800000001</v>
      </c>
      <c r="E829">
        <v>0.71110834000000001</v>
      </c>
      <c r="F829" s="1" t="s">
        <v>122</v>
      </c>
      <c r="G829" s="1">
        <v>2.4518664050000001</v>
      </c>
      <c r="H829" s="1">
        <v>50.1</v>
      </c>
      <c r="I829" s="1">
        <v>50.9</v>
      </c>
      <c r="J829" s="1">
        <v>0.64783578100000005</v>
      </c>
      <c r="K829" s="1">
        <v>0.518608662</v>
      </c>
      <c r="L829" s="1">
        <v>0.64320369700000002</v>
      </c>
      <c r="M829" s="3">
        <v>0.62228994199999998</v>
      </c>
      <c r="N829" s="1" t="s">
        <v>28</v>
      </c>
      <c r="O829" s="1">
        <v>1.8717391299999999</v>
      </c>
      <c r="P829" s="1">
        <v>33.700000000000003</v>
      </c>
      <c r="Q829" s="1">
        <v>46</v>
      </c>
      <c r="R829" s="1">
        <v>0.59470076699999996</v>
      </c>
      <c r="S829" s="1">
        <v>0.10563381790435117</v>
      </c>
      <c r="T829" t="s">
        <v>976</v>
      </c>
      <c r="U829" s="1">
        <v>207</v>
      </c>
      <c r="V829">
        <f t="shared" si="48"/>
        <v>0.25733003838410196</v>
      </c>
      <c r="W829" s="1">
        <f t="shared" si="49"/>
        <v>16.399999999999999</v>
      </c>
      <c r="X829">
        <f t="shared" si="50"/>
        <v>0.58012727500000016</v>
      </c>
      <c r="Y829">
        <f t="shared" si="51"/>
        <v>4.8999999999999986</v>
      </c>
      <c r="Z829" s="1">
        <v>2</v>
      </c>
      <c r="AA829">
        <v>98</v>
      </c>
      <c r="AB829">
        <v>2.0400000000000001E-2</v>
      </c>
      <c r="AC829">
        <v>3</v>
      </c>
      <c r="AD829">
        <v>109</v>
      </c>
      <c r="AE829">
        <v>2.75E-2</v>
      </c>
      <c r="AF829" t="s">
        <v>2593</v>
      </c>
      <c r="AG829" t="s">
        <v>2590</v>
      </c>
    </row>
    <row r="830" spans="1:33">
      <c r="A830" s="2" t="s">
        <v>121</v>
      </c>
      <c r="B830" s="2" t="s">
        <v>29</v>
      </c>
      <c r="C830" s="1">
        <v>0.57363214500000004</v>
      </c>
      <c r="D830">
        <v>0.65876685800000001</v>
      </c>
      <c r="E830">
        <v>0.71110834000000001</v>
      </c>
      <c r="F830" s="1" t="s">
        <v>122</v>
      </c>
      <c r="G830" s="1">
        <v>2.4518664050000001</v>
      </c>
      <c r="H830" s="1">
        <v>50.1</v>
      </c>
      <c r="I830" s="1">
        <v>50.9</v>
      </c>
      <c r="J830" s="1">
        <v>0.64783578100000005</v>
      </c>
      <c r="K830" s="1">
        <v>0.59351545100000003</v>
      </c>
      <c r="L830" s="1">
        <v>0.68136602400000001</v>
      </c>
      <c r="M830" s="3">
        <v>0.73518087600000004</v>
      </c>
      <c r="N830" s="1" t="s">
        <v>30</v>
      </c>
      <c r="O830" s="1">
        <v>2.849112426</v>
      </c>
      <c r="P830" s="1">
        <v>37.9</v>
      </c>
      <c r="Q830" s="1">
        <v>33.799999999999997</v>
      </c>
      <c r="R830" s="1">
        <v>0.67002078366666673</v>
      </c>
      <c r="S830" s="1">
        <v>3.8542900135517685E-2</v>
      </c>
      <c r="T830" t="s">
        <v>977</v>
      </c>
      <c r="U830" s="1">
        <v>48135</v>
      </c>
      <c r="V830">
        <f t="shared" si="48"/>
        <v>0.52027344179457613</v>
      </c>
      <c r="W830" s="1">
        <f t="shared" si="49"/>
        <v>12.200000000000003</v>
      </c>
      <c r="X830">
        <f t="shared" si="50"/>
        <v>0.39724602099999995</v>
      </c>
      <c r="Y830">
        <f t="shared" si="51"/>
        <v>17.100000000000001</v>
      </c>
      <c r="Z830" s="1">
        <v>26</v>
      </c>
      <c r="AA830">
        <v>74</v>
      </c>
      <c r="AB830">
        <v>0.35139999999999999</v>
      </c>
      <c r="AC830">
        <v>30</v>
      </c>
      <c r="AD830">
        <v>71</v>
      </c>
      <c r="AE830">
        <v>0.42249999999999999</v>
      </c>
      <c r="AF830" t="s">
        <v>2593</v>
      </c>
      <c r="AG830" t="s">
        <v>2593</v>
      </c>
    </row>
    <row r="831" spans="1:33">
      <c r="A831" s="2" t="s">
        <v>121</v>
      </c>
      <c r="B831" s="2" t="s">
        <v>31</v>
      </c>
      <c r="C831" s="1">
        <v>0.57363214500000004</v>
      </c>
      <c r="D831">
        <v>0.65876685800000001</v>
      </c>
      <c r="E831">
        <v>0.71110834000000001</v>
      </c>
      <c r="F831" s="1" t="s">
        <v>122</v>
      </c>
      <c r="G831" s="1">
        <v>2.4518664050000001</v>
      </c>
      <c r="H831" s="1">
        <v>50.1</v>
      </c>
      <c r="I831" s="1">
        <v>50.9</v>
      </c>
      <c r="J831" s="1">
        <v>0.64783578100000005</v>
      </c>
      <c r="K831" s="1">
        <v>0.47727961800000002</v>
      </c>
      <c r="L831" s="1">
        <v>0.66941086400000005</v>
      </c>
      <c r="M831" s="3">
        <v>0.69294815300000001</v>
      </c>
      <c r="N831" s="1" t="s">
        <v>32</v>
      </c>
      <c r="O831" s="1">
        <v>1.341891892</v>
      </c>
      <c r="P831" s="1">
        <v>42.1</v>
      </c>
      <c r="Q831" s="1">
        <v>74</v>
      </c>
      <c r="R831" s="1">
        <v>0.61321287833333338</v>
      </c>
      <c r="S831" s="1">
        <v>9.8625030873955827E-2</v>
      </c>
      <c r="T831" t="s">
        <v>978</v>
      </c>
      <c r="U831" s="1">
        <v>725</v>
      </c>
      <c r="V831">
        <f t="shared" si="48"/>
        <v>0.31781533406344376</v>
      </c>
      <c r="W831" s="1">
        <f t="shared" si="49"/>
        <v>8</v>
      </c>
      <c r="X831">
        <f t="shared" si="50"/>
        <v>1.1099745130000001</v>
      </c>
      <c r="Y831">
        <f t="shared" si="51"/>
        <v>23.1</v>
      </c>
      <c r="Z831" s="1">
        <v>1</v>
      </c>
      <c r="AA831">
        <v>99</v>
      </c>
      <c r="AB831">
        <v>1.01E-2</v>
      </c>
      <c r="AC831">
        <v>2</v>
      </c>
      <c r="AD831">
        <v>107</v>
      </c>
      <c r="AE831">
        <v>1.8700000000000001E-2</v>
      </c>
      <c r="AF831" t="s">
        <v>2593</v>
      </c>
      <c r="AG831" t="s">
        <v>2589</v>
      </c>
    </row>
    <row r="832" spans="1:33">
      <c r="A832" s="2" t="s">
        <v>121</v>
      </c>
      <c r="B832" s="2" t="s">
        <v>33</v>
      </c>
      <c r="C832" s="1">
        <v>0.57363214500000004</v>
      </c>
      <c r="D832">
        <v>0.65876685800000001</v>
      </c>
      <c r="E832">
        <v>0.71110834000000001</v>
      </c>
      <c r="F832" s="1" t="s">
        <v>122</v>
      </c>
      <c r="G832" s="1">
        <v>2.4518664050000001</v>
      </c>
      <c r="H832" s="1">
        <v>50.1</v>
      </c>
      <c r="I832" s="1">
        <v>50.9</v>
      </c>
      <c r="J832" s="1">
        <v>0.64783578100000005</v>
      </c>
      <c r="K832" s="1">
        <v>0.51347926600000005</v>
      </c>
      <c r="L832" s="1">
        <v>0.63144379399999995</v>
      </c>
      <c r="M832" s="3">
        <v>0.64189093500000005</v>
      </c>
      <c r="N832" s="1" t="s">
        <v>34</v>
      </c>
      <c r="O832" s="1">
        <v>2.3123667380000001</v>
      </c>
      <c r="P832" s="1">
        <v>79.099999999999994</v>
      </c>
      <c r="Q832" s="1">
        <v>93.8</v>
      </c>
      <c r="R832" s="1">
        <v>0.59560466500000009</v>
      </c>
      <c r="S832" s="1">
        <v>9.5686821628010815E-2</v>
      </c>
      <c r="T832" t="s">
        <v>979</v>
      </c>
      <c r="U832" s="1">
        <v>886</v>
      </c>
      <c r="V832">
        <f t="shared" si="48"/>
        <v>0.32749263576522786</v>
      </c>
      <c r="W832" s="1">
        <f t="shared" si="49"/>
        <v>28.999999999999993</v>
      </c>
      <c r="X832">
        <f t="shared" si="50"/>
        <v>0.13949966699999994</v>
      </c>
      <c r="Y832">
        <f t="shared" si="51"/>
        <v>42.9</v>
      </c>
      <c r="Z832" s="1">
        <v>2</v>
      </c>
      <c r="AA832">
        <v>98</v>
      </c>
      <c r="AB832">
        <v>2.0400000000000001E-2</v>
      </c>
      <c r="AC832">
        <v>3</v>
      </c>
      <c r="AD832">
        <v>100</v>
      </c>
      <c r="AE832">
        <v>0.03</v>
      </c>
      <c r="AF832" t="s">
        <v>2593</v>
      </c>
      <c r="AG832" t="s">
        <v>2590</v>
      </c>
    </row>
    <row r="833" spans="1:33">
      <c r="A833" s="2" t="s">
        <v>121</v>
      </c>
      <c r="B833" s="2" t="s">
        <v>35</v>
      </c>
      <c r="C833" s="1">
        <v>0.57363214500000004</v>
      </c>
      <c r="D833">
        <v>0.65876685800000001</v>
      </c>
      <c r="E833">
        <v>0.71110834000000001</v>
      </c>
      <c r="F833" s="1" t="s">
        <v>122</v>
      </c>
      <c r="G833" s="1">
        <v>2.4518664050000001</v>
      </c>
      <c r="H833" s="1">
        <v>50.1</v>
      </c>
      <c r="I833" s="1">
        <v>50.9</v>
      </c>
      <c r="J833" s="1">
        <v>0.64783578100000005</v>
      </c>
      <c r="K833" s="1">
        <v>0.52542897600000005</v>
      </c>
      <c r="L833" s="1">
        <v>0.60774736299999998</v>
      </c>
      <c r="M833" s="3">
        <v>0.62585751700000003</v>
      </c>
      <c r="N833" s="1" t="s">
        <v>36</v>
      </c>
      <c r="O833" s="1">
        <v>0.98848810399999998</v>
      </c>
      <c r="P833" s="1">
        <v>54.2</v>
      </c>
      <c r="Q833" s="1">
        <v>130.30000000000001</v>
      </c>
      <c r="R833" s="1">
        <v>0.58634461866666665</v>
      </c>
      <c r="S833" s="1">
        <v>0.11042752009293205</v>
      </c>
      <c r="T833" t="s">
        <v>980</v>
      </c>
      <c r="U833" s="1">
        <v>2378</v>
      </c>
      <c r="V833">
        <f t="shared" si="48"/>
        <v>0.37513465003140811</v>
      </c>
      <c r="W833" s="1">
        <f t="shared" si="49"/>
        <v>4.1000000000000014</v>
      </c>
      <c r="X833">
        <f t="shared" si="50"/>
        <v>1.4633783010000001</v>
      </c>
      <c r="Y833">
        <f t="shared" si="51"/>
        <v>79.400000000000006</v>
      </c>
      <c r="Z833" s="1">
        <v>1</v>
      </c>
      <c r="AA833">
        <v>99</v>
      </c>
      <c r="AB833">
        <v>1.01E-2</v>
      </c>
      <c r="AC833">
        <v>2</v>
      </c>
      <c r="AD833">
        <v>100</v>
      </c>
      <c r="AE833">
        <v>0.02</v>
      </c>
      <c r="AF833" t="s">
        <v>2593</v>
      </c>
      <c r="AG833" t="s">
        <v>2589</v>
      </c>
    </row>
    <row r="834" spans="1:33">
      <c r="A834" s="2" t="s">
        <v>121</v>
      </c>
      <c r="B834" s="2" t="s">
        <v>37</v>
      </c>
      <c r="C834" s="1">
        <v>0.57363214500000004</v>
      </c>
      <c r="D834">
        <v>0.65876685800000001</v>
      </c>
      <c r="E834">
        <v>0.71110834000000001</v>
      </c>
      <c r="F834" s="1" t="s">
        <v>122</v>
      </c>
      <c r="G834" s="1">
        <v>2.4518664050000001</v>
      </c>
      <c r="H834" s="1">
        <v>50.1</v>
      </c>
      <c r="I834" s="1">
        <v>50.9</v>
      </c>
      <c r="J834" s="1">
        <v>0.64783578100000005</v>
      </c>
      <c r="K834" s="1">
        <v>0.50856695500000004</v>
      </c>
      <c r="L834" s="1">
        <v>0.654733224</v>
      </c>
      <c r="M834" s="3">
        <v>0.61418267199999999</v>
      </c>
      <c r="N834" s="1" t="s">
        <v>38</v>
      </c>
      <c r="O834" s="1">
        <v>0.64065708399999999</v>
      </c>
      <c r="P834" s="1">
        <v>41.9</v>
      </c>
      <c r="Q834" s="1">
        <v>146.1</v>
      </c>
      <c r="R834" s="1">
        <v>0.59249428366666679</v>
      </c>
      <c r="S834" s="1">
        <v>0.11680896485385137</v>
      </c>
      <c r="T834" t="s">
        <v>981</v>
      </c>
      <c r="U834" s="1">
        <v>590</v>
      </c>
      <c r="V834">
        <f t="shared" ref="V834:V897" si="52">LOG10(U834) / 9</f>
        <v>0.30787244573801603</v>
      </c>
      <c r="W834" s="1">
        <f t="shared" ref="W834:W897" si="53">ABS(H834-P834)</f>
        <v>8.2000000000000028</v>
      </c>
      <c r="X834">
        <f t="shared" ref="X834:X897" si="54">ABS(G834-O834)</f>
        <v>1.8112093210000002</v>
      </c>
      <c r="Y834">
        <f t="shared" ref="Y834:Y897" si="55">ABS(I834-Q834)</f>
        <v>95.199999999999989</v>
      </c>
      <c r="Z834" s="1">
        <v>1</v>
      </c>
      <c r="AA834">
        <v>99</v>
      </c>
      <c r="AB834">
        <v>1.01E-2</v>
      </c>
      <c r="AC834">
        <v>2</v>
      </c>
      <c r="AD834">
        <v>99</v>
      </c>
      <c r="AE834">
        <v>2.0199999999999999E-2</v>
      </c>
      <c r="AF834" t="s">
        <v>2593</v>
      </c>
      <c r="AG834" t="s">
        <v>2590</v>
      </c>
    </row>
    <row r="835" spans="1:33">
      <c r="A835" s="2" t="s">
        <v>121</v>
      </c>
      <c r="B835" s="2" t="s">
        <v>39</v>
      </c>
      <c r="C835" s="1">
        <v>0.57363214500000004</v>
      </c>
      <c r="D835">
        <v>0.65876685800000001</v>
      </c>
      <c r="E835">
        <v>0.71110834000000001</v>
      </c>
      <c r="F835" s="1" t="s">
        <v>122</v>
      </c>
      <c r="G835" s="1">
        <v>2.4518664050000001</v>
      </c>
      <c r="H835" s="1">
        <v>50.1</v>
      </c>
      <c r="I835" s="1">
        <v>50.9</v>
      </c>
      <c r="J835" s="1">
        <v>0.64783578100000005</v>
      </c>
      <c r="K835" s="1">
        <v>0.60811616199999996</v>
      </c>
      <c r="L835" s="1">
        <v>0.721105683</v>
      </c>
      <c r="M835" s="3">
        <v>0.741016169</v>
      </c>
      <c r="N835" s="1" t="s">
        <v>40</v>
      </c>
      <c r="O835" s="1">
        <v>1.0601915180000001</v>
      </c>
      <c r="P835" s="1">
        <v>34</v>
      </c>
      <c r="Q835" s="1">
        <v>73.099999999999994</v>
      </c>
      <c r="R835" s="1">
        <v>0.69007933799999999</v>
      </c>
      <c r="S835" s="1">
        <v>7.7264188123154109E-2</v>
      </c>
      <c r="T835" t="s">
        <v>982</v>
      </c>
      <c r="U835" s="1">
        <v>677</v>
      </c>
      <c r="V835">
        <f t="shared" si="52"/>
        <v>0.31450985207612714</v>
      </c>
      <c r="W835" s="1">
        <f t="shared" si="53"/>
        <v>16.100000000000001</v>
      </c>
      <c r="X835">
        <f t="shared" si="54"/>
        <v>1.391674887</v>
      </c>
      <c r="Y835">
        <f t="shared" si="55"/>
        <v>22.199999999999996</v>
      </c>
      <c r="Z835" s="1">
        <v>2</v>
      </c>
      <c r="AA835">
        <v>98</v>
      </c>
      <c r="AB835">
        <v>2.0400000000000001E-2</v>
      </c>
      <c r="AC835">
        <v>3</v>
      </c>
      <c r="AD835">
        <v>101</v>
      </c>
      <c r="AE835">
        <v>2.9700000000000001E-2</v>
      </c>
      <c r="AF835" t="s">
        <v>2593</v>
      </c>
      <c r="AG835" t="s">
        <v>2589</v>
      </c>
    </row>
    <row r="836" spans="1:33">
      <c r="A836" s="2" t="s">
        <v>121</v>
      </c>
      <c r="B836" s="2" t="s">
        <v>41</v>
      </c>
      <c r="C836" s="1">
        <v>0.57363214500000004</v>
      </c>
      <c r="D836">
        <v>0.65876685800000001</v>
      </c>
      <c r="E836">
        <v>0.71110834000000001</v>
      </c>
      <c r="F836" s="1" t="s">
        <v>122</v>
      </c>
      <c r="G836" s="1">
        <v>2.4518664050000001</v>
      </c>
      <c r="H836" s="1">
        <v>50.1</v>
      </c>
      <c r="I836" s="1">
        <v>50.9</v>
      </c>
      <c r="J836" s="1">
        <v>0.64783578100000005</v>
      </c>
      <c r="K836" s="1">
        <v>0.60402244999999999</v>
      </c>
      <c r="L836" s="1">
        <v>0.669189213</v>
      </c>
      <c r="M836" s="3">
        <v>0.69821693799999995</v>
      </c>
      <c r="N836" s="1" t="s">
        <v>42</v>
      </c>
      <c r="O836" s="1">
        <v>1.3243902439999999</v>
      </c>
      <c r="P836" s="1">
        <v>23</v>
      </c>
      <c r="Q836" s="1">
        <v>41</v>
      </c>
      <c r="R836" s="1">
        <v>0.65714286700000002</v>
      </c>
      <c r="S836" s="1">
        <v>3.4617688647058054E-2</v>
      </c>
      <c r="T836" t="s">
        <v>983</v>
      </c>
      <c r="U836" s="1">
        <v>11025</v>
      </c>
      <c r="V836">
        <f t="shared" si="52"/>
        <v>0.44915317757109741</v>
      </c>
      <c r="W836" s="1">
        <f t="shared" si="53"/>
        <v>27.1</v>
      </c>
      <c r="X836">
        <f t="shared" si="54"/>
        <v>1.1274761610000001</v>
      </c>
      <c r="Y836">
        <f t="shared" si="55"/>
        <v>9.8999999999999986</v>
      </c>
      <c r="Z836" s="1">
        <v>29</v>
      </c>
      <c r="AA836">
        <v>71</v>
      </c>
      <c r="AB836">
        <v>0.40849999999999997</v>
      </c>
      <c r="AC836">
        <v>37</v>
      </c>
      <c r="AD836">
        <v>81</v>
      </c>
      <c r="AE836">
        <v>0.45679999999999998</v>
      </c>
      <c r="AF836" t="s">
        <v>2593</v>
      </c>
      <c r="AG836" t="s">
        <v>2591</v>
      </c>
    </row>
    <row r="837" spans="1:33">
      <c r="A837" s="2" t="s">
        <v>121</v>
      </c>
      <c r="B837" s="2" t="s">
        <v>43</v>
      </c>
      <c r="C837" s="1">
        <v>0.57363214500000004</v>
      </c>
      <c r="D837">
        <v>0.65876685800000001</v>
      </c>
      <c r="E837">
        <v>0.71110834000000001</v>
      </c>
      <c r="F837" s="1" t="s">
        <v>122</v>
      </c>
      <c r="G837" s="1">
        <v>2.4518664050000001</v>
      </c>
      <c r="H837" s="1">
        <v>50.1</v>
      </c>
      <c r="I837" s="1">
        <v>50.9</v>
      </c>
      <c r="J837" s="1">
        <v>0.64783578100000005</v>
      </c>
      <c r="K837" s="1">
        <v>0.54180634699999997</v>
      </c>
      <c r="L837" s="1">
        <v>0.59470779900000004</v>
      </c>
      <c r="M837" s="3">
        <v>0.69518155599999998</v>
      </c>
      <c r="N837" s="1" t="s">
        <v>44</v>
      </c>
      <c r="O837" s="1">
        <v>1.7403685090000001</v>
      </c>
      <c r="P837" s="1">
        <v>41.2</v>
      </c>
      <c r="Q837" s="1">
        <v>59.7</v>
      </c>
      <c r="R837" s="1">
        <v>0.61056523400000007</v>
      </c>
      <c r="S837" s="1">
        <v>7.328101327687099E-2</v>
      </c>
      <c r="T837" t="s">
        <v>984</v>
      </c>
      <c r="U837" s="1">
        <v>2888</v>
      </c>
      <c r="V837">
        <f t="shared" si="52"/>
        <v>0.38451079876640015</v>
      </c>
      <c r="W837" s="1">
        <f t="shared" si="53"/>
        <v>8.8999999999999986</v>
      </c>
      <c r="X837">
        <f t="shared" si="54"/>
        <v>0.71149789600000002</v>
      </c>
      <c r="Y837">
        <f t="shared" si="55"/>
        <v>8.8000000000000043</v>
      </c>
      <c r="Z837" s="1">
        <v>4</v>
      </c>
      <c r="AA837">
        <v>96</v>
      </c>
      <c r="AB837">
        <v>4.1700000000000001E-2</v>
      </c>
      <c r="AC837">
        <v>4</v>
      </c>
      <c r="AD837">
        <v>136</v>
      </c>
      <c r="AE837">
        <v>2.9399999999999999E-2</v>
      </c>
      <c r="AF837" t="s">
        <v>2593</v>
      </c>
      <c r="AG837" t="s">
        <v>2589</v>
      </c>
    </row>
    <row r="838" spans="1:33">
      <c r="A838" s="2" t="s">
        <v>121</v>
      </c>
      <c r="B838" s="2" t="s">
        <v>45</v>
      </c>
      <c r="C838" s="1">
        <v>0.57363214500000004</v>
      </c>
      <c r="D838">
        <v>0.65876685800000001</v>
      </c>
      <c r="E838">
        <v>0.71110834000000001</v>
      </c>
      <c r="F838" s="1" t="s">
        <v>122</v>
      </c>
      <c r="G838" s="1">
        <v>2.4518664050000001</v>
      </c>
      <c r="H838" s="1">
        <v>50.1</v>
      </c>
      <c r="I838" s="1">
        <v>50.9</v>
      </c>
      <c r="J838" s="1">
        <v>0.64783578100000005</v>
      </c>
      <c r="K838" s="1">
        <v>0.50907007599999998</v>
      </c>
      <c r="L838" s="1">
        <v>0.68428041399999995</v>
      </c>
      <c r="M838" s="3">
        <v>0.67454742099999998</v>
      </c>
      <c r="N838" s="1" t="s">
        <v>46</v>
      </c>
      <c r="O838" s="1">
        <v>0.98140043799999999</v>
      </c>
      <c r="P838" s="1">
        <v>38.9</v>
      </c>
      <c r="Q838" s="1">
        <v>91.4</v>
      </c>
      <c r="R838" s="1">
        <v>0.62263263699999993</v>
      </c>
      <c r="S838" s="1">
        <v>7.8459563416134706E-2</v>
      </c>
      <c r="T838" t="s">
        <v>985</v>
      </c>
      <c r="U838" s="1">
        <v>948</v>
      </c>
      <c r="V838">
        <f t="shared" si="52"/>
        <v>0.3307564819264518</v>
      </c>
      <c r="W838" s="1">
        <f t="shared" si="53"/>
        <v>11.200000000000003</v>
      </c>
      <c r="X838">
        <f t="shared" si="54"/>
        <v>1.470465967</v>
      </c>
      <c r="Y838">
        <f t="shared" si="55"/>
        <v>40.500000000000007</v>
      </c>
      <c r="Z838" s="1">
        <v>1</v>
      </c>
      <c r="AA838">
        <v>99</v>
      </c>
      <c r="AB838">
        <v>1.01E-2</v>
      </c>
      <c r="AC838">
        <v>2</v>
      </c>
      <c r="AD838">
        <v>118</v>
      </c>
      <c r="AE838">
        <v>1.6899999999999998E-2</v>
      </c>
      <c r="AF838" t="s">
        <v>2593</v>
      </c>
      <c r="AG838" t="s">
        <v>2589</v>
      </c>
    </row>
    <row r="839" spans="1:33">
      <c r="A839" s="2" t="s">
        <v>121</v>
      </c>
      <c r="B839" s="2" t="s">
        <v>47</v>
      </c>
      <c r="C839" s="1">
        <v>0.57363214500000004</v>
      </c>
      <c r="D839">
        <v>0.65876685800000001</v>
      </c>
      <c r="E839">
        <v>0.71110834000000001</v>
      </c>
      <c r="F839" s="1" t="s">
        <v>122</v>
      </c>
      <c r="G839" s="1">
        <v>2.4518664050000001</v>
      </c>
      <c r="H839" s="1">
        <v>50.1</v>
      </c>
      <c r="I839" s="1">
        <v>50.9</v>
      </c>
      <c r="J839" s="1">
        <v>0.64783578100000005</v>
      </c>
      <c r="K839" s="1">
        <v>0.50612154099999995</v>
      </c>
      <c r="L839" s="1">
        <v>0.55940039100000005</v>
      </c>
      <c r="M839" s="3">
        <v>0.66789001699999995</v>
      </c>
      <c r="N839" s="1" t="s">
        <v>48</v>
      </c>
      <c r="O839" s="1">
        <v>1.242622951</v>
      </c>
      <c r="P839" s="1">
        <v>17.8</v>
      </c>
      <c r="Q839" s="1">
        <v>30.5</v>
      </c>
      <c r="R839" s="1">
        <v>0.57780398300000002</v>
      </c>
      <c r="S839" s="1">
        <v>0.127668319717302</v>
      </c>
      <c r="T839" t="s">
        <v>986</v>
      </c>
      <c r="U839" s="1">
        <v>606</v>
      </c>
      <c r="V839">
        <f t="shared" si="52"/>
        <v>0.3091636249073651</v>
      </c>
      <c r="W839" s="1">
        <f t="shared" si="53"/>
        <v>32.299999999999997</v>
      </c>
      <c r="X839">
        <f t="shared" si="54"/>
        <v>1.2092434540000001</v>
      </c>
      <c r="Y839">
        <f t="shared" si="55"/>
        <v>20.399999999999999</v>
      </c>
      <c r="Z839" s="1">
        <v>1</v>
      </c>
      <c r="AA839">
        <v>99</v>
      </c>
      <c r="AB839">
        <v>1.01E-2</v>
      </c>
      <c r="AC839">
        <v>2</v>
      </c>
      <c r="AD839">
        <v>125</v>
      </c>
      <c r="AE839">
        <v>1.6E-2</v>
      </c>
      <c r="AF839" t="s">
        <v>2593</v>
      </c>
      <c r="AG839" t="s">
        <v>2590</v>
      </c>
    </row>
    <row r="840" spans="1:33">
      <c r="A840" s="2" t="s">
        <v>121</v>
      </c>
      <c r="B840" s="2" t="s">
        <v>49</v>
      </c>
      <c r="C840" s="1">
        <v>0.57363214500000004</v>
      </c>
      <c r="D840">
        <v>0.65876685800000001</v>
      </c>
      <c r="E840">
        <v>0.71110834000000001</v>
      </c>
      <c r="F840" s="1" t="s">
        <v>122</v>
      </c>
      <c r="G840" s="1">
        <v>2.4518664050000001</v>
      </c>
      <c r="H840" s="1">
        <v>50.1</v>
      </c>
      <c r="I840" s="1">
        <v>50.9</v>
      </c>
      <c r="J840" s="1">
        <v>0.64783578100000005</v>
      </c>
      <c r="K840" s="1">
        <v>0.50647110500000003</v>
      </c>
      <c r="L840" s="1">
        <v>0.55713136799999996</v>
      </c>
      <c r="M840" s="3">
        <v>0.63402682300000002</v>
      </c>
      <c r="N840" s="1" t="s">
        <v>50</v>
      </c>
      <c r="O840" s="1">
        <v>1.876675603</v>
      </c>
      <c r="P840" s="1">
        <v>28.8</v>
      </c>
      <c r="Q840" s="1">
        <v>37.299999999999997</v>
      </c>
      <c r="R840" s="1">
        <v>0.56587643200000004</v>
      </c>
      <c r="S840" s="1">
        <v>0.14415942003366619</v>
      </c>
      <c r="T840" t="s">
        <v>987</v>
      </c>
      <c r="U840" s="1">
        <v>833</v>
      </c>
      <c r="V840">
        <f t="shared" si="52"/>
        <v>0.32451611126742086</v>
      </c>
      <c r="W840" s="1">
        <f t="shared" si="53"/>
        <v>21.3</v>
      </c>
      <c r="X840">
        <f t="shared" si="54"/>
        <v>0.57519080200000006</v>
      </c>
      <c r="Y840">
        <f t="shared" si="55"/>
        <v>13.600000000000001</v>
      </c>
      <c r="Z840" s="1">
        <v>1</v>
      </c>
      <c r="AA840">
        <v>99</v>
      </c>
      <c r="AB840">
        <v>1.01E-2</v>
      </c>
      <c r="AC840">
        <v>2</v>
      </c>
      <c r="AD840">
        <v>99</v>
      </c>
      <c r="AE840">
        <v>2.0199999999999999E-2</v>
      </c>
      <c r="AF840" t="s">
        <v>2593</v>
      </c>
      <c r="AG840" t="s">
        <v>2590</v>
      </c>
    </row>
    <row r="841" spans="1:33">
      <c r="A841" s="2" t="s">
        <v>121</v>
      </c>
      <c r="B841" s="2" t="s">
        <v>51</v>
      </c>
      <c r="C841" s="1">
        <v>0.57363214500000004</v>
      </c>
      <c r="D841">
        <v>0.65876685800000001</v>
      </c>
      <c r="E841">
        <v>0.71110834000000001</v>
      </c>
      <c r="F841" s="1" t="s">
        <v>122</v>
      </c>
      <c r="G841" s="1">
        <v>2.4518664050000001</v>
      </c>
      <c r="H841" s="1">
        <v>50.1</v>
      </c>
      <c r="I841" s="1">
        <v>50.9</v>
      </c>
      <c r="J841" s="1">
        <v>0.64783578100000005</v>
      </c>
      <c r="K841" s="1">
        <v>0.60067161999999996</v>
      </c>
      <c r="L841" s="1">
        <v>0.68094129999999997</v>
      </c>
      <c r="M841" s="3">
        <v>0.73595931299999995</v>
      </c>
      <c r="N841" s="1" t="s">
        <v>52</v>
      </c>
      <c r="O841" s="1">
        <v>1.858638743</v>
      </c>
      <c r="P841" s="1">
        <v>29.4</v>
      </c>
      <c r="Q841" s="1">
        <v>38.200000000000003</v>
      </c>
      <c r="R841" s="1">
        <v>0.67252407766666666</v>
      </c>
      <c r="S841" s="1">
        <v>4.289999936286374E-2</v>
      </c>
      <c r="T841" t="s">
        <v>988</v>
      </c>
      <c r="U841" s="1">
        <v>8257</v>
      </c>
      <c r="V841">
        <f t="shared" si="52"/>
        <v>0.43520247606621243</v>
      </c>
      <c r="W841" s="1">
        <f t="shared" si="53"/>
        <v>20.700000000000003</v>
      </c>
      <c r="X841">
        <f t="shared" si="54"/>
        <v>0.5932276620000001</v>
      </c>
      <c r="Y841">
        <f t="shared" si="55"/>
        <v>12.699999999999996</v>
      </c>
      <c r="Z841" s="1">
        <v>33</v>
      </c>
      <c r="AA841">
        <v>67</v>
      </c>
      <c r="AB841">
        <v>0.49249999999999999</v>
      </c>
      <c r="AC841">
        <v>38</v>
      </c>
      <c r="AD841">
        <v>72</v>
      </c>
      <c r="AE841">
        <v>0.52780000000000005</v>
      </c>
      <c r="AF841" t="s">
        <v>2593</v>
      </c>
      <c r="AG841" t="s">
        <v>2591</v>
      </c>
    </row>
    <row r="842" spans="1:33">
      <c r="A842" s="2" t="s">
        <v>121</v>
      </c>
      <c r="B842" s="2" t="s">
        <v>53</v>
      </c>
      <c r="C842" s="1">
        <v>0.57363214500000004</v>
      </c>
      <c r="D842">
        <v>0.65876685800000001</v>
      </c>
      <c r="E842">
        <v>0.71110834000000001</v>
      </c>
      <c r="F842" s="1" t="s">
        <v>122</v>
      </c>
      <c r="G842" s="1">
        <v>2.4518664050000001</v>
      </c>
      <c r="H842" s="1">
        <v>50.1</v>
      </c>
      <c r="I842" s="1">
        <v>50.9</v>
      </c>
      <c r="J842" s="1">
        <v>0.64783578100000005</v>
      </c>
      <c r="K842" s="1">
        <v>0.54695832700000002</v>
      </c>
      <c r="L842" s="1">
        <v>0.659790137</v>
      </c>
      <c r="M842" s="3">
        <v>0.70662085500000005</v>
      </c>
      <c r="N842" s="1" t="s">
        <v>54</v>
      </c>
      <c r="O842" s="1">
        <v>2.5053995680000001</v>
      </c>
      <c r="P842" s="1">
        <v>43.9</v>
      </c>
      <c r="Q842" s="1">
        <v>46.3</v>
      </c>
      <c r="R842" s="1">
        <v>0.63778977300000006</v>
      </c>
      <c r="S842" s="1">
        <v>2.7068010422529959E-2</v>
      </c>
      <c r="T842" t="s">
        <v>989</v>
      </c>
      <c r="U842" s="1">
        <v>175018</v>
      </c>
      <c r="V842">
        <f t="shared" si="52"/>
        <v>0.58256474629763222</v>
      </c>
      <c r="W842" s="1">
        <f t="shared" si="53"/>
        <v>6.2000000000000028</v>
      </c>
      <c r="X842">
        <f t="shared" si="54"/>
        <v>5.3533162999999995E-2</v>
      </c>
      <c r="Y842">
        <f t="shared" si="55"/>
        <v>4.6000000000000014</v>
      </c>
      <c r="Z842" s="1">
        <v>38</v>
      </c>
      <c r="AA842">
        <v>62</v>
      </c>
      <c r="AB842">
        <v>0.6129</v>
      </c>
      <c r="AC842">
        <v>39</v>
      </c>
      <c r="AD842">
        <v>71</v>
      </c>
      <c r="AE842">
        <v>0.54930000000000001</v>
      </c>
      <c r="AF842" t="s">
        <v>2593</v>
      </c>
      <c r="AG842" t="s">
        <v>2593</v>
      </c>
    </row>
    <row r="843" spans="1:33">
      <c r="A843" s="2" t="s">
        <v>121</v>
      </c>
      <c r="B843" s="2" t="s">
        <v>55</v>
      </c>
      <c r="C843" s="1">
        <v>0.57363214500000004</v>
      </c>
      <c r="D843">
        <v>0.65876685800000001</v>
      </c>
      <c r="E843">
        <v>0.71110834000000001</v>
      </c>
      <c r="F843" s="1" t="s">
        <v>122</v>
      </c>
      <c r="G843" s="1">
        <v>2.4518664050000001</v>
      </c>
      <c r="H843" s="1">
        <v>50.1</v>
      </c>
      <c r="I843" s="1">
        <v>50.9</v>
      </c>
      <c r="J843" s="1">
        <v>0.64783578100000005</v>
      </c>
      <c r="K843" s="1">
        <v>0.52971861799999997</v>
      </c>
      <c r="L843" s="1">
        <v>0.62258244500000004</v>
      </c>
      <c r="M843" s="3">
        <v>0.63939760400000001</v>
      </c>
      <c r="N843" s="1" t="s">
        <v>56</v>
      </c>
      <c r="O843" s="1">
        <v>1.0796934869999999</v>
      </c>
      <c r="P843" s="1">
        <v>55.3</v>
      </c>
      <c r="Q843" s="1">
        <v>130.5</v>
      </c>
      <c r="R843" s="1">
        <v>0.59723288899999993</v>
      </c>
      <c r="S843" s="1">
        <v>9.1543100534098129E-2</v>
      </c>
      <c r="T843" t="s">
        <v>990</v>
      </c>
      <c r="U843" s="1">
        <v>1556</v>
      </c>
      <c r="V843">
        <f t="shared" si="52"/>
        <v>0.35466773251707445</v>
      </c>
      <c r="W843" s="1">
        <f t="shared" si="53"/>
        <v>5.1999999999999957</v>
      </c>
      <c r="X843">
        <f t="shared" si="54"/>
        <v>1.3721729180000002</v>
      </c>
      <c r="Y843">
        <f t="shared" si="55"/>
        <v>79.599999999999994</v>
      </c>
      <c r="Z843" s="1">
        <v>1</v>
      </c>
      <c r="AA843">
        <v>99</v>
      </c>
      <c r="AB843">
        <v>1.01E-2</v>
      </c>
      <c r="AC843">
        <v>2</v>
      </c>
      <c r="AD843">
        <v>100</v>
      </c>
      <c r="AE843">
        <v>0.02</v>
      </c>
      <c r="AF843" t="s">
        <v>2593</v>
      </c>
      <c r="AG843" t="s">
        <v>2592</v>
      </c>
    </row>
    <row r="844" spans="1:33">
      <c r="A844" s="2" t="s">
        <v>121</v>
      </c>
      <c r="B844" s="2" t="s">
        <v>57</v>
      </c>
      <c r="C844" s="1">
        <v>0.57363214500000004</v>
      </c>
      <c r="D844">
        <v>0.65876685800000001</v>
      </c>
      <c r="E844">
        <v>0.71110834000000001</v>
      </c>
      <c r="F844" s="1" t="s">
        <v>122</v>
      </c>
      <c r="G844" s="1">
        <v>2.4518664050000001</v>
      </c>
      <c r="H844" s="1">
        <v>50.1</v>
      </c>
      <c r="I844" s="1">
        <v>50.9</v>
      </c>
      <c r="J844" s="1">
        <v>0.64783578100000005</v>
      </c>
      <c r="K844" s="1">
        <v>0.528732855</v>
      </c>
      <c r="L844" s="1">
        <v>0.63387497599999998</v>
      </c>
      <c r="M844" s="3">
        <v>0.63337360200000004</v>
      </c>
      <c r="N844" s="1" t="s">
        <v>58</v>
      </c>
      <c r="O844" s="1">
        <v>1.386610879</v>
      </c>
      <c r="P844" s="1">
        <v>69</v>
      </c>
      <c r="Q844" s="1">
        <v>119.5</v>
      </c>
      <c r="R844" s="1">
        <v>0.59866047766666663</v>
      </c>
      <c r="S844" s="1">
        <v>9.3157079837952572E-2</v>
      </c>
      <c r="T844" t="s">
        <v>991</v>
      </c>
      <c r="U844" s="1">
        <v>2200</v>
      </c>
      <c r="V844">
        <f t="shared" si="52"/>
        <v>0.37138029786913401</v>
      </c>
      <c r="W844" s="1">
        <f t="shared" si="53"/>
        <v>18.899999999999999</v>
      </c>
      <c r="X844">
        <f t="shared" si="54"/>
        <v>1.0652555260000001</v>
      </c>
      <c r="Y844">
        <f t="shared" si="55"/>
        <v>68.599999999999994</v>
      </c>
      <c r="Z844" s="1">
        <v>1</v>
      </c>
      <c r="AA844">
        <v>99</v>
      </c>
      <c r="AB844">
        <v>1.01E-2</v>
      </c>
      <c r="AC844">
        <v>2</v>
      </c>
      <c r="AD844">
        <v>106</v>
      </c>
      <c r="AE844">
        <v>1.89E-2</v>
      </c>
      <c r="AF844" t="s">
        <v>2593</v>
      </c>
      <c r="AG844" t="s">
        <v>2589</v>
      </c>
    </row>
    <row r="845" spans="1:33">
      <c r="A845" s="2" t="s">
        <v>121</v>
      </c>
      <c r="B845" s="2" t="s">
        <v>59</v>
      </c>
      <c r="C845" s="1">
        <v>0.57363214500000004</v>
      </c>
      <c r="D845">
        <v>0.65876685800000001</v>
      </c>
      <c r="E845">
        <v>0.71110834000000001</v>
      </c>
      <c r="F845" s="1" t="s">
        <v>122</v>
      </c>
      <c r="G845" s="1">
        <v>2.4518664050000001</v>
      </c>
      <c r="H845" s="1">
        <v>50.1</v>
      </c>
      <c r="I845" s="1">
        <v>50.9</v>
      </c>
      <c r="J845" s="1">
        <v>0.64783578100000005</v>
      </c>
      <c r="K845" s="1">
        <v>0.56225432799999997</v>
      </c>
      <c r="L845" s="1">
        <v>0.68100706499999997</v>
      </c>
      <c r="M845" s="3">
        <v>0.67505263699999996</v>
      </c>
      <c r="N845" s="1" t="s">
        <v>60</v>
      </c>
      <c r="O845" s="1">
        <v>1.1501154730000001</v>
      </c>
      <c r="P845" s="1">
        <v>60.5</v>
      </c>
      <c r="Q845" s="1">
        <v>129.9</v>
      </c>
      <c r="R845" s="1">
        <v>0.63943801</v>
      </c>
      <c r="S845" s="1">
        <v>4.3864510095435356E-2</v>
      </c>
      <c r="T845" t="s">
        <v>992</v>
      </c>
      <c r="U845" s="1">
        <v>4021</v>
      </c>
      <c r="V845">
        <f t="shared" si="52"/>
        <v>0.40048156367810123</v>
      </c>
      <c r="W845" s="1">
        <f t="shared" si="53"/>
        <v>10.399999999999999</v>
      </c>
      <c r="X845">
        <f t="shared" si="54"/>
        <v>1.301750932</v>
      </c>
      <c r="Y845">
        <f t="shared" si="55"/>
        <v>79</v>
      </c>
      <c r="Z845" s="1">
        <v>1</v>
      </c>
      <c r="AA845">
        <v>99</v>
      </c>
      <c r="AB845">
        <v>1.01E-2</v>
      </c>
      <c r="AC845">
        <v>2</v>
      </c>
      <c r="AD845">
        <v>125</v>
      </c>
      <c r="AE845">
        <v>1.6E-2</v>
      </c>
      <c r="AF845" t="s">
        <v>2593</v>
      </c>
      <c r="AG845" t="s">
        <v>2589</v>
      </c>
    </row>
    <row r="846" spans="1:33">
      <c r="A846" s="2" t="s">
        <v>121</v>
      </c>
      <c r="B846" s="2" t="s">
        <v>61</v>
      </c>
      <c r="C846" s="1">
        <v>0.57363214500000004</v>
      </c>
      <c r="D846">
        <v>0.65876685800000001</v>
      </c>
      <c r="E846">
        <v>0.71110834000000001</v>
      </c>
      <c r="F846" s="1" t="s">
        <v>122</v>
      </c>
      <c r="G846" s="1">
        <v>2.4518664050000001</v>
      </c>
      <c r="H846" s="1">
        <v>50.1</v>
      </c>
      <c r="I846" s="1">
        <v>50.9</v>
      </c>
      <c r="J846" s="1">
        <v>0.64783578100000005</v>
      </c>
      <c r="K846" s="1">
        <v>0.62063455999999995</v>
      </c>
      <c r="L846" s="1">
        <v>0.67798104299999995</v>
      </c>
      <c r="M846" s="3">
        <v>0.72175371600000005</v>
      </c>
      <c r="N846" s="1" t="s">
        <v>62</v>
      </c>
      <c r="O846" s="1">
        <v>7.5471698109999998</v>
      </c>
      <c r="P846" s="1">
        <v>26.4</v>
      </c>
      <c r="Q846" s="1">
        <v>10.6</v>
      </c>
      <c r="R846" s="1">
        <v>0.6734564396666668</v>
      </c>
      <c r="S846" s="1">
        <v>5.1881942438846827E-2</v>
      </c>
      <c r="T846" t="s">
        <v>993</v>
      </c>
      <c r="U846" s="1">
        <v>1120</v>
      </c>
      <c r="V846">
        <f t="shared" si="52"/>
        <v>0.33880200251890907</v>
      </c>
      <c r="W846" s="1">
        <f t="shared" si="53"/>
        <v>23.700000000000003</v>
      </c>
      <c r="X846">
        <f t="shared" si="54"/>
        <v>5.0953034059999993</v>
      </c>
      <c r="Y846">
        <f t="shared" si="55"/>
        <v>40.299999999999997</v>
      </c>
      <c r="Z846" s="1">
        <v>0</v>
      </c>
      <c r="AA846">
        <v>100</v>
      </c>
      <c r="AB846">
        <v>0</v>
      </c>
      <c r="AC846">
        <v>0</v>
      </c>
      <c r="AD846">
        <v>102</v>
      </c>
      <c r="AE846">
        <v>0</v>
      </c>
      <c r="AF846" t="s">
        <v>2593</v>
      </c>
      <c r="AG846" t="s">
        <v>2588</v>
      </c>
    </row>
    <row r="847" spans="1:33">
      <c r="A847" s="2" t="s">
        <v>121</v>
      </c>
      <c r="B847" s="2" t="s">
        <v>63</v>
      </c>
      <c r="C847" s="1">
        <v>0.57363214500000004</v>
      </c>
      <c r="D847">
        <v>0.65876685800000001</v>
      </c>
      <c r="E847">
        <v>0.71110834000000001</v>
      </c>
      <c r="F847" s="1" t="s">
        <v>122</v>
      </c>
      <c r="G847" s="1">
        <v>2.4518664050000001</v>
      </c>
      <c r="H847" s="1">
        <v>50.1</v>
      </c>
      <c r="I847" s="1">
        <v>50.9</v>
      </c>
      <c r="J847" s="1">
        <v>0.64783578100000005</v>
      </c>
      <c r="K847" s="1">
        <v>0.44311141399999998</v>
      </c>
      <c r="L847" s="1">
        <v>0.57053969199999999</v>
      </c>
      <c r="M847" s="3">
        <v>0.59266330599999995</v>
      </c>
      <c r="N847" s="1" t="s">
        <v>64</v>
      </c>
      <c r="O847" s="1">
        <v>0.89618138400000003</v>
      </c>
      <c r="P847" s="1">
        <v>29.7</v>
      </c>
      <c r="Q847" s="1">
        <v>83.8</v>
      </c>
      <c r="R847" s="1">
        <v>0.53543813733333334</v>
      </c>
      <c r="S847" s="1">
        <v>0.19710129406076235</v>
      </c>
      <c r="T847" t="s">
        <v>994</v>
      </c>
      <c r="U847" s="1">
        <v>344</v>
      </c>
      <c r="V847">
        <f t="shared" si="52"/>
        <v>0.28183982695239224</v>
      </c>
      <c r="W847" s="1">
        <f t="shared" si="53"/>
        <v>20.400000000000002</v>
      </c>
      <c r="X847">
        <f t="shared" si="54"/>
        <v>1.5556850209999999</v>
      </c>
      <c r="Y847">
        <f t="shared" si="55"/>
        <v>32.9</v>
      </c>
      <c r="Z847" s="1">
        <v>1</v>
      </c>
      <c r="AA847">
        <v>99</v>
      </c>
      <c r="AB847">
        <v>1.01E-2</v>
      </c>
      <c r="AC847">
        <v>2</v>
      </c>
      <c r="AD847">
        <v>107</v>
      </c>
      <c r="AE847">
        <v>1.8700000000000001E-2</v>
      </c>
      <c r="AF847" t="s">
        <v>2593</v>
      </c>
      <c r="AG847" t="s">
        <v>2590</v>
      </c>
    </row>
    <row r="848" spans="1:33">
      <c r="A848" s="2" t="s">
        <v>121</v>
      </c>
      <c r="B848" s="2" t="s">
        <v>65</v>
      </c>
      <c r="C848" s="1">
        <v>0.57363214500000004</v>
      </c>
      <c r="D848">
        <v>0.65876685800000001</v>
      </c>
      <c r="E848">
        <v>0.71110834000000001</v>
      </c>
      <c r="F848" s="1" t="s">
        <v>122</v>
      </c>
      <c r="G848" s="1">
        <v>2.4518664050000001</v>
      </c>
      <c r="H848" s="1">
        <v>50.1</v>
      </c>
      <c r="I848" s="1">
        <v>50.9</v>
      </c>
      <c r="J848" s="1">
        <v>0.64783578100000005</v>
      </c>
      <c r="K848" s="1">
        <v>0.67377447499999998</v>
      </c>
      <c r="L848" s="1">
        <v>0.69144672900000004</v>
      </c>
      <c r="M848" s="3">
        <v>0.73046409700000003</v>
      </c>
      <c r="N848" s="1" t="s">
        <v>66</v>
      </c>
      <c r="O848" s="1">
        <v>1.8507462690000001</v>
      </c>
      <c r="P848" s="1">
        <v>34.5</v>
      </c>
      <c r="Q848" s="1">
        <v>46.9</v>
      </c>
      <c r="R848" s="1">
        <v>0.69856176700000006</v>
      </c>
      <c r="S848" s="1">
        <v>0.10710324717509073</v>
      </c>
      <c r="T848" t="s">
        <v>995</v>
      </c>
      <c r="U848" s="1">
        <v>9390</v>
      </c>
      <c r="V848">
        <f t="shared" si="52"/>
        <v>0.44140728802956786</v>
      </c>
      <c r="W848" s="1">
        <f t="shared" si="53"/>
        <v>15.600000000000001</v>
      </c>
      <c r="X848">
        <f t="shared" si="54"/>
        <v>0.60112013600000003</v>
      </c>
      <c r="Y848">
        <f t="shared" si="55"/>
        <v>4</v>
      </c>
      <c r="Z848" s="1">
        <v>7</v>
      </c>
      <c r="AA848">
        <v>93</v>
      </c>
      <c r="AB848">
        <v>7.5300000000000006E-2</v>
      </c>
      <c r="AC848">
        <v>9</v>
      </c>
      <c r="AD848">
        <v>82</v>
      </c>
      <c r="AE848">
        <v>0.10979999999999999</v>
      </c>
      <c r="AF848" t="s">
        <v>2593</v>
      </c>
      <c r="AG848" t="s">
        <v>2593</v>
      </c>
    </row>
    <row r="849" spans="1:33">
      <c r="A849" s="2" t="s">
        <v>121</v>
      </c>
      <c r="B849" s="2" t="s">
        <v>67</v>
      </c>
      <c r="C849" s="1">
        <v>0.57363214500000004</v>
      </c>
      <c r="D849">
        <v>0.65876685800000001</v>
      </c>
      <c r="E849">
        <v>0.71110834000000001</v>
      </c>
      <c r="F849" s="1" t="s">
        <v>122</v>
      </c>
      <c r="G849" s="1">
        <v>2.4518664050000001</v>
      </c>
      <c r="H849" s="1">
        <v>50.1</v>
      </c>
      <c r="I849" s="1">
        <v>50.9</v>
      </c>
      <c r="J849" s="1">
        <v>0.64783578100000005</v>
      </c>
      <c r="K849" s="1">
        <v>0.53971122199999999</v>
      </c>
      <c r="L849" s="1">
        <v>0.621203065</v>
      </c>
      <c r="M849" s="3">
        <v>0.67806811499999997</v>
      </c>
      <c r="N849" s="1" t="s">
        <v>68</v>
      </c>
      <c r="O849" s="1">
        <v>1.5131894480000001</v>
      </c>
      <c r="P849" s="1">
        <v>27.2</v>
      </c>
      <c r="Q849" s="1">
        <v>41.7</v>
      </c>
      <c r="R849" s="1">
        <v>0.61299413400000002</v>
      </c>
      <c r="S849" s="1">
        <v>6.0442733473672496E-2</v>
      </c>
      <c r="T849" t="s">
        <v>996</v>
      </c>
      <c r="U849" s="1">
        <v>2202</v>
      </c>
      <c r="V849">
        <f t="shared" si="52"/>
        <v>0.37142414607063701</v>
      </c>
      <c r="W849" s="1">
        <f t="shared" si="53"/>
        <v>22.900000000000002</v>
      </c>
      <c r="X849">
        <f t="shared" si="54"/>
        <v>0.93867695699999998</v>
      </c>
      <c r="Y849">
        <f t="shared" si="55"/>
        <v>9.1999999999999957</v>
      </c>
      <c r="Z849" s="1">
        <v>2</v>
      </c>
      <c r="AA849">
        <v>98</v>
      </c>
      <c r="AB849">
        <v>2.0400000000000001E-2</v>
      </c>
      <c r="AC849">
        <v>3</v>
      </c>
      <c r="AD849">
        <v>99</v>
      </c>
      <c r="AE849">
        <v>3.0300000000000001E-2</v>
      </c>
      <c r="AF849" t="s">
        <v>2593</v>
      </c>
      <c r="AG849" t="s">
        <v>2588</v>
      </c>
    </row>
    <row r="850" spans="1:33">
      <c r="A850" s="2" t="s">
        <v>121</v>
      </c>
      <c r="B850" s="2" t="s">
        <v>69</v>
      </c>
      <c r="C850" s="1">
        <v>0.57363214500000004</v>
      </c>
      <c r="D850">
        <v>0.65876685800000001</v>
      </c>
      <c r="E850">
        <v>0.71110834000000001</v>
      </c>
      <c r="F850" s="1" t="s">
        <v>122</v>
      </c>
      <c r="G850" s="1">
        <v>2.4518664050000001</v>
      </c>
      <c r="H850" s="1">
        <v>50.1</v>
      </c>
      <c r="I850" s="1">
        <v>50.9</v>
      </c>
      <c r="J850" s="1">
        <v>0.64783578100000005</v>
      </c>
      <c r="K850" s="1">
        <v>0.50188385300000005</v>
      </c>
      <c r="L850" s="1">
        <v>0.64580031500000001</v>
      </c>
      <c r="M850" s="3">
        <v>0.66006355800000005</v>
      </c>
      <c r="N850" s="1" t="s">
        <v>70</v>
      </c>
      <c r="O850" s="1">
        <v>1.2401055409999999</v>
      </c>
      <c r="P850" s="1">
        <v>43.4</v>
      </c>
      <c r="Q850" s="1">
        <v>75.8</v>
      </c>
      <c r="R850" s="1">
        <v>0.60258257533333337</v>
      </c>
      <c r="S850" s="1">
        <v>8.9002912377717347E-2</v>
      </c>
      <c r="T850" t="s">
        <v>997</v>
      </c>
      <c r="U850" s="1">
        <v>1019</v>
      </c>
      <c r="V850">
        <f t="shared" si="52"/>
        <v>0.33424157600071402</v>
      </c>
      <c r="W850" s="1">
        <f t="shared" si="53"/>
        <v>6.7000000000000028</v>
      </c>
      <c r="X850">
        <f t="shared" si="54"/>
        <v>1.2117608640000002</v>
      </c>
      <c r="Y850">
        <f t="shared" si="55"/>
        <v>24.9</v>
      </c>
      <c r="Z850" s="1">
        <v>2</v>
      </c>
      <c r="AA850">
        <v>98</v>
      </c>
      <c r="AB850">
        <v>2.0400000000000001E-2</v>
      </c>
      <c r="AC850">
        <v>3</v>
      </c>
      <c r="AD850">
        <v>106</v>
      </c>
      <c r="AE850">
        <v>2.8299999999999999E-2</v>
      </c>
      <c r="AF850" t="s">
        <v>2593</v>
      </c>
      <c r="AG850" t="s">
        <v>2589</v>
      </c>
    </row>
    <row r="851" spans="1:33">
      <c r="A851" s="2" t="s">
        <v>121</v>
      </c>
      <c r="B851" s="2" t="s">
        <v>71</v>
      </c>
      <c r="C851" s="1">
        <v>0.57363214500000004</v>
      </c>
      <c r="D851">
        <v>0.65876685800000001</v>
      </c>
      <c r="E851">
        <v>0.71110834000000001</v>
      </c>
      <c r="F851" s="1" t="s">
        <v>122</v>
      </c>
      <c r="G851" s="1">
        <v>2.4518664050000001</v>
      </c>
      <c r="H851" s="1">
        <v>50.1</v>
      </c>
      <c r="I851" s="1">
        <v>50.9</v>
      </c>
      <c r="J851" s="1">
        <v>0.64783578100000005</v>
      </c>
      <c r="K851" s="1">
        <v>0.53267569100000001</v>
      </c>
      <c r="L851" s="1">
        <v>0.64507433599999997</v>
      </c>
      <c r="M851" s="3">
        <v>0.66598465100000004</v>
      </c>
      <c r="N851" s="1" t="s">
        <v>72</v>
      </c>
      <c r="O851" s="1">
        <v>0.97289666900000005</v>
      </c>
      <c r="P851" s="1">
        <v>64.8</v>
      </c>
      <c r="Q851" s="1">
        <v>177.1</v>
      </c>
      <c r="R851" s="1">
        <v>0.61457822600000001</v>
      </c>
      <c r="S851" s="1">
        <v>6.2458494954195955E-2</v>
      </c>
      <c r="T851" t="s">
        <v>998</v>
      </c>
      <c r="U851" s="1">
        <v>4573</v>
      </c>
      <c r="V851">
        <f t="shared" si="52"/>
        <v>0.40668902237563131</v>
      </c>
      <c r="W851" s="1">
        <f t="shared" si="53"/>
        <v>14.699999999999996</v>
      </c>
      <c r="X851">
        <f t="shared" si="54"/>
        <v>1.478969736</v>
      </c>
      <c r="Y851">
        <f t="shared" si="55"/>
        <v>126.19999999999999</v>
      </c>
      <c r="Z851" s="1">
        <v>4</v>
      </c>
      <c r="AA851">
        <v>96</v>
      </c>
      <c r="AB851">
        <v>4.1700000000000001E-2</v>
      </c>
      <c r="AC851">
        <v>4</v>
      </c>
      <c r="AD851">
        <v>116</v>
      </c>
      <c r="AE851">
        <v>3.4500000000000003E-2</v>
      </c>
      <c r="AF851" t="s">
        <v>2593</v>
      </c>
      <c r="AG851" t="s">
        <v>2589</v>
      </c>
    </row>
    <row r="852" spans="1:33">
      <c r="A852" s="2" t="s">
        <v>121</v>
      </c>
      <c r="B852" s="2" t="s">
        <v>73</v>
      </c>
      <c r="C852" s="1">
        <v>0.57363214500000004</v>
      </c>
      <c r="D852">
        <v>0.65876685800000001</v>
      </c>
      <c r="E852">
        <v>0.71110834000000001</v>
      </c>
      <c r="F852" s="1" t="s">
        <v>122</v>
      </c>
      <c r="G852" s="1">
        <v>2.4518664050000001</v>
      </c>
      <c r="H852" s="1">
        <v>50.1</v>
      </c>
      <c r="I852" s="1">
        <v>50.9</v>
      </c>
      <c r="J852" s="1">
        <v>0.64783578100000005</v>
      </c>
      <c r="K852" s="1">
        <v>0.55697925299999995</v>
      </c>
      <c r="L852" s="1">
        <v>0.64461978399999997</v>
      </c>
      <c r="M852" s="3">
        <v>0.69570690000000002</v>
      </c>
      <c r="N852" s="1" t="s">
        <v>74</v>
      </c>
      <c r="O852" s="1">
        <v>1.23433584</v>
      </c>
      <c r="P852" s="1">
        <v>44</v>
      </c>
      <c r="Q852" s="1">
        <v>79.8</v>
      </c>
      <c r="R852" s="1">
        <v>0.63243531233333328</v>
      </c>
      <c r="S852" s="1">
        <v>2.6733179174926867E-2</v>
      </c>
      <c r="T852" t="s">
        <v>999</v>
      </c>
      <c r="U852" s="1">
        <v>690</v>
      </c>
      <c r="V852">
        <f t="shared" si="52"/>
        <v>0.31542767674858391</v>
      </c>
      <c r="W852" s="1">
        <f t="shared" si="53"/>
        <v>6.1000000000000014</v>
      </c>
      <c r="X852">
        <f t="shared" si="54"/>
        <v>1.2175305650000001</v>
      </c>
      <c r="Y852">
        <f t="shared" si="55"/>
        <v>28.9</v>
      </c>
      <c r="Z852" s="1">
        <v>1</v>
      </c>
      <c r="AA852">
        <v>99</v>
      </c>
      <c r="AB852">
        <v>1.01E-2</v>
      </c>
      <c r="AC852">
        <v>2</v>
      </c>
      <c r="AD852">
        <v>103</v>
      </c>
      <c r="AE852">
        <v>1.9400000000000001E-2</v>
      </c>
      <c r="AF852" t="s">
        <v>2593</v>
      </c>
      <c r="AG852" t="s">
        <v>2589</v>
      </c>
    </row>
    <row r="853" spans="1:33">
      <c r="A853" s="2" t="s">
        <v>121</v>
      </c>
      <c r="B853" s="2" t="s">
        <v>75</v>
      </c>
      <c r="C853" s="1">
        <v>0.57363214500000004</v>
      </c>
      <c r="D853">
        <v>0.65876685800000001</v>
      </c>
      <c r="E853">
        <v>0.71110834000000001</v>
      </c>
      <c r="F853" s="1" t="s">
        <v>122</v>
      </c>
      <c r="G853" s="1">
        <v>2.4518664050000001</v>
      </c>
      <c r="H853" s="1">
        <v>50.1</v>
      </c>
      <c r="I853" s="1">
        <v>50.9</v>
      </c>
      <c r="J853" s="1">
        <v>0.64783578100000005</v>
      </c>
      <c r="K853" s="1">
        <v>0.50354843500000002</v>
      </c>
      <c r="L853" s="1">
        <v>0.59724402499999996</v>
      </c>
      <c r="M853" s="3">
        <v>0.70308254199999998</v>
      </c>
      <c r="N853" s="1" t="s">
        <v>76</v>
      </c>
      <c r="O853" s="1">
        <v>1.2696850390000001</v>
      </c>
      <c r="P853" s="1">
        <v>26.6</v>
      </c>
      <c r="Q853" s="1">
        <v>50.8</v>
      </c>
      <c r="R853" s="1">
        <v>0.60129166733333339</v>
      </c>
      <c r="S853" s="1">
        <v>9.3601275745829465E-2</v>
      </c>
      <c r="T853" t="s">
        <v>1000</v>
      </c>
      <c r="U853" s="1">
        <v>1747</v>
      </c>
      <c r="V853">
        <f t="shared" si="52"/>
        <v>0.36025476722032562</v>
      </c>
      <c r="W853" s="1">
        <f t="shared" si="53"/>
        <v>23.5</v>
      </c>
      <c r="X853">
        <f t="shared" si="54"/>
        <v>1.182181366</v>
      </c>
      <c r="Y853">
        <f t="shared" si="55"/>
        <v>0.10000000000000142</v>
      </c>
      <c r="Z853" s="1">
        <v>2</v>
      </c>
      <c r="AA853">
        <v>98</v>
      </c>
      <c r="AB853">
        <v>2.0400000000000001E-2</v>
      </c>
      <c r="AC853">
        <v>3</v>
      </c>
      <c r="AD853">
        <v>102</v>
      </c>
      <c r="AE853">
        <v>2.9399999999999999E-2</v>
      </c>
      <c r="AF853" t="s">
        <v>2593</v>
      </c>
      <c r="AG853" t="s">
        <v>2594</v>
      </c>
    </row>
    <row r="854" spans="1:33">
      <c r="A854" s="2" t="s">
        <v>121</v>
      </c>
      <c r="B854" s="2" t="s">
        <v>77</v>
      </c>
      <c r="C854" s="1">
        <v>0.57363214500000004</v>
      </c>
      <c r="D854">
        <v>0.65876685800000001</v>
      </c>
      <c r="E854">
        <v>0.71110834000000001</v>
      </c>
      <c r="F854" s="1" t="s">
        <v>122</v>
      </c>
      <c r="G854" s="1">
        <v>2.4518664050000001</v>
      </c>
      <c r="H854" s="1">
        <v>50.1</v>
      </c>
      <c r="I854" s="1">
        <v>50.9</v>
      </c>
      <c r="J854" s="1">
        <v>0.64783578100000005</v>
      </c>
      <c r="K854" s="1">
        <v>0.54630843299999998</v>
      </c>
      <c r="L854" s="1">
        <v>0.68935555900000001</v>
      </c>
      <c r="M854" s="3">
        <v>0.65478744899999997</v>
      </c>
      <c r="N854" s="1" t="s">
        <v>78</v>
      </c>
      <c r="O854" s="1">
        <v>1.3914285710000001</v>
      </c>
      <c r="P854" s="1">
        <v>56.5</v>
      </c>
      <c r="Q854" s="1">
        <v>105</v>
      </c>
      <c r="R854" s="1">
        <v>0.63015048033333343</v>
      </c>
      <c r="S854" s="1">
        <v>6.9672782557898702E-2</v>
      </c>
      <c r="T854" t="s">
        <v>1001</v>
      </c>
      <c r="U854" s="1">
        <v>842</v>
      </c>
      <c r="V854">
        <f t="shared" si="52"/>
        <v>0.3250346768332944</v>
      </c>
      <c r="W854" s="1">
        <f t="shared" si="53"/>
        <v>6.3999999999999986</v>
      </c>
      <c r="X854">
        <f t="shared" si="54"/>
        <v>1.060437834</v>
      </c>
      <c r="Y854">
        <f t="shared" si="55"/>
        <v>54.1</v>
      </c>
      <c r="Z854" s="1">
        <v>2</v>
      </c>
      <c r="AA854">
        <v>98</v>
      </c>
      <c r="AB854">
        <v>2.0400000000000001E-2</v>
      </c>
      <c r="AC854">
        <v>3</v>
      </c>
      <c r="AD854">
        <v>91</v>
      </c>
      <c r="AE854">
        <v>3.3000000000000002E-2</v>
      </c>
      <c r="AF854" t="s">
        <v>2593</v>
      </c>
      <c r="AG854" t="s">
        <v>2590</v>
      </c>
    </row>
    <row r="855" spans="1:33">
      <c r="A855" s="2" t="s">
        <v>121</v>
      </c>
      <c r="B855" s="2" t="s">
        <v>79</v>
      </c>
      <c r="C855" s="1">
        <v>0.57363214500000004</v>
      </c>
      <c r="D855">
        <v>0.65876685800000001</v>
      </c>
      <c r="E855">
        <v>0.71110834000000001</v>
      </c>
      <c r="F855" s="1" t="s">
        <v>122</v>
      </c>
      <c r="G855" s="1">
        <v>2.4518664050000001</v>
      </c>
      <c r="H855" s="1">
        <v>50.1</v>
      </c>
      <c r="I855" s="1">
        <v>50.9</v>
      </c>
      <c r="J855" s="1">
        <v>0.64783578100000005</v>
      </c>
      <c r="K855" s="1">
        <v>0.63652882899999996</v>
      </c>
      <c r="L855" s="1">
        <v>0.77536518600000004</v>
      </c>
      <c r="M855" s="3">
        <v>0.610415606</v>
      </c>
      <c r="N855" s="1" t="s">
        <v>80</v>
      </c>
      <c r="O855" s="1">
        <v>0.95325542600000002</v>
      </c>
      <c r="P855" s="1">
        <v>45.6</v>
      </c>
      <c r="Q855" s="1">
        <v>119.8</v>
      </c>
      <c r="R855" s="1">
        <v>0.67410320700000004</v>
      </c>
      <c r="S855" s="1">
        <v>0.16640369476362654</v>
      </c>
      <c r="T855" t="s">
        <v>1002</v>
      </c>
      <c r="U855" s="1">
        <v>948</v>
      </c>
      <c r="V855">
        <f t="shared" si="52"/>
        <v>0.3307564819264518</v>
      </c>
      <c r="W855" s="1">
        <f t="shared" si="53"/>
        <v>4.5</v>
      </c>
      <c r="X855">
        <f t="shared" si="54"/>
        <v>1.498610979</v>
      </c>
      <c r="Y855">
        <f t="shared" si="55"/>
        <v>68.900000000000006</v>
      </c>
      <c r="Z855" s="1">
        <v>1</v>
      </c>
      <c r="AA855">
        <v>99</v>
      </c>
      <c r="AB855">
        <v>1.01E-2</v>
      </c>
      <c r="AC855">
        <v>2</v>
      </c>
      <c r="AD855">
        <v>83</v>
      </c>
      <c r="AE855">
        <v>2.41E-2</v>
      </c>
      <c r="AF855" t="s">
        <v>2593</v>
      </c>
      <c r="AG855" t="s">
        <v>2590</v>
      </c>
    </row>
    <row r="856" spans="1:33">
      <c r="A856" s="2" t="s">
        <v>121</v>
      </c>
      <c r="B856" s="2" t="s">
        <v>81</v>
      </c>
      <c r="C856" s="1">
        <v>0.57363214500000004</v>
      </c>
      <c r="D856">
        <v>0.65876685800000001</v>
      </c>
      <c r="E856">
        <v>0.71110834000000001</v>
      </c>
      <c r="F856" s="1" t="s">
        <v>122</v>
      </c>
      <c r="G856" s="1">
        <v>2.4518664050000001</v>
      </c>
      <c r="H856" s="1">
        <v>50.1</v>
      </c>
      <c r="I856" s="1">
        <v>50.9</v>
      </c>
      <c r="J856" s="1">
        <v>0.64783578100000005</v>
      </c>
      <c r="K856" s="1">
        <v>0.50183280699999999</v>
      </c>
      <c r="L856" s="1">
        <v>0.68550824600000004</v>
      </c>
      <c r="M856" s="3">
        <v>0.66941488999999998</v>
      </c>
      <c r="N856" s="1" t="s">
        <v>82</v>
      </c>
      <c r="O856" s="1">
        <v>1.4359576970000001</v>
      </c>
      <c r="P856" s="1">
        <v>51</v>
      </c>
      <c r="Q856" s="1">
        <v>85.1</v>
      </c>
      <c r="R856" s="1">
        <v>0.61891864766666671</v>
      </c>
      <c r="S856" s="1">
        <v>8.7227235094936365E-2</v>
      </c>
      <c r="T856" t="s">
        <v>1003</v>
      </c>
      <c r="U856" s="1">
        <v>2933</v>
      </c>
      <c r="V856">
        <f t="shared" si="52"/>
        <v>0.38525689588672801</v>
      </c>
      <c r="W856" s="1">
        <f t="shared" si="53"/>
        <v>0.89999999999999858</v>
      </c>
      <c r="X856">
        <f t="shared" si="54"/>
        <v>1.015908708</v>
      </c>
      <c r="Y856">
        <f t="shared" si="55"/>
        <v>34.199999999999996</v>
      </c>
      <c r="Z856" s="1">
        <v>3</v>
      </c>
      <c r="AA856">
        <v>97</v>
      </c>
      <c r="AB856">
        <v>3.09E-2</v>
      </c>
      <c r="AC856">
        <v>3</v>
      </c>
      <c r="AD856">
        <v>93</v>
      </c>
      <c r="AE856">
        <v>3.2300000000000002E-2</v>
      </c>
      <c r="AF856" t="s">
        <v>2593</v>
      </c>
      <c r="AG856" t="s">
        <v>2589</v>
      </c>
    </row>
    <row r="857" spans="1:33">
      <c r="A857" s="2" t="s">
        <v>121</v>
      </c>
      <c r="B857" s="2" t="s">
        <v>83</v>
      </c>
      <c r="C857" s="1">
        <v>0.57363214500000004</v>
      </c>
      <c r="D857">
        <v>0.65876685800000001</v>
      </c>
      <c r="E857">
        <v>0.71110834000000001</v>
      </c>
      <c r="F857" s="1" t="s">
        <v>122</v>
      </c>
      <c r="G857" s="1">
        <v>2.4518664050000001</v>
      </c>
      <c r="H857" s="1">
        <v>50.1</v>
      </c>
      <c r="I857" s="1">
        <v>50.9</v>
      </c>
      <c r="J857" s="1">
        <v>0.64783578100000005</v>
      </c>
      <c r="K857" s="1">
        <v>0.51815179099999997</v>
      </c>
      <c r="L857" s="1">
        <v>0.50115949400000004</v>
      </c>
      <c r="M857" s="3">
        <v>0.68053170600000001</v>
      </c>
      <c r="N857" s="1" t="s">
        <v>84</v>
      </c>
      <c r="O857" s="1">
        <v>1.760323887</v>
      </c>
      <c r="P857" s="1">
        <v>83.4</v>
      </c>
      <c r="Q857" s="1">
        <v>123.5</v>
      </c>
      <c r="R857" s="1">
        <v>0.56661433033333342</v>
      </c>
      <c r="S857" s="1">
        <v>0.16986194810422894</v>
      </c>
      <c r="T857" t="s">
        <v>1004</v>
      </c>
      <c r="U857" s="1">
        <v>5208</v>
      </c>
      <c r="V857">
        <f t="shared" si="52"/>
        <v>0.41296344172890392</v>
      </c>
      <c r="W857" s="1">
        <f t="shared" si="53"/>
        <v>33.300000000000004</v>
      </c>
      <c r="X857">
        <f t="shared" si="54"/>
        <v>0.69154251800000011</v>
      </c>
      <c r="Y857">
        <f t="shared" si="55"/>
        <v>72.599999999999994</v>
      </c>
      <c r="Z857" s="1">
        <v>1</v>
      </c>
      <c r="AA857">
        <v>99</v>
      </c>
      <c r="AB857">
        <v>1.01E-2</v>
      </c>
      <c r="AC857">
        <v>2</v>
      </c>
      <c r="AD857">
        <v>89</v>
      </c>
      <c r="AE857">
        <v>2.2499999999999999E-2</v>
      </c>
      <c r="AF857" t="s">
        <v>2593</v>
      </c>
      <c r="AG857" t="s">
        <v>2589</v>
      </c>
    </row>
    <row r="858" spans="1:33">
      <c r="A858" s="2" t="s">
        <v>121</v>
      </c>
      <c r="B858" s="2" t="s">
        <v>85</v>
      </c>
      <c r="C858" s="1">
        <v>0.57363214500000004</v>
      </c>
      <c r="D858">
        <v>0.65876685800000001</v>
      </c>
      <c r="E858">
        <v>0.71110834000000001</v>
      </c>
      <c r="F858" s="1" t="s">
        <v>122</v>
      </c>
      <c r="G858" s="1">
        <v>2.4518664050000001</v>
      </c>
      <c r="H858" s="1">
        <v>50.1</v>
      </c>
      <c r="I858" s="1">
        <v>50.9</v>
      </c>
      <c r="J858" s="1">
        <v>0.64783578100000005</v>
      </c>
      <c r="K858" s="1">
        <v>0.522280945</v>
      </c>
      <c r="L858" s="1">
        <v>0.58016629799999997</v>
      </c>
      <c r="M858" s="3">
        <v>0.62446713499999995</v>
      </c>
      <c r="N858" s="1" t="s">
        <v>86</v>
      </c>
      <c r="O858" s="1">
        <v>0.57177615599999998</v>
      </c>
      <c r="P858" s="1">
        <v>19.5</v>
      </c>
      <c r="Q858" s="1">
        <v>82.2</v>
      </c>
      <c r="R858" s="1">
        <v>0.57563812599999997</v>
      </c>
      <c r="S858" s="1">
        <v>0.12775637822670791</v>
      </c>
      <c r="T858" t="s">
        <v>1005</v>
      </c>
      <c r="U858" s="1">
        <v>211</v>
      </c>
      <c r="V858">
        <f t="shared" si="52"/>
        <v>0.25825360614418807</v>
      </c>
      <c r="W858" s="1">
        <f t="shared" si="53"/>
        <v>30.6</v>
      </c>
      <c r="X858">
        <f t="shared" si="54"/>
        <v>1.8800902490000002</v>
      </c>
      <c r="Y858">
        <f t="shared" si="55"/>
        <v>31.300000000000004</v>
      </c>
      <c r="Z858" s="1">
        <v>1</v>
      </c>
      <c r="AA858">
        <v>99</v>
      </c>
      <c r="AB858">
        <v>1.01E-2</v>
      </c>
      <c r="AC858">
        <v>2</v>
      </c>
      <c r="AD858">
        <v>154</v>
      </c>
      <c r="AE858">
        <v>1.2999999999999999E-2</v>
      </c>
      <c r="AF858" t="s">
        <v>2593</v>
      </c>
      <c r="AG858" t="s">
        <v>2590</v>
      </c>
    </row>
    <row r="859" spans="1:33">
      <c r="A859" s="2" t="s">
        <v>121</v>
      </c>
      <c r="B859" s="2" t="s">
        <v>87</v>
      </c>
      <c r="C859" s="1">
        <v>0.57363214500000004</v>
      </c>
      <c r="D859">
        <v>0.65876685800000001</v>
      </c>
      <c r="E859">
        <v>0.71110834000000001</v>
      </c>
      <c r="F859" s="1" t="s">
        <v>122</v>
      </c>
      <c r="G859" s="1">
        <v>2.4518664050000001</v>
      </c>
      <c r="H859" s="1">
        <v>50.1</v>
      </c>
      <c r="I859" s="1">
        <v>50.9</v>
      </c>
      <c r="J859" s="1">
        <v>0.64783578100000005</v>
      </c>
      <c r="K859" s="1">
        <v>0.46780425199999998</v>
      </c>
      <c r="L859" s="1">
        <v>0.54149707400000002</v>
      </c>
      <c r="M859" s="3">
        <v>0.61626236400000001</v>
      </c>
      <c r="N859" s="1" t="s">
        <v>88</v>
      </c>
      <c r="O859" s="1">
        <v>1.395454545</v>
      </c>
      <c r="P859" s="1">
        <v>65.2</v>
      </c>
      <c r="Q859" s="1">
        <v>110</v>
      </c>
      <c r="R859" s="1">
        <v>0.54185456333333337</v>
      </c>
      <c r="S859" s="1">
        <v>0.18424848531159949</v>
      </c>
      <c r="T859" t="s">
        <v>1006</v>
      </c>
      <c r="U859" s="1">
        <v>6134</v>
      </c>
      <c r="V859">
        <f t="shared" si="52"/>
        <v>0.42086041907182964</v>
      </c>
      <c r="W859" s="1">
        <f t="shared" si="53"/>
        <v>15.100000000000001</v>
      </c>
      <c r="X859">
        <f t="shared" si="54"/>
        <v>1.0564118600000001</v>
      </c>
      <c r="Y859">
        <f t="shared" si="55"/>
        <v>59.1</v>
      </c>
      <c r="Z859" s="1">
        <v>1</v>
      </c>
      <c r="AA859">
        <v>99</v>
      </c>
      <c r="AB859">
        <v>1.01E-2</v>
      </c>
      <c r="AC859">
        <v>2</v>
      </c>
      <c r="AD859">
        <v>87</v>
      </c>
      <c r="AE859">
        <v>2.3E-2</v>
      </c>
      <c r="AF859" t="s">
        <v>2593</v>
      </c>
      <c r="AG859" t="s">
        <v>2590</v>
      </c>
    </row>
    <row r="860" spans="1:33">
      <c r="A860" s="2" t="s">
        <v>121</v>
      </c>
      <c r="B860" s="2" t="s">
        <v>89</v>
      </c>
      <c r="C860" s="1">
        <v>0.57363214500000004</v>
      </c>
      <c r="D860">
        <v>0.65876685800000001</v>
      </c>
      <c r="E860">
        <v>0.71110834000000001</v>
      </c>
      <c r="F860" s="1" t="s">
        <v>122</v>
      </c>
      <c r="G860" s="1">
        <v>2.4518664050000001</v>
      </c>
      <c r="H860" s="1">
        <v>50.1</v>
      </c>
      <c r="I860" s="1">
        <v>50.9</v>
      </c>
      <c r="J860" s="1">
        <v>0.64783578100000005</v>
      </c>
      <c r="K860" s="1">
        <v>0.51097051500000001</v>
      </c>
      <c r="L860" s="1">
        <v>0.61917891400000002</v>
      </c>
      <c r="M860" s="3">
        <v>0.60984479800000002</v>
      </c>
      <c r="N860" s="1" t="s">
        <v>90</v>
      </c>
      <c r="O860" s="1">
        <v>1.429752066</v>
      </c>
      <c r="P860" s="1">
        <v>59.8</v>
      </c>
      <c r="Q860" s="1">
        <v>108.9</v>
      </c>
      <c r="R860" s="1">
        <v>0.57999807566666661</v>
      </c>
      <c r="S860" s="1">
        <v>0.12549099618215562</v>
      </c>
      <c r="T860" t="s">
        <v>1007</v>
      </c>
      <c r="U860" s="1">
        <v>8520</v>
      </c>
      <c r="V860">
        <f t="shared" si="52"/>
        <v>0.43671551052963337</v>
      </c>
      <c r="W860" s="1">
        <f t="shared" si="53"/>
        <v>9.6999999999999957</v>
      </c>
      <c r="X860">
        <f t="shared" si="54"/>
        <v>1.022114339</v>
      </c>
      <c r="Y860">
        <f t="shared" si="55"/>
        <v>58.000000000000007</v>
      </c>
      <c r="Z860" s="1">
        <v>1</v>
      </c>
      <c r="AA860">
        <v>99</v>
      </c>
      <c r="AB860">
        <v>1.01E-2</v>
      </c>
      <c r="AC860">
        <v>2</v>
      </c>
      <c r="AD860">
        <v>96</v>
      </c>
      <c r="AE860">
        <v>2.0799999999999999E-2</v>
      </c>
      <c r="AF860" t="s">
        <v>2593</v>
      </c>
      <c r="AG860" t="s">
        <v>2589</v>
      </c>
    </row>
    <row r="861" spans="1:33">
      <c r="A861" s="2" t="s">
        <v>121</v>
      </c>
      <c r="B861" s="2" t="s">
        <v>91</v>
      </c>
      <c r="C861" s="1">
        <v>0.57363214500000004</v>
      </c>
      <c r="D861">
        <v>0.65876685800000001</v>
      </c>
      <c r="E861">
        <v>0.71110834000000001</v>
      </c>
      <c r="F861" s="1" t="s">
        <v>122</v>
      </c>
      <c r="G861" s="1">
        <v>2.4518664050000001</v>
      </c>
      <c r="H861" s="1">
        <v>50.1</v>
      </c>
      <c r="I861" s="1">
        <v>50.9</v>
      </c>
      <c r="J861" s="1">
        <v>0.64783578100000005</v>
      </c>
      <c r="K861" s="1">
        <v>0.37439919700000002</v>
      </c>
      <c r="L861" s="1">
        <v>0.508839347</v>
      </c>
      <c r="M861" s="3">
        <v>0.52701193599999996</v>
      </c>
      <c r="N861" s="1" t="s">
        <v>92</v>
      </c>
      <c r="O861" s="1">
        <v>1.911504425</v>
      </c>
      <c r="P861" s="1">
        <v>24.6</v>
      </c>
      <c r="Q861" s="1">
        <v>33.9</v>
      </c>
      <c r="R861" s="1">
        <v>0.47008349333333332</v>
      </c>
      <c r="S861" s="1">
        <v>0.30994114294355479</v>
      </c>
      <c r="T861" t="s">
        <v>1008</v>
      </c>
      <c r="U861" s="1">
        <v>1010</v>
      </c>
      <c r="V861">
        <f t="shared" si="52"/>
        <v>0.3338134859758492</v>
      </c>
      <c r="W861" s="1">
        <f t="shared" si="53"/>
        <v>25.5</v>
      </c>
      <c r="X861">
        <f t="shared" si="54"/>
        <v>0.54036198000000013</v>
      </c>
      <c r="Y861">
        <f t="shared" si="55"/>
        <v>17</v>
      </c>
      <c r="Z861" s="1">
        <v>1</v>
      </c>
      <c r="AA861">
        <v>99</v>
      </c>
      <c r="AB861">
        <v>1.01E-2</v>
      </c>
      <c r="AC861">
        <v>2</v>
      </c>
      <c r="AD861">
        <v>103</v>
      </c>
      <c r="AE861">
        <v>1.9400000000000001E-2</v>
      </c>
      <c r="AF861" t="s">
        <v>2593</v>
      </c>
      <c r="AG861" t="s">
        <v>2590</v>
      </c>
    </row>
    <row r="862" spans="1:33">
      <c r="A862" s="2" t="s">
        <v>121</v>
      </c>
      <c r="B862" s="2" t="s">
        <v>93</v>
      </c>
      <c r="C862" s="1">
        <v>0.57363214500000004</v>
      </c>
      <c r="D862">
        <v>0.65876685800000001</v>
      </c>
      <c r="E862">
        <v>0.71110834000000001</v>
      </c>
      <c r="F862" s="1" t="s">
        <v>122</v>
      </c>
      <c r="G862" s="1">
        <v>2.4518664050000001</v>
      </c>
      <c r="H862" s="1">
        <v>50.1</v>
      </c>
      <c r="I862" s="1">
        <v>50.9</v>
      </c>
      <c r="J862" s="1">
        <v>0.64783578100000005</v>
      </c>
      <c r="K862" s="1">
        <v>0.54134617200000001</v>
      </c>
      <c r="L862" s="1">
        <v>0.674899633</v>
      </c>
      <c r="M862" s="3">
        <v>0.719840174</v>
      </c>
      <c r="N862" s="1" t="s">
        <v>94</v>
      </c>
      <c r="O862" s="1">
        <v>1.175388967</v>
      </c>
      <c r="P862" s="1">
        <v>36.6</v>
      </c>
      <c r="Q862" s="1">
        <v>70.7</v>
      </c>
      <c r="R862" s="1">
        <v>0.64536199299999997</v>
      </c>
      <c r="S862" s="1">
        <v>3.713348094053278E-2</v>
      </c>
      <c r="T862" t="s">
        <v>1009</v>
      </c>
      <c r="U862" s="1">
        <v>955</v>
      </c>
      <c r="V862">
        <f t="shared" si="52"/>
        <v>0.33111148573152738</v>
      </c>
      <c r="W862" s="1">
        <f t="shared" si="53"/>
        <v>13.5</v>
      </c>
      <c r="X862">
        <f t="shared" si="54"/>
        <v>1.2764774380000001</v>
      </c>
      <c r="Y862">
        <f t="shared" si="55"/>
        <v>19.800000000000004</v>
      </c>
      <c r="Z862" s="1">
        <v>1</v>
      </c>
      <c r="AA862">
        <v>99</v>
      </c>
      <c r="AB862">
        <v>1.01E-2</v>
      </c>
      <c r="AC862">
        <v>2</v>
      </c>
      <c r="AD862">
        <v>94</v>
      </c>
      <c r="AE862">
        <v>2.1299999999999999E-2</v>
      </c>
      <c r="AF862" t="s">
        <v>2593</v>
      </c>
      <c r="AG862" t="s">
        <v>2589</v>
      </c>
    </row>
    <row r="863" spans="1:33">
      <c r="A863" s="2" t="s">
        <v>121</v>
      </c>
      <c r="B863" s="2" t="s">
        <v>95</v>
      </c>
      <c r="C863" s="1">
        <v>0.57363214500000004</v>
      </c>
      <c r="D863">
        <v>0.65876685800000001</v>
      </c>
      <c r="E863">
        <v>0.71110834000000001</v>
      </c>
      <c r="F863" s="1" t="s">
        <v>122</v>
      </c>
      <c r="G863" s="1">
        <v>2.4518664050000001</v>
      </c>
      <c r="H863" s="1">
        <v>50.1</v>
      </c>
      <c r="I863" s="1">
        <v>50.9</v>
      </c>
      <c r="J863" s="1">
        <v>0.64783578100000005</v>
      </c>
      <c r="K863" s="1">
        <v>0.59462093100000002</v>
      </c>
      <c r="L863" s="1">
        <v>0.68038960500000001</v>
      </c>
      <c r="M863" s="3">
        <v>0.72533004899999998</v>
      </c>
      <c r="N863" s="1" t="s">
        <v>96</v>
      </c>
      <c r="O863" s="1">
        <v>1.9717647060000001</v>
      </c>
      <c r="P863" s="1">
        <v>34.6</v>
      </c>
      <c r="Q863" s="1">
        <v>42.5</v>
      </c>
      <c r="R863" s="1">
        <v>0.66678019499999996</v>
      </c>
      <c r="S863" s="1">
        <v>3.3321604590122671E-2</v>
      </c>
      <c r="T863" t="s">
        <v>1010</v>
      </c>
      <c r="U863" s="1">
        <v>41213</v>
      </c>
      <c r="V863">
        <f t="shared" si="52"/>
        <v>0.51278158100941718</v>
      </c>
      <c r="W863" s="1">
        <f t="shared" si="53"/>
        <v>15.5</v>
      </c>
      <c r="X863">
        <f t="shared" si="54"/>
        <v>0.48010169899999999</v>
      </c>
      <c r="Y863">
        <f t="shared" si="55"/>
        <v>8.3999999999999986</v>
      </c>
      <c r="Z863" s="1">
        <v>28</v>
      </c>
      <c r="AA863">
        <v>72</v>
      </c>
      <c r="AB863">
        <v>0.38890000000000002</v>
      </c>
      <c r="AC863">
        <v>31</v>
      </c>
      <c r="AD863">
        <v>71</v>
      </c>
      <c r="AE863">
        <v>0.43659999999999999</v>
      </c>
      <c r="AF863" t="s">
        <v>2593</v>
      </c>
      <c r="AG863" t="s">
        <v>2593</v>
      </c>
    </row>
    <row r="864" spans="1:33">
      <c r="A864" s="2" t="s">
        <v>121</v>
      </c>
      <c r="B864" s="2" t="s">
        <v>97</v>
      </c>
      <c r="C864" s="1">
        <v>0.57363214500000004</v>
      </c>
      <c r="D864">
        <v>0.65876685800000001</v>
      </c>
      <c r="E864">
        <v>0.71110834000000001</v>
      </c>
      <c r="F864" s="1" t="s">
        <v>122</v>
      </c>
      <c r="G864" s="1">
        <v>2.4518664050000001</v>
      </c>
      <c r="H864" s="1">
        <v>50.1</v>
      </c>
      <c r="I864" s="1">
        <v>50.9</v>
      </c>
      <c r="J864" s="1">
        <v>0.64783578100000005</v>
      </c>
      <c r="K864" s="1">
        <v>0.63674842300000001</v>
      </c>
      <c r="L864" s="1">
        <v>0.68532635500000005</v>
      </c>
      <c r="M864" s="3">
        <v>0.727031494</v>
      </c>
      <c r="N864" s="1" t="s">
        <v>98</v>
      </c>
      <c r="O864" s="1">
        <v>2.360103627</v>
      </c>
      <c r="P864" s="1">
        <v>36.799999999999997</v>
      </c>
      <c r="Q864" s="1">
        <v>38.6</v>
      </c>
      <c r="R864" s="1">
        <v>0.68303542400000017</v>
      </c>
      <c r="S864" s="1">
        <v>7.0303757102832043E-2</v>
      </c>
      <c r="T864" t="s">
        <v>1011</v>
      </c>
      <c r="U864" s="1">
        <v>24581</v>
      </c>
      <c r="V864">
        <f t="shared" si="52"/>
        <v>0.48784439408922137</v>
      </c>
      <c r="W864" s="1">
        <f t="shared" si="53"/>
        <v>13.300000000000004</v>
      </c>
      <c r="X864">
        <f t="shared" si="54"/>
        <v>9.17627780000001E-2</v>
      </c>
      <c r="Y864">
        <f t="shared" si="55"/>
        <v>12.299999999999997</v>
      </c>
      <c r="Z864" s="1">
        <v>17</v>
      </c>
      <c r="AA864">
        <v>83</v>
      </c>
      <c r="AB864">
        <v>0.20480000000000001</v>
      </c>
      <c r="AC864">
        <v>22</v>
      </c>
      <c r="AD864">
        <v>80</v>
      </c>
      <c r="AE864">
        <v>0.27500000000000002</v>
      </c>
      <c r="AF864" t="s">
        <v>2593</v>
      </c>
      <c r="AG864" t="s">
        <v>2593</v>
      </c>
    </row>
    <row r="865" spans="1:33">
      <c r="A865" s="2" t="s">
        <v>121</v>
      </c>
      <c r="B865" s="2" t="s">
        <v>99</v>
      </c>
      <c r="C865" s="1">
        <v>0.57363214500000004</v>
      </c>
      <c r="D865">
        <v>0.65876685800000001</v>
      </c>
      <c r="E865">
        <v>0.71110834000000001</v>
      </c>
      <c r="F865" s="1" t="s">
        <v>122</v>
      </c>
      <c r="G865" s="1">
        <v>2.4518664050000001</v>
      </c>
      <c r="H865" s="1">
        <v>50.1</v>
      </c>
      <c r="I865" s="1">
        <v>50.9</v>
      </c>
      <c r="J865" s="1">
        <v>0.64783578100000005</v>
      </c>
      <c r="K865" s="1">
        <v>0.52525630099999998</v>
      </c>
      <c r="L865" s="1">
        <v>0.68706170200000005</v>
      </c>
      <c r="M865" s="3">
        <v>0.71473597300000002</v>
      </c>
      <c r="N865" s="1" t="s">
        <v>100</v>
      </c>
      <c r="O865" s="1">
        <v>1.72605042</v>
      </c>
      <c r="P865" s="1">
        <v>46.5</v>
      </c>
      <c r="Q865" s="1">
        <v>59.5</v>
      </c>
      <c r="R865" s="1">
        <v>0.64235132533333339</v>
      </c>
      <c r="S865" s="1">
        <v>5.6160308055417295E-2</v>
      </c>
      <c r="T865" t="s">
        <v>1012</v>
      </c>
      <c r="U865" s="1">
        <v>980</v>
      </c>
      <c r="V865">
        <f t="shared" si="52"/>
        <v>0.33235845285472165</v>
      </c>
      <c r="W865" s="1">
        <f t="shared" si="53"/>
        <v>3.6000000000000014</v>
      </c>
      <c r="X865">
        <f t="shared" si="54"/>
        <v>0.72581598500000011</v>
      </c>
      <c r="Y865">
        <f t="shared" si="55"/>
        <v>8.6000000000000014</v>
      </c>
      <c r="Z865" s="1">
        <v>0</v>
      </c>
      <c r="AA865">
        <v>100</v>
      </c>
      <c r="AB865">
        <v>0</v>
      </c>
      <c r="AC865">
        <v>0</v>
      </c>
      <c r="AD865">
        <v>104</v>
      </c>
      <c r="AE865">
        <v>0</v>
      </c>
      <c r="AF865" t="s">
        <v>2593</v>
      </c>
      <c r="AG865" t="s">
        <v>2589</v>
      </c>
    </row>
    <row r="866" spans="1:33">
      <c r="A866" s="2" t="s">
        <v>121</v>
      </c>
      <c r="B866" s="2" t="s">
        <v>148</v>
      </c>
      <c r="C866" s="1">
        <v>0.57363214500000004</v>
      </c>
      <c r="D866">
        <v>0.65876685800000001</v>
      </c>
      <c r="E866">
        <v>0.71110834000000001</v>
      </c>
      <c r="F866" s="1" t="s">
        <v>122</v>
      </c>
      <c r="G866" s="1">
        <v>2.4518664050000001</v>
      </c>
      <c r="H866" s="1">
        <v>50.1</v>
      </c>
      <c r="I866" s="1">
        <v>50.9</v>
      </c>
      <c r="J866" s="1">
        <v>0.64783578100000005</v>
      </c>
      <c r="K866" s="1">
        <v>0.52246277500000005</v>
      </c>
      <c r="L866" s="1">
        <v>0.64036274199999998</v>
      </c>
      <c r="M866" s="3">
        <v>0.62317592099999997</v>
      </c>
      <c r="N866" s="1" t="s">
        <v>149</v>
      </c>
      <c r="O866" s="1">
        <v>1.201000834</v>
      </c>
      <c r="P866" s="1">
        <v>59.2</v>
      </c>
      <c r="Q866" s="1">
        <v>119.9</v>
      </c>
      <c r="R866" s="1">
        <v>0.59533381266666663</v>
      </c>
      <c r="S866" s="1">
        <v>0.10338823058322415</v>
      </c>
      <c r="T866" t="s">
        <v>1023</v>
      </c>
      <c r="U866" s="1">
        <v>1683</v>
      </c>
      <c r="V866">
        <f t="shared" si="52"/>
        <v>0.35845379066398042</v>
      </c>
      <c r="W866" s="1">
        <f t="shared" si="53"/>
        <v>9.1000000000000014</v>
      </c>
      <c r="X866">
        <f t="shared" si="54"/>
        <v>1.2508655710000001</v>
      </c>
      <c r="Y866">
        <f t="shared" si="55"/>
        <v>69</v>
      </c>
      <c r="Z866" s="1">
        <v>1</v>
      </c>
      <c r="AA866">
        <v>99</v>
      </c>
      <c r="AB866">
        <v>1.01E-2</v>
      </c>
      <c r="AC866">
        <v>2</v>
      </c>
      <c r="AD866">
        <v>97</v>
      </c>
      <c r="AE866">
        <v>2.06E-2</v>
      </c>
      <c r="AF866" t="s">
        <v>2593</v>
      </c>
      <c r="AG866" t="s">
        <v>2589</v>
      </c>
    </row>
    <row r="867" spans="1:33">
      <c r="A867" s="2" t="s">
        <v>121</v>
      </c>
      <c r="B867" s="2" t="s">
        <v>101</v>
      </c>
      <c r="C867" s="1">
        <v>0.57363214500000004</v>
      </c>
      <c r="D867">
        <v>0.65876685800000001</v>
      </c>
      <c r="E867">
        <v>0.71110834000000001</v>
      </c>
      <c r="F867" s="1" t="s">
        <v>122</v>
      </c>
      <c r="G867" s="1">
        <v>2.4518664050000001</v>
      </c>
      <c r="H867" s="1">
        <v>50.1</v>
      </c>
      <c r="I867" s="1">
        <v>50.9</v>
      </c>
      <c r="J867" s="1">
        <v>0.64783578100000005</v>
      </c>
      <c r="K867" s="1">
        <v>0.57277697599999999</v>
      </c>
      <c r="L867" s="1">
        <v>0.64568820599999999</v>
      </c>
      <c r="M867" s="3">
        <v>0.70909993500000001</v>
      </c>
      <c r="N867" s="1" t="s">
        <v>102</v>
      </c>
      <c r="O867" s="1">
        <v>1.2818181820000001</v>
      </c>
      <c r="P867" s="1">
        <v>58</v>
      </c>
      <c r="Q867" s="1">
        <v>110</v>
      </c>
      <c r="R867" s="1">
        <v>0.64252170566666666</v>
      </c>
      <c r="S867" s="1">
        <v>1.3259567971834174E-2</v>
      </c>
      <c r="T867" t="s">
        <v>1013</v>
      </c>
      <c r="U867" s="1">
        <v>2039</v>
      </c>
      <c r="V867">
        <f t="shared" si="52"/>
        <v>0.36771302508645998</v>
      </c>
      <c r="W867" s="1">
        <f t="shared" si="53"/>
        <v>7.8999999999999986</v>
      </c>
      <c r="X867">
        <f t="shared" si="54"/>
        <v>1.170048223</v>
      </c>
      <c r="Y867">
        <f t="shared" si="55"/>
        <v>59.1</v>
      </c>
      <c r="Z867" s="1">
        <v>2</v>
      </c>
      <c r="AA867">
        <v>98</v>
      </c>
      <c r="AB867">
        <v>2.0400000000000001E-2</v>
      </c>
      <c r="AC867">
        <v>3</v>
      </c>
      <c r="AD867">
        <v>94</v>
      </c>
      <c r="AE867">
        <v>3.1899999999999998E-2</v>
      </c>
      <c r="AF867" t="s">
        <v>2593</v>
      </c>
      <c r="AG867" t="s">
        <v>2589</v>
      </c>
    </row>
    <row r="868" spans="1:33">
      <c r="A868" s="2" t="s">
        <v>121</v>
      </c>
      <c r="B868" s="2" t="s">
        <v>103</v>
      </c>
      <c r="C868" s="1">
        <v>0.57363214500000004</v>
      </c>
      <c r="D868">
        <v>0.65876685800000001</v>
      </c>
      <c r="E868">
        <v>0.71110834000000001</v>
      </c>
      <c r="F868" s="1" t="s">
        <v>122</v>
      </c>
      <c r="G868" s="1">
        <v>2.4518664050000001</v>
      </c>
      <c r="H868" s="1">
        <v>50.1</v>
      </c>
      <c r="I868" s="1">
        <v>50.9</v>
      </c>
      <c r="J868" s="1">
        <v>0.64783578100000005</v>
      </c>
      <c r="K868" s="1">
        <v>0.58538445800000005</v>
      </c>
      <c r="L868" s="1">
        <v>0.70461059999999998</v>
      </c>
      <c r="M868" s="3">
        <v>0.67846608399999997</v>
      </c>
      <c r="N868" s="1" t="s">
        <v>104</v>
      </c>
      <c r="O868" s="1">
        <v>1.1020080320000001</v>
      </c>
      <c r="P868" s="1">
        <v>58.7</v>
      </c>
      <c r="Q868" s="1">
        <v>124.5</v>
      </c>
      <c r="R868" s="1">
        <v>0.65615371400000011</v>
      </c>
      <c r="S868" s="1">
        <v>5.7491585629395096E-2</v>
      </c>
      <c r="T868" t="s">
        <v>1014</v>
      </c>
      <c r="U868" s="1">
        <v>1602</v>
      </c>
      <c r="V868">
        <f t="shared" si="52"/>
        <v>0.35607361241646873</v>
      </c>
      <c r="W868" s="1">
        <f t="shared" si="53"/>
        <v>8.6000000000000014</v>
      </c>
      <c r="X868">
        <f t="shared" si="54"/>
        <v>1.349858373</v>
      </c>
      <c r="Y868">
        <f t="shared" si="55"/>
        <v>73.599999999999994</v>
      </c>
      <c r="Z868" s="1">
        <v>0</v>
      </c>
      <c r="AA868">
        <v>100</v>
      </c>
      <c r="AB868">
        <v>0</v>
      </c>
      <c r="AC868">
        <v>1</v>
      </c>
      <c r="AD868">
        <v>97</v>
      </c>
      <c r="AE868">
        <v>1.03E-2</v>
      </c>
      <c r="AF868" t="s">
        <v>2593</v>
      </c>
      <c r="AG868" t="s">
        <v>2589</v>
      </c>
    </row>
    <row r="869" spans="1:33">
      <c r="A869" s="2" t="s">
        <v>121</v>
      </c>
      <c r="B869" s="2" t="s">
        <v>105</v>
      </c>
      <c r="C869" s="1">
        <v>0.57363214500000004</v>
      </c>
      <c r="D869">
        <v>0.65876685800000001</v>
      </c>
      <c r="E869">
        <v>0.71110834000000001</v>
      </c>
      <c r="F869" s="1" t="s">
        <v>122</v>
      </c>
      <c r="G869" s="1">
        <v>2.4518664050000001</v>
      </c>
      <c r="H869" s="1">
        <v>50.1</v>
      </c>
      <c r="I869" s="1">
        <v>50.9</v>
      </c>
      <c r="J869" s="1">
        <v>0.64783578100000005</v>
      </c>
      <c r="K869" s="1">
        <v>0.56210716000000005</v>
      </c>
      <c r="L869" s="1">
        <v>0.68032504299999996</v>
      </c>
      <c r="M869" s="3">
        <v>0.71115907899999997</v>
      </c>
      <c r="N869" s="1" t="s">
        <v>106</v>
      </c>
      <c r="O869" s="1">
        <v>1.0978593270000001</v>
      </c>
      <c r="P869" s="1">
        <v>43.5</v>
      </c>
      <c r="Q869" s="1">
        <v>98.1</v>
      </c>
      <c r="R869" s="1">
        <v>0.65119709399999992</v>
      </c>
      <c r="S869" s="1">
        <v>2.444551480723138E-2</v>
      </c>
      <c r="T869" t="s">
        <v>1015</v>
      </c>
      <c r="U869" s="1">
        <v>17589</v>
      </c>
      <c r="V869">
        <f t="shared" si="52"/>
        <v>0.47169346098938436</v>
      </c>
      <c r="W869" s="1">
        <f t="shared" si="53"/>
        <v>6.6000000000000014</v>
      </c>
      <c r="X869">
        <f t="shared" si="54"/>
        <v>1.354007078</v>
      </c>
      <c r="Y869">
        <f t="shared" si="55"/>
        <v>47.199999999999996</v>
      </c>
      <c r="Z869" s="1">
        <v>23</v>
      </c>
      <c r="AA869">
        <v>77</v>
      </c>
      <c r="AB869">
        <v>0.29870000000000002</v>
      </c>
      <c r="AC869">
        <v>24</v>
      </c>
      <c r="AD869">
        <v>92</v>
      </c>
      <c r="AE869">
        <v>0.26090000000000002</v>
      </c>
      <c r="AF869" t="s">
        <v>2593</v>
      </c>
      <c r="AG869" t="s">
        <v>2589</v>
      </c>
    </row>
    <row r="870" spans="1:33">
      <c r="A870" s="2" t="s">
        <v>121</v>
      </c>
      <c r="B870" s="2" t="s">
        <v>107</v>
      </c>
      <c r="C870" s="1">
        <v>0.57363214500000004</v>
      </c>
      <c r="D870">
        <v>0.65876685800000001</v>
      </c>
      <c r="E870">
        <v>0.71110834000000001</v>
      </c>
      <c r="F870" s="1" t="s">
        <v>122</v>
      </c>
      <c r="G870" s="1">
        <v>2.4518664050000001</v>
      </c>
      <c r="H870" s="1">
        <v>50.1</v>
      </c>
      <c r="I870" s="1">
        <v>50.9</v>
      </c>
      <c r="J870" s="1">
        <v>0.64783578100000005</v>
      </c>
      <c r="K870" s="1">
        <v>0.61734740899999996</v>
      </c>
      <c r="L870" s="1">
        <v>0.68293216999999995</v>
      </c>
      <c r="M870" s="3">
        <v>0.69981194099999999</v>
      </c>
      <c r="N870" s="1" t="s">
        <v>108</v>
      </c>
      <c r="O870" s="1">
        <v>2</v>
      </c>
      <c r="P870" s="1">
        <v>19</v>
      </c>
      <c r="Q870" s="1">
        <v>21.1</v>
      </c>
      <c r="R870" s="1">
        <v>0.66669717333333323</v>
      </c>
      <c r="S870" s="1">
        <v>5.1211280407877237E-2</v>
      </c>
      <c r="T870" t="s">
        <v>1016</v>
      </c>
      <c r="U870" s="1">
        <v>557</v>
      </c>
      <c r="V870">
        <f t="shared" si="52"/>
        <v>0.30509502168596986</v>
      </c>
      <c r="W870" s="1">
        <f t="shared" si="53"/>
        <v>31.1</v>
      </c>
      <c r="X870">
        <f t="shared" si="54"/>
        <v>0.45186640500000008</v>
      </c>
      <c r="Y870">
        <f t="shared" si="55"/>
        <v>29.799999999999997</v>
      </c>
      <c r="Z870" s="1">
        <v>0</v>
      </c>
      <c r="AA870">
        <v>100</v>
      </c>
      <c r="AB870">
        <v>0</v>
      </c>
      <c r="AC870">
        <v>0</v>
      </c>
      <c r="AD870">
        <v>92</v>
      </c>
      <c r="AE870">
        <v>0</v>
      </c>
      <c r="AF870" t="s">
        <v>2593</v>
      </c>
      <c r="AG870" t="s">
        <v>2588</v>
      </c>
    </row>
    <row r="871" spans="1:33">
      <c r="A871" s="2" t="s">
        <v>121</v>
      </c>
      <c r="B871" s="2" t="s">
        <v>109</v>
      </c>
      <c r="C871" s="1">
        <v>0.57363214500000004</v>
      </c>
      <c r="D871">
        <v>0.65876685800000001</v>
      </c>
      <c r="E871">
        <v>0.71110834000000001</v>
      </c>
      <c r="F871" s="1" t="s">
        <v>122</v>
      </c>
      <c r="G871" s="1">
        <v>2.4518664050000001</v>
      </c>
      <c r="H871" s="1">
        <v>50.1</v>
      </c>
      <c r="I871" s="1">
        <v>50.9</v>
      </c>
      <c r="J871" s="1">
        <v>0.64783578100000005</v>
      </c>
      <c r="K871" s="1">
        <v>0.51638908800000005</v>
      </c>
      <c r="L871" s="1">
        <v>0.68684605300000001</v>
      </c>
      <c r="M871" s="3">
        <v>0.66065444600000001</v>
      </c>
      <c r="N871" s="1" t="s">
        <v>110</v>
      </c>
      <c r="O871" s="1">
        <v>1.2897862229999999</v>
      </c>
      <c r="P871" s="1">
        <v>49.4</v>
      </c>
      <c r="Q871" s="1">
        <v>84.2</v>
      </c>
      <c r="R871" s="1">
        <v>0.62129652899999999</v>
      </c>
      <c r="S871" s="1">
        <v>8.1306852025622711E-2</v>
      </c>
      <c r="T871" t="s">
        <v>1017</v>
      </c>
      <c r="U871" s="1">
        <v>1501</v>
      </c>
      <c r="V871">
        <f t="shared" si="52"/>
        <v>0.35293118802703005</v>
      </c>
      <c r="W871" s="1">
        <f t="shared" si="53"/>
        <v>0.70000000000000284</v>
      </c>
      <c r="X871">
        <f t="shared" si="54"/>
        <v>1.1620801820000002</v>
      </c>
      <c r="Y871">
        <f t="shared" si="55"/>
        <v>33.300000000000004</v>
      </c>
      <c r="Z871" s="1">
        <v>1</v>
      </c>
      <c r="AA871">
        <v>99</v>
      </c>
      <c r="AB871">
        <v>1.01E-2</v>
      </c>
      <c r="AC871">
        <v>2</v>
      </c>
      <c r="AD871">
        <v>111</v>
      </c>
      <c r="AE871">
        <v>1.7999999999999999E-2</v>
      </c>
      <c r="AF871" t="s">
        <v>2593</v>
      </c>
      <c r="AG871" t="s">
        <v>2589</v>
      </c>
    </row>
    <row r="872" spans="1:33">
      <c r="A872" s="2" t="s">
        <v>121</v>
      </c>
      <c r="B872" s="2" t="s">
        <v>111</v>
      </c>
      <c r="C872" s="1">
        <v>0.57363214500000004</v>
      </c>
      <c r="D872">
        <v>0.65876685800000001</v>
      </c>
      <c r="E872">
        <v>0.71110834000000001</v>
      </c>
      <c r="F872" s="1" t="s">
        <v>122</v>
      </c>
      <c r="G872" s="1">
        <v>2.4518664050000001</v>
      </c>
      <c r="H872" s="1">
        <v>50.1</v>
      </c>
      <c r="I872" s="1">
        <v>50.9</v>
      </c>
      <c r="J872" s="1">
        <v>0.64783578100000005</v>
      </c>
      <c r="K872" s="1">
        <v>0.60132418300000001</v>
      </c>
      <c r="L872" s="1">
        <v>0.67605095299999995</v>
      </c>
      <c r="M872" s="3">
        <v>0.74222981799999999</v>
      </c>
      <c r="N872" s="1" t="s">
        <v>112</v>
      </c>
      <c r="O872" s="1">
        <v>1.561403509</v>
      </c>
      <c r="P872" s="1">
        <v>30</v>
      </c>
      <c r="Q872" s="1">
        <v>45.6</v>
      </c>
      <c r="R872" s="1">
        <v>0.67320165133333332</v>
      </c>
      <c r="S872" s="1">
        <v>4.5101389130124903E-2</v>
      </c>
      <c r="T872" t="s">
        <v>1018</v>
      </c>
      <c r="U872" s="1">
        <v>10600</v>
      </c>
      <c r="V872">
        <f t="shared" si="52"/>
        <v>0.44725620725164117</v>
      </c>
      <c r="W872" s="1">
        <f t="shared" si="53"/>
        <v>20.100000000000001</v>
      </c>
      <c r="X872">
        <f t="shared" si="54"/>
        <v>0.89046289600000006</v>
      </c>
      <c r="Y872">
        <f t="shared" si="55"/>
        <v>5.2999999999999972</v>
      </c>
      <c r="Z872" s="1">
        <v>32</v>
      </c>
      <c r="AA872">
        <v>68</v>
      </c>
      <c r="AB872">
        <v>0.47060000000000002</v>
      </c>
      <c r="AC872">
        <v>41</v>
      </c>
      <c r="AD872">
        <v>67</v>
      </c>
      <c r="AE872">
        <v>0.6119</v>
      </c>
      <c r="AF872" t="s">
        <v>2593</v>
      </c>
      <c r="AG872" t="s">
        <v>2591</v>
      </c>
    </row>
    <row r="873" spans="1:33">
      <c r="A873" s="2" t="s">
        <v>121</v>
      </c>
      <c r="B873" s="2" t="s">
        <v>113</v>
      </c>
      <c r="C873" s="1">
        <v>0.57363214500000004</v>
      </c>
      <c r="D873">
        <v>0.65876685800000001</v>
      </c>
      <c r="E873">
        <v>0.71110834000000001</v>
      </c>
      <c r="F873" s="1" t="s">
        <v>122</v>
      </c>
      <c r="G873" s="1">
        <v>2.4518664050000001</v>
      </c>
      <c r="H873" s="1">
        <v>50.1</v>
      </c>
      <c r="I873" s="1">
        <v>50.9</v>
      </c>
      <c r="J873" s="1">
        <v>0.64783578100000005</v>
      </c>
      <c r="K873" s="1">
        <v>0.57440698499999998</v>
      </c>
      <c r="L873" s="1">
        <v>0.66920790399999996</v>
      </c>
      <c r="M873" s="3">
        <v>0.71602402300000001</v>
      </c>
      <c r="N873" s="1" t="s">
        <v>114</v>
      </c>
      <c r="O873" s="1">
        <v>2.5573248409999998</v>
      </c>
      <c r="P873" s="1">
        <v>34.299999999999997</v>
      </c>
      <c r="Q873" s="1">
        <v>31.4</v>
      </c>
      <c r="R873" s="1">
        <v>0.65321297066666661</v>
      </c>
      <c r="S873" s="1">
        <v>1.1566319983305148E-2</v>
      </c>
      <c r="T873" t="s">
        <v>1019</v>
      </c>
      <c r="U873" s="1">
        <v>15794</v>
      </c>
      <c r="V873">
        <f t="shared" si="52"/>
        <v>0.46649912596411602</v>
      </c>
      <c r="W873" s="1">
        <f t="shared" si="53"/>
        <v>15.800000000000004</v>
      </c>
      <c r="X873">
        <f t="shared" si="54"/>
        <v>0.10545843599999971</v>
      </c>
      <c r="Y873">
        <f t="shared" si="55"/>
        <v>19.5</v>
      </c>
      <c r="Z873" s="1">
        <v>22</v>
      </c>
      <c r="AA873">
        <v>78</v>
      </c>
      <c r="AB873">
        <v>0.28210000000000002</v>
      </c>
      <c r="AC873">
        <v>20</v>
      </c>
      <c r="AD873">
        <v>82</v>
      </c>
      <c r="AE873">
        <v>0.24390000000000001</v>
      </c>
      <c r="AF873" t="s">
        <v>2593</v>
      </c>
      <c r="AG873" t="s">
        <v>2593</v>
      </c>
    </row>
    <row r="874" spans="1:33">
      <c r="A874" s="2" t="s">
        <v>121</v>
      </c>
      <c r="B874" s="2" t="s">
        <v>115</v>
      </c>
      <c r="C874" s="1">
        <v>0.57363214500000004</v>
      </c>
      <c r="D874">
        <v>0.65876685800000001</v>
      </c>
      <c r="E874">
        <v>0.71110834000000001</v>
      </c>
      <c r="F874" s="1" t="s">
        <v>122</v>
      </c>
      <c r="G874" s="1">
        <v>2.4518664050000001</v>
      </c>
      <c r="H874" s="1">
        <v>50.1</v>
      </c>
      <c r="I874" s="1">
        <v>50.9</v>
      </c>
      <c r="J874" s="1">
        <v>0.64783578100000005</v>
      </c>
      <c r="K874" s="1">
        <v>0.55237211100000005</v>
      </c>
      <c r="L874" s="1">
        <v>0.65961031000000003</v>
      </c>
      <c r="M874" s="3">
        <v>0.69215541599999997</v>
      </c>
      <c r="N874" s="1" t="s">
        <v>116</v>
      </c>
      <c r="O874" s="1">
        <v>1.149700599</v>
      </c>
      <c r="P874" s="1">
        <v>66.900000000000006</v>
      </c>
      <c r="Q874" s="1">
        <v>133.6</v>
      </c>
      <c r="R874" s="1">
        <v>0.63471261233333331</v>
      </c>
      <c r="S874" s="1">
        <v>2.849410088259036E-2</v>
      </c>
      <c r="T874" t="s">
        <v>1020</v>
      </c>
      <c r="U874" s="1">
        <v>2024</v>
      </c>
      <c r="V874">
        <f t="shared" si="52"/>
        <v>0.36735672312975126</v>
      </c>
      <c r="W874" s="1">
        <f t="shared" si="53"/>
        <v>16.800000000000004</v>
      </c>
      <c r="X874">
        <f t="shared" si="54"/>
        <v>1.3021658060000001</v>
      </c>
      <c r="Y874">
        <f t="shared" si="55"/>
        <v>82.699999999999989</v>
      </c>
      <c r="Z874" s="1">
        <v>1</v>
      </c>
      <c r="AA874">
        <v>99</v>
      </c>
      <c r="AB874">
        <v>1.01E-2</v>
      </c>
      <c r="AC874">
        <v>2</v>
      </c>
      <c r="AD874">
        <v>105</v>
      </c>
      <c r="AE874">
        <v>1.9E-2</v>
      </c>
      <c r="AF874" t="s">
        <v>2593</v>
      </c>
      <c r="AG874" t="s">
        <v>2589</v>
      </c>
    </row>
    <row r="875" spans="1:33">
      <c r="A875" s="2" t="s">
        <v>121</v>
      </c>
      <c r="B875" s="2" t="s">
        <v>117</v>
      </c>
      <c r="C875" s="1">
        <v>0.57363214500000004</v>
      </c>
      <c r="D875">
        <v>0.65876685800000001</v>
      </c>
      <c r="E875">
        <v>0.71110834000000001</v>
      </c>
      <c r="F875" s="1" t="s">
        <v>122</v>
      </c>
      <c r="G875" s="1">
        <v>2.4518664050000001</v>
      </c>
      <c r="H875" s="1">
        <v>50.1</v>
      </c>
      <c r="I875" s="1">
        <v>50.9</v>
      </c>
      <c r="J875" s="1">
        <v>0.64783578100000005</v>
      </c>
      <c r="K875" s="1">
        <v>0.52788907299999999</v>
      </c>
      <c r="L875" s="1">
        <v>0.665074418</v>
      </c>
      <c r="M875" s="3">
        <v>0.69056128699999997</v>
      </c>
      <c r="N875" s="1" t="s">
        <v>118</v>
      </c>
      <c r="O875" s="1">
        <v>1.0818253339999999</v>
      </c>
      <c r="P875" s="1">
        <v>58.4</v>
      </c>
      <c r="Q875" s="1">
        <v>127.1</v>
      </c>
      <c r="R875" s="1">
        <v>0.62784159266666661</v>
      </c>
      <c r="S875" s="1">
        <v>5.0541026267138654E-2</v>
      </c>
      <c r="T875" t="s">
        <v>1021</v>
      </c>
      <c r="U875" s="1">
        <v>3082</v>
      </c>
      <c r="V875">
        <f t="shared" si="52"/>
        <v>0.38764807048693339</v>
      </c>
      <c r="W875" s="1">
        <f t="shared" si="53"/>
        <v>8.2999999999999972</v>
      </c>
      <c r="X875">
        <f t="shared" si="54"/>
        <v>1.3700410710000002</v>
      </c>
      <c r="Y875">
        <f t="shared" si="55"/>
        <v>76.199999999999989</v>
      </c>
      <c r="Z875" s="1">
        <v>1</v>
      </c>
      <c r="AA875">
        <v>99</v>
      </c>
      <c r="AB875">
        <v>1.01E-2</v>
      </c>
      <c r="AC875">
        <v>2</v>
      </c>
      <c r="AD875">
        <v>117</v>
      </c>
      <c r="AE875">
        <v>1.7100000000000001E-2</v>
      </c>
      <c r="AF875" t="s">
        <v>2593</v>
      </c>
      <c r="AG875" t="s">
        <v>2589</v>
      </c>
    </row>
    <row r="876" spans="1:33">
      <c r="A876" s="2" t="s">
        <v>121</v>
      </c>
      <c r="B876" s="2" t="s">
        <v>119</v>
      </c>
      <c r="C876" s="1">
        <v>0.57363214500000004</v>
      </c>
      <c r="D876">
        <v>0.65876685800000001</v>
      </c>
      <c r="E876">
        <v>0.71110834000000001</v>
      </c>
      <c r="F876" s="1" t="s">
        <v>122</v>
      </c>
      <c r="G876" s="1">
        <v>2.4518664050000001</v>
      </c>
      <c r="H876" s="1">
        <v>50.1</v>
      </c>
      <c r="I876" s="1">
        <v>50.9</v>
      </c>
      <c r="J876" s="1">
        <v>0.64783578100000005</v>
      </c>
      <c r="K876" s="1">
        <v>0.48582609999999998</v>
      </c>
      <c r="L876" s="1">
        <v>0.67226483999999997</v>
      </c>
      <c r="M876" s="3">
        <v>0.68571362400000002</v>
      </c>
      <c r="N876" s="1" t="s">
        <v>120</v>
      </c>
      <c r="O876" s="1">
        <v>1.1435028249999999</v>
      </c>
      <c r="P876" s="1">
        <v>42.6</v>
      </c>
      <c r="Q876" s="1">
        <v>88.5</v>
      </c>
      <c r="R876" s="1">
        <v>0.61460152133333334</v>
      </c>
      <c r="S876" s="1">
        <v>9.2395825973552573E-2</v>
      </c>
      <c r="T876" t="s">
        <v>1022</v>
      </c>
      <c r="U876" s="1">
        <v>1340</v>
      </c>
      <c r="V876">
        <f t="shared" si="52"/>
        <v>0.34745608870720085</v>
      </c>
      <c r="W876" s="1">
        <f t="shared" si="53"/>
        <v>7.5</v>
      </c>
      <c r="X876">
        <f t="shared" si="54"/>
        <v>1.3083635800000002</v>
      </c>
      <c r="Y876">
        <f t="shared" si="55"/>
        <v>37.6</v>
      </c>
      <c r="Z876" s="1">
        <v>1</v>
      </c>
      <c r="AA876">
        <v>99</v>
      </c>
      <c r="AB876">
        <v>1.01E-2</v>
      </c>
      <c r="AC876">
        <v>2</v>
      </c>
      <c r="AD876">
        <v>105</v>
      </c>
      <c r="AE876">
        <v>1.9E-2</v>
      </c>
      <c r="AF876" t="s">
        <v>2593</v>
      </c>
      <c r="AG876" t="s">
        <v>2589</v>
      </c>
    </row>
    <row r="877" spans="1:33">
      <c r="A877" s="2" t="s">
        <v>119</v>
      </c>
      <c r="B877" s="2" t="s">
        <v>10</v>
      </c>
      <c r="C877" s="1">
        <v>0.48582609999999998</v>
      </c>
      <c r="D877">
        <v>0.67226483999999997</v>
      </c>
      <c r="E877">
        <v>0.68571362400000002</v>
      </c>
      <c r="F877" s="1" t="s">
        <v>120</v>
      </c>
      <c r="G877" s="1">
        <v>1.1435028249999999</v>
      </c>
      <c r="H877" s="1">
        <v>42.6</v>
      </c>
      <c r="I877" s="1">
        <v>88.5</v>
      </c>
      <c r="J877" s="1">
        <v>0.61460152133333334</v>
      </c>
      <c r="K877" s="1">
        <v>0.52456325500000001</v>
      </c>
      <c r="L877" s="1">
        <v>0.61925627999999999</v>
      </c>
      <c r="M877" s="3">
        <v>0.72111139899999999</v>
      </c>
      <c r="N877" s="1" t="s">
        <v>12</v>
      </c>
      <c r="O877" s="1">
        <v>0.61690647499999995</v>
      </c>
      <c r="P877" s="1">
        <v>30</v>
      </c>
      <c r="Q877" s="1">
        <v>111.2</v>
      </c>
      <c r="R877" s="1">
        <v>0.62164364466666666</v>
      </c>
      <c r="S877" s="1">
        <v>7.4588719560790467E-2</v>
      </c>
      <c r="T877" t="s">
        <v>1024</v>
      </c>
      <c r="U877" s="1">
        <v>314</v>
      </c>
      <c r="V877">
        <f t="shared" si="52"/>
        <v>0.27743662756369053</v>
      </c>
      <c r="W877" s="1">
        <f t="shared" si="53"/>
        <v>12.600000000000001</v>
      </c>
      <c r="X877">
        <f t="shared" si="54"/>
        <v>0.52659634999999994</v>
      </c>
      <c r="Y877">
        <f t="shared" si="55"/>
        <v>22.700000000000003</v>
      </c>
      <c r="Z877" s="1">
        <v>4</v>
      </c>
      <c r="AA877">
        <v>96</v>
      </c>
      <c r="AB877">
        <v>4.1700000000000001E-2</v>
      </c>
      <c r="AC877">
        <v>5</v>
      </c>
      <c r="AD877">
        <v>152</v>
      </c>
      <c r="AE877">
        <v>3.2899999999999999E-2</v>
      </c>
      <c r="AF877" t="s">
        <v>2589</v>
      </c>
      <c r="AG877" t="s">
        <v>2588</v>
      </c>
    </row>
    <row r="878" spans="1:33">
      <c r="A878" s="2" t="s">
        <v>119</v>
      </c>
      <c r="B878" s="2" t="s">
        <v>13</v>
      </c>
      <c r="C878" s="1">
        <v>0.48582609999999998</v>
      </c>
      <c r="D878">
        <v>0.67226483999999997</v>
      </c>
      <c r="E878">
        <v>0.68571362400000002</v>
      </c>
      <c r="F878" s="1" t="s">
        <v>120</v>
      </c>
      <c r="G878" s="1">
        <v>1.1435028249999999</v>
      </c>
      <c r="H878" s="1">
        <v>42.6</v>
      </c>
      <c r="I878" s="1">
        <v>88.5</v>
      </c>
      <c r="J878" s="1">
        <v>0.61460152133333334</v>
      </c>
      <c r="K878" s="1">
        <v>0.48695497399999998</v>
      </c>
      <c r="L878" s="1">
        <v>0.54991327199999995</v>
      </c>
      <c r="M878" s="3">
        <v>0.67282609299999996</v>
      </c>
      <c r="N878" s="1" t="s">
        <v>14</v>
      </c>
      <c r="O878" s="1">
        <v>1.6052009460000001</v>
      </c>
      <c r="P878" s="1">
        <v>26.6</v>
      </c>
      <c r="Q878" s="1">
        <v>42.3</v>
      </c>
      <c r="R878" s="1">
        <v>0.56989811299999993</v>
      </c>
      <c r="S878" s="1">
        <v>0.12303360924496391</v>
      </c>
      <c r="T878" t="s">
        <v>1025</v>
      </c>
      <c r="U878" s="1">
        <v>4872</v>
      </c>
      <c r="V878">
        <f t="shared" si="52"/>
        <v>0.40974525329164657</v>
      </c>
      <c r="W878" s="1">
        <f t="shared" si="53"/>
        <v>16</v>
      </c>
      <c r="X878">
        <f t="shared" si="54"/>
        <v>0.46169812100000018</v>
      </c>
      <c r="Y878">
        <f t="shared" si="55"/>
        <v>46.2</v>
      </c>
      <c r="Z878" s="1">
        <v>1</v>
      </c>
      <c r="AA878">
        <v>99</v>
      </c>
      <c r="AB878">
        <v>1.01E-2</v>
      </c>
      <c r="AC878">
        <v>2</v>
      </c>
      <c r="AD878">
        <v>102</v>
      </c>
      <c r="AE878">
        <v>1.9599999999999999E-2</v>
      </c>
      <c r="AF878" t="s">
        <v>2589</v>
      </c>
      <c r="AG878" t="s">
        <v>2590</v>
      </c>
    </row>
    <row r="879" spans="1:33">
      <c r="A879" s="2" t="s">
        <v>119</v>
      </c>
      <c r="B879" s="2" t="s">
        <v>15</v>
      </c>
      <c r="C879" s="1">
        <v>0.48582609999999998</v>
      </c>
      <c r="D879">
        <v>0.67226483999999997</v>
      </c>
      <c r="E879">
        <v>0.68571362400000002</v>
      </c>
      <c r="F879" s="1" t="s">
        <v>120</v>
      </c>
      <c r="G879" s="1">
        <v>1.1435028249999999</v>
      </c>
      <c r="H879" s="1">
        <v>42.6</v>
      </c>
      <c r="I879" s="1">
        <v>88.5</v>
      </c>
      <c r="J879" s="1">
        <v>0.61460152133333334</v>
      </c>
      <c r="K879" s="1">
        <v>0.54560998800000005</v>
      </c>
      <c r="L879" s="1">
        <v>0.66721428400000005</v>
      </c>
      <c r="M879" s="3">
        <v>0.72650398400000005</v>
      </c>
      <c r="N879" s="1" t="s">
        <v>16</v>
      </c>
      <c r="O879" s="1">
        <v>5.1392405060000002</v>
      </c>
      <c r="P879" s="1">
        <v>35.9</v>
      </c>
      <c r="Q879" s="1">
        <v>15.8</v>
      </c>
      <c r="R879" s="1">
        <v>0.64644275200000012</v>
      </c>
      <c r="S879" s="1">
        <v>7.2549809436243798E-2</v>
      </c>
      <c r="T879" t="s">
        <v>1026</v>
      </c>
      <c r="U879" s="1">
        <v>276</v>
      </c>
      <c r="V879">
        <f t="shared" si="52"/>
        <v>0.27121212022946861</v>
      </c>
      <c r="W879" s="1">
        <f t="shared" si="53"/>
        <v>6.7000000000000028</v>
      </c>
      <c r="X879">
        <f t="shared" si="54"/>
        <v>3.9957376810000005</v>
      </c>
      <c r="Y879">
        <f t="shared" si="55"/>
        <v>72.7</v>
      </c>
      <c r="Z879" s="1">
        <v>0</v>
      </c>
      <c r="AA879">
        <v>100</v>
      </c>
      <c r="AB879">
        <v>0</v>
      </c>
      <c r="AC879">
        <v>0</v>
      </c>
      <c r="AD879">
        <v>100</v>
      </c>
      <c r="AE879">
        <v>0</v>
      </c>
      <c r="AF879" t="s">
        <v>2589</v>
      </c>
      <c r="AG879" t="s">
        <v>2591</v>
      </c>
    </row>
    <row r="880" spans="1:33">
      <c r="A880" s="2" t="s">
        <v>119</v>
      </c>
      <c r="B880" s="2" t="s">
        <v>17</v>
      </c>
      <c r="C880" s="1">
        <v>0.48582609999999998</v>
      </c>
      <c r="D880">
        <v>0.67226483999999997</v>
      </c>
      <c r="E880">
        <v>0.68571362400000002</v>
      </c>
      <c r="F880" s="1" t="s">
        <v>120</v>
      </c>
      <c r="G880" s="1">
        <v>1.1435028249999999</v>
      </c>
      <c r="H880" s="1">
        <v>42.6</v>
      </c>
      <c r="I880" s="1">
        <v>88.5</v>
      </c>
      <c r="J880" s="1">
        <v>0.61460152133333334</v>
      </c>
      <c r="K880" s="1">
        <v>0.659112378</v>
      </c>
      <c r="L880" s="1">
        <v>0.68333493499999998</v>
      </c>
      <c r="M880" s="3">
        <v>0.70345495199999997</v>
      </c>
      <c r="N880" s="1" t="s">
        <v>18</v>
      </c>
      <c r="O880" s="1">
        <v>1.9463955639999999</v>
      </c>
      <c r="P880" s="1">
        <v>46.3</v>
      </c>
      <c r="Q880" s="1">
        <v>54.1</v>
      </c>
      <c r="R880" s="1">
        <v>0.68196742166666668</v>
      </c>
      <c r="S880" s="1">
        <v>0.17454350708521327</v>
      </c>
      <c r="T880" t="s">
        <v>1027</v>
      </c>
      <c r="U880" s="1">
        <v>714</v>
      </c>
      <c r="V880">
        <f t="shared" si="52"/>
        <v>0.31707757908624162</v>
      </c>
      <c r="W880" s="1">
        <f t="shared" si="53"/>
        <v>3.6999999999999957</v>
      </c>
      <c r="X880">
        <f t="shared" si="54"/>
        <v>0.80289273900000002</v>
      </c>
      <c r="Y880">
        <f t="shared" si="55"/>
        <v>34.4</v>
      </c>
      <c r="Z880" s="1">
        <v>0</v>
      </c>
      <c r="AA880">
        <v>100</v>
      </c>
      <c r="AB880">
        <v>0</v>
      </c>
      <c r="AC880">
        <v>0</v>
      </c>
      <c r="AD880">
        <v>114</v>
      </c>
      <c r="AE880">
        <v>0</v>
      </c>
      <c r="AF880" t="s">
        <v>2589</v>
      </c>
      <c r="AG880" t="s">
        <v>2591</v>
      </c>
    </row>
    <row r="881" spans="1:33">
      <c r="A881" s="2" t="s">
        <v>119</v>
      </c>
      <c r="B881" s="2" t="s">
        <v>19</v>
      </c>
      <c r="C881" s="1">
        <v>0.48582609999999998</v>
      </c>
      <c r="D881">
        <v>0.67226483999999997</v>
      </c>
      <c r="E881">
        <v>0.68571362400000002</v>
      </c>
      <c r="F881" s="1" t="s">
        <v>120</v>
      </c>
      <c r="G881" s="1">
        <v>1.1435028249999999</v>
      </c>
      <c r="H881" s="1">
        <v>42.6</v>
      </c>
      <c r="I881" s="1">
        <v>88.5</v>
      </c>
      <c r="J881" s="1">
        <v>0.61460152133333334</v>
      </c>
      <c r="K881" s="1">
        <v>0.49391595300000002</v>
      </c>
      <c r="L881" s="1">
        <v>0.603599314</v>
      </c>
      <c r="M881" s="3">
        <v>0.63481471599999995</v>
      </c>
      <c r="N881" s="1" t="s">
        <v>20</v>
      </c>
      <c r="O881" s="1">
        <v>1.2140902870000001</v>
      </c>
      <c r="P881" s="1">
        <v>64.900000000000006</v>
      </c>
      <c r="Q881" s="1">
        <v>146.19999999999999</v>
      </c>
      <c r="R881" s="1">
        <v>0.57744332766666662</v>
      </c>
      <c r="S881" s="1">
        <v>8.5855104787139799E-2</v>
      </c>
      <c r="T881" t="s">
        <v>1028</v>
      </c>
      <c r="U881" s="1">
        <v>1828</v>
      </c>
      <c r="V881">
        <f t="shared" si="52"/>
        <v>0.36244179904420137</v>
      </c>
      <c r="W881" s="1">
        <f t="shared" si="53"/>
        <v>22.300000000000004</v>
      </c>
      <c r="X881">
        <f t="shared" si="54"/>
        <v>7.0587462000000212E-2</v>
      </c>
      <c r="Y881">
        <f t="shared" si="55"/>
        <v>57.699999999999989</v>
      </c>
      <c r="Z881" s="1">
        <v>10</v>
      </c>
      <c r="AA881">
        <v>90</v>
      </c>
      <c r="AB881">
        <v>0.1111</v>
      </c>
      <c r="AC881">
        <v>11</v>
      </c>
      <c r="AD881">
        <v>83</v>
      </c>
      <c r="AE881">
        <v>0.13250000000000001</v>
      </c>
      <c r="AF881" t="s">
        <v>2589</v>
      </c>
      <c r="AG881" t="s">
        <v>2593</v>
      </c>
    </row>
    <row r="882" spans="1:33">
      <c r="A882" s="2" t="s">
        <v>119</v>
      </c>
      <c r="B882" s="2" t="s">
        <v>21</v>
      </c>
      <c r="C882" s="1">
        <v>0.48582609999999998</v>
      </c>
      <c r="D882">
        <v>0.67226483999999997</v>
      </c>
      <c r="E882">
        <v>0.68571362400000002</v>
      </c>
      <c r="F882" s="1" t="s">
        <v>120</v>
      </c>
      <c r="G882" s="1">
        <v>1.1435028249999999</v>
      </c>
      <c r="H882" s="1">
        <v>42.6</v>
      </c>
      <c r="I882" s="1">
        <v>88.5</v>
      </c>
      <c r="J882" s="1">
        <v>0.61460152133333334</v>
      </c>
      <c r="K882" s="1">
        <v>0.53276376800000003</v>
      </c>
      <c r="L882" s="1">
        <v>0.65428149899999999</v>
      </c>
      <c r="M882" s="3">
        <v>0.70160154799999996</v>
      </c>
      <c r="N882" s="1" t="s">
        <v>22</v>
      </c>
      <c r="O882" s="1">
        <v>1.2440604749999999</v>
      </c>
      <c r="P882" s="1">
        <v>24.6</v>
      </c>
      <c r="Q882" s="1">
        <v>46.3</v>
      </c>
      <c r="R882" s="1">
        <v>0.62954893833333336</v>
      </c>
      <c r="S882" s="1">
        <v>5.2715949766937546E-2</v>
      </c>
      <c r="T882" t="s">
        <v>1029</v>
      </c>
      <c r="U882" s="1">
        <v>137411</v>
      </c>
      <c r="V882">
        <f t="shared" si="52"/>
        <v>0.57089127779742499</v>
      </c>
      <c r="W882" s="1">
        <f t="shared" si="53"/>
        <v>18</v>
      </c>
      <c r="X882">
        <f t="shared" si="54"/>
        <v>0.10055765000000005</v>
      </c>
      <c r="Y882">
        <f t="shared" si="55"/>
        <v>42.2</v>
      </c>
      <c r="Z882" s="1">
        <v>4</v>
      </c>
      <c r="AA882">
        <v>96</v>
      </c>
      <c r="AB882">
        <v>4.1700000000000001E-2</v>
      </c>
      <c r="AC882">
        <v>4</v>
      </c>
      <c r="AD882">
        <v>96</v>
      </c>
      <c r="AE882">
        <v>4.1700000000000001E-2</v>
      </c>
      <c r="AF882" t="s">
        <v>2589</v>
      </c>
      <c r="AG882" t="s">
        <v>2589</v>
      </c>
    </row>
    <row r="883" spans="1:33">
      <c r="A883" s="2" t="s">
        <v>119</v>
      </c>
      <c r="B883" s="2" t="s">
        <v>23</v>
      </c>
      <c r="C883" s="1">
        <v>0.48582609999999998</v>
      </c>
      <c r="D883">
        <v>0.67226483999999997</v>
      </c>
      <c r="E883">
        <v>0.68571362400000002</v>
      </c>
      <c r="F883" s="1" t="s">
        <v>120</v>
      </c>
      <c r="G883" s="1">
        <v>1.1435028249999999</v>
      </c>
      <c r="H883" s="1">
        <v>42.6</v>
      </c>
      <c r="I883" s="1">
        <v>88.5</v>
      </c>
      <c r="J883" s="1">
        <v>0.61460152133333334</v>
      </c>
      <c r="K883" s="1">
        <v>0.49415677200000002</v>
      </c>
      <c r="L883" s="1">
        <v>0.62090818999999997</v>
      </c>
      <c r="M883" s="3">
        <v>0.63381026900000004</v>
      </c>
      <c r="N883" s="1" t="s">
        <v>24</v>
      </c>
      <c r="O883" s="1">
        <v>1.141304348</v>
      </c>
      <c r="P883" s="1">
        <v>44.4</v>
      </c>
      <c r="Q883" s="1">
        <v>101.2</v>
      </c>
      <c r="R883" s="1">
        <v>0.58295841033333329</v>
      </c>
      <c r="S883" s="1">
        <v>7.3490569840287054E-2</v>
      </c>
      <c r="T883" t="s">
        <v>1030</v>
      </c>
      <c r="U883" s="1">
        <v>1570</v>
      </c>
      <c r="V883">
        <f t="shared" si="52"/>
        <v>0.35509996137880373</v>
      </c>
      <c r="W883" s="1">
        <f t="shared" si="53"/>
        <v>1.7999999999999972</v>
      </c>
      <c r="X883">
        <f t="shared" si="54"/>
        <v>2.1984769999998655E-3</v>
      </c>
      <c r="Y883">
        <f t="shared" si="55"/>
        <v>12.700000000000003</v>
      </c>
      <c r="Z883" s="1">
        <v>3</v>
      </c>
      <c r="AA883">
        <v>97</v>
      </c>
      <c r="AB883">
        <v>3.09E-2</v>
      </c>
      <c r="AC883">
        <v>5</v>
      </c>
      <c r="AD883">
        <v>91</v>
      </c>
      <c r="AE883">
        <v>5.4899999999999997E-2</v>
      </c>
      <c r="AF883" t="s">
        <v>2589</v>
      </c>
      <c r="AG883" t="s">
        <v>2590</v>
      </c>
    </row>
    <row r="884" spans="1:33">
      <c r="A884" s="2" t="s">
        <v>119</v>
      </c>
      <c r="B884" s="2" t="s">
        <v>25</v>
      </c>
      <c r="C884" s="1">
        <v>0.48582609999999998</v>
      </c>
      <c r="D884">
        <v>0.67226483999999997</v>
      </c>
      <c r="E884">
        <v>0.68571362400000002</v>
      </c>
      <c r="F884" s="1" t="s">
        <v>120</v>
      </c>
      <c r="G884" s="1">
        <v>1.1435028249999999</v>
      </c>
      <c r="H884" s="1">
        <v>42.6</v>
      </c>
      <c r="I884" s="1">
        <v>88.5</v>
      </c>
      <c r="J884" s="1">
        <v>0.61460152133333334</v>
      </c>
      <c r="K884" s="1">
        <v>0.53959274199999996</v>
      </c>
      <c r="L884" s="1">
        <v>0.64971567399999997</v>
      </c>
      <c r="M884" s="3">
        <v>0.65028459999999999</v>
      </c>
      <c r="N884" s="1" t="s">
        <v>26</v>
      </c>
      <c r="O884" s="1">
        <v>1.623046875</v>
      </c>
      <c r="P884" s="1">
        <v>34.700000000000003</v>
      </c>
      <c r="Q884" s="1">
        <v>51.2</v>
      </c>
      <c r="R884" s="1">
        <v>0.61319767199999997</v>
      </c>
      <c r="S884" s="1">
        <v>6.8224133712670151E-2</v>
      </c>
      <c r="T884" t="s">
        <v>1031</v>
      </c>
      <c r="U884" s="1">
        <v>1266</v>
      </c>
      <c r="V884">
        <f t="shared" si="52"/>
        <v>0.34471485618681519</v>
      </c>
      <c r="W884" s="1">
        <f t="shared" si="53"/>
        <v>7.8999999999999986</v>
      </c>
      <c r="X884">
        <f t="shared" si="54"/>
        <v>0.47954405000000011</v>
      </c>
      <c r="Y884">
        <f t="shared" si="55"/>
        <v>37.299999999999997</v>
      </c>
      <c r="Z884" s="1">
        <v>0</v>
      </c>
      <c r="AA884">
        <v>100</v>
      </c>
      <c r="AB884">
        <v>0</v>
      </c>
      <c r="AC884">
        <v>0</v>
      </c>
      <c r="AD884">
        <v>98</v>
      </c>
      <c r="AE884">
        <v>0</v>
      </c>
      <c r="AF884" t="s">
        <v>2589</v>
      </c>
      <c r="AG884" t="s">
        <v>2594</v>
      </c>
    </row>
    <row r="885" spans="1:33">
      <c r="A885" s="2" t="s">
        <v>119</v>
      </c>
      <c r="B885" s="2" t="s">
        <v>27</v>
      </c>
      <c r="C885" s="1">
        <v>0.48582609999999998</v>
      </c>
      <c r="D885">
        <v>0.67226483999999997</v>
      </c>
      <c r="E885">
        <v>0.68571362400000002</v>
      </c>
      <c r="F885" s="1" t="s">
        <v>120</v>
      </c>
      <c r="G885" s="1">
        <v>1.1435028249999999</v>
      </c>
      <c r="H885" s="1">
        <v>42.6</v>
      </c>
      <c r="I885" s="1">
        <v>88.5</v>
      </c>
      <c r="J885" s="1">
        <v>0.61460152133333334</v>
      </c>
      <c r="K885" s="1">
        <v>0.518608662</v>
      </c>
      <c r="L885" s="1">
        <v>0.64320369700000002</v>
      </c>
      <c r="M885" s="3">
        <v>0.62228994199999998</v>
      </c>
      <c r="N885" s="1" t="s">
        <v>28</v>
      </c>
      <c r="O885" s="1">
        <v>1.8717391299999999</v>
      </c>
      <c r="P885" s="1">
        <v>33.700000000000003</v>
      </c>
      <c r="Q885" s="1">
        <v>46</v>
      </c>
      <c r="R885" s="1">
        <v>0.59470076699999996</v>
      </c>
      <c r="S885" s="1">
        <v>7.7083135913034964E-2</v>
      </c>
      <c r="T885" t="s">
        <v>1032</v>
      </c>
      <c r="U885" s="1">
        <v>578</v>
      </c>
      <c r="V885">
        <f t="shared" si="52"/>
        <v>0.30688087093561434</v>
      </c>
      <c r="W885" s="1">
        <f t="shared" si="53"/>
        <v>8.8999999999999986</v>
      </c>
      <c r="X885">
        <f t="shared" si="54"/>
        <v>0.72823630500000003</v>
      </c>
      <c r="Y885">
        <f t="shared" si="55"/>
        <v>42.5</v>
      </c>
      <c r="Z885" s="1">
        <v>2</v>
      </c>
      <c r="AA885">
        <v>98</v>
      </c>
      <c r="AB885">
        <v>2.0400000000000001E-2</v>
      </c>
      <c r="AC885">
        <v>3</v>
      </c>
      <c r="AD885">
        <v>102</v>
      </c>
      <c r="AE885">
        <v>2.9399999999999999E-2</v>
      </c>
      <c r="AF885" t="s">
        <v>2589</v>
      </c>
      <c r="AG885" t="s">
        <v>2590</v>
      </c>
    </row>
    <row r="886" spans="1:33">
      <c r="A886" s="2" t="s">
        <v>119</v>
      </c>
      <c r="B886" s="2" t="s">
        <v>29</v>
      </c>
      <c r="C886" s="1">
        <v>0.48582609999999998</v>
      </c>
      <c r="D886">
        <v>0.67226483999999997</v>
      </c>
      <c r="E886">
        <v>0.68571362400000002</v>
      </c>
      <c r="F886" s="1" t="s">
        <v>120</v>
      </c>
      <c r="G886" s="1">
        <v>1.1435028249999999</v>
      </c>
      <c r="H886" s="1">
        <v>42.6</v>
      </c>
      <c r="I886" s="1">
        <v>88.5</v>
      </c>
      <c r="J886" s="1">
        <v>0.61460152133333334</v>
      </c>
      <c r="K886" s="1">
        <v>0.59351545100000003</v>
      </c>
      <c r="L886" s="1">
        <v>0.68136602400000001</v>
      </c>
      <c r="M886" s="3">
        <v>0.73518087600000004</v>
      </c>
      <c r="N886" s="1" t="s">
        <v>30</v>
      </c>
      <c r="O886" s="1">
        <v>2.849112426</v>
      </c>
      <c r="P886" s="1">
        <v>37.9</v>
      </c>
      <c r="Q886" s="1">
        <v>33.799999999999997</v>
      </c>
      <c r="R886" s="1">
        <v>0.67002078366666673</v>
      </c>
      <c r="S886" s="1">
        <v>0.11885637084075289</v>
      </c>
      <c r="T886" t="s">
        <v>1033</v>
      </c>
      <c r="U886" s="1">
        <v>240</v>
      </c>
      <c r="V886">
        <f t="shared" si="52"/>
        <v>0.26446791574573397</v>
      </c>
      <c r="W886" s="1">
        <f t="shared" si="53"/>
        <v>4.7000000000000028</v>
      </c>
      <c r="X886">
        <f t="shared" si="54"/>
        <v>1.7056096010000001</v>
      </c>
      <c r="Y886">
        <f t="shared" si="55"/>
        <v>54.7</v>
      </c>
      <c r="Z886" s="1">
        <v>0</v>
      </c>
      <c r="AA886">
        <v>100</v>
      </c>
      <c r="AB886">
        <v>0</v>
      </c>
      <c r="AC886">
        <v>0</v>
      </c>
      <c r="AD886">
        <v>94</v>
      </c>
      <c r="AE886">
        <v>0</v>
      </c>
      <c r="AF886" t="s">
        <v>2589</v>
      </c>
      <c r="AG886" t="s">
        <v>2593</v>
      </c>
    </row>
    <row r="887" spans="1:33">
      <c r="A887" s="2" t="s">
        <v>119</v>
      </c>
      <c r="B887" s="2" t="s">
        <v>31</v>
      </c>
      <c r="C887" s="1">
        <v>0.48582609999999998</v>
      </c>
      <c r="D887">
        <v>0.67226483999999997</v>
      </c>
      <c r="E887">
        <v>0.68571362400000002</v>
      </c>
      <c r="F887" s="1" t="s">
        <v>120</v>
      </c>
      <c r="G887" s="1">
        <v>1.1435028249999999</v>
      </c>
      <c r="H887" s="1">
        <v>42.6</v>
      </c>
      <c r="I887" s="1">
        <v>88.5</v>
      </c>
      <c r="J887" s="1">
        <v>0.61460152133333334</v>
      </c>
      <c r="K887" s="1">
        <v>0.47727961800000002</v>
      </c>
      <c r="L887" s="1">
        <v>0.66941086400000005</v>
      </c>
      <c r="M887" s="3">
        <v>0.69294815300000001</v>
      </c>
      <c r="N887" s="1" t="s">
        <v>32</v>
      </c>
      <c r="O887" s="1">
        <v>1.341891892</v>
      </c>
      <c r="P887" s="1">
        <v>42.1</v>
      </c>
      <c r="Q887" s="1">
        <v>74</v>
      </c>
      <c r="R887" s="1">
        <v>0.61321287833333338</v>
      </c>
      <c r="S887" s="1">
        <v>1.1555342636059731E-2</v>
      </c>
      <c r="T887" t="s">
        <v>1034</v>
      </c>
      <c r="U887" s="1">
        <v>398007</v>
      </c>
      <c r="V887">
        <f t="shared" si="52"/>
        <v>0.62221007892796409</v>
      </c>
      <c r="W887" s="1">
        <f t="shared" si="53"/>
        <v>0.5</v>
      </c>
      <c r="X887">
        <f t="shared" si="54"/>
        <v>0.19838906700000014</v>
      </c>
      <c r="Y887">
        <f t="shared" si="55"/>
        <v>14.5</v>
      </c>
      <c r="Z887" s="1">
        <v>24</v>
      </c>
      <c r="AA887">
        <v>76</v>
      </c>
      <c r="AB887">
        <v>0.31580000000000003</v>
      </c>
      <c r="AC887">
        <v>32</v>
      </c>
      <c r="AD887">
        <v>70</v>
      </c>
      <c r="AE887">
        <v>0.45710000000000001</v>
      </c>
      <c r="AF887" t="s">
        <v>2589</v>
      </c>
      <c r="AG887" t="s">
        <v>2589</v>
      </c>
    </row>
    <row r="888" spans="1:33">
      <c r="A888" s="2" t="s">
        <v>119</v>
      </c>
      <c r="B888" s="2" t="s">
        <v>33</v>
      </c>
      <c r="C888" s="1">
        <v>0.48582609999999998</v>
      </c>
      <c r="D888">
        <v>0.67226483999999997</v>
      </c>
      <c r="E888">
        <v>0.68571362400000002</v>
      </c>
      <c r="F888" s="1" t="s">
        <v>120</v>
      </c>
      <c r="G888" s="1">
        <v>1.1435028249999999</v>
      </c>
      <c r="H888" s="1">
        <v>42.6</v>
      </c>
      <c r="I888" s="1">
        <v>88.5</v>
      </c>
      <c r="J888" s="1">
        <v>0.61460152133333334</v>
      </c>
      <c r="K888" s="1">
        <v>0.51347926600000005</v>
      </c>
      <c r="L888" s="1">
        <v>0.63144379399999995</v>
      </c>
      <c r="M888" s="3">
        <v>0.64189093500000005</v>
      </c>
      <c r="N888" s="1" t="s">
        <v>34</v>
      </c>
      <c r="O888" s="1">
        <v>2.3123667380000001</v>
      </c>
      <c r="P888" s="1">
        <v>79.099999999999994</v>
      </c>
      <c r="Q888" s="1">
        <v>93.8</v>
      </c>
      <c r="R888" s="1">
        <v>0.59560466500000009</v>
      </c>
      <c r="S888" s="1">
        <v>6.5965774895383411E-2</v>
      </c>
      <c r="T888" t="s">
        <v>1035</v>
      </c>
      <c r="U888" s="1">
        <v>2018</v>
      </c>
      <c r="V888">
        <f t="shared" si="52"/>
        <v>0.36721346243343239</v>
      </c>
      <c r="W888" s="1">
        <f t="shared" si="53"/>
        <v>36.499999999999993</v>
      </c>
      <c r="X888">
        <f t="shared" si="54"/>
        <v>1.1688639130000003</v>
      </c>
      <c r="Y888">
        <f t="shared" si="55"/>
        <v>5.2999999999999972</v>
      </c>
      <c r="Z888" s="1">
        <v>8</v>
      </c>
      <c r="AA888">
        <v>92</v>
      </c>
      <c r="AB888">
        <v>8.6999999999999994E-2</v>
      </c>
      <c r="AC888">
        <v>9</v>
      </c>
      <c r="AD888">
        <v>87</v>
      </c>
      <c r="AE888">
        <v>0.10340000000000001</v>
      </c>
      <c r="AF888" t="s">
        <v>2589</v>
      </c>
      <c r="AG888" t="s">
        <v>2590</v>
      </c>
    </row>
    <row r="889" spans="1:33">
      <c r="A889" s="2" t="s">
        <v>119</v>
      </c>
      <c r="B889" s="2" t="s">
        <v>35</v>
      </c>
      <c r="C889" s="1">
        <v>0.48582609999999998</v>
      </c>
      <c r="D889">
        <v>0.67226483999999997</v>
      </c>
      <c r="E889">
        <v>0.68571362400000002</v>
      </c>
      <c r="F889" s="1" t="s">
        <v>120</v>
      </c>
      <c r="G889" s="1">
        <v>1.1435028249999999</v>
      </c>
      <c r="H889" s="1">
        <v>42.6</v>
      </c>
      <c r="I889" s="1">
        <v>88.5</v>
      </c>
      <c r="J889" s="1">
        <v>0.61460152133333334</v>
      </c>
      <c r="K889" s="1">
        <v>0.52542897600000005</v>
      </c>
      <c r="L889" s="1">
        <v>0.60774736299999998</v>
      </c>
      <c r="M889" s="3">
        <v>0.62585751700000003</v>
      </c>
      <c r="N889" s="1" t="s">
        <v>36</v>
      </c>
      <c r="O889" s="1">
        <v>0.98848810399999998</v>
      </c>
      <c r="P889" s="1">
        <v>54.2</v>
      </c>
      <c r="Q889" s="1">
        <v>130.30000000000001</v>
      </c>
      <c r="R889" s="1">
        <v>0.58634461866666665</v>
      </c>
      <c r="S889" s="1">
        <v>9.6507233776087248E-2</v>
      </c>
      <c r="T889" t="s">
        <v>1036</v>
      </c>
      <c r="U889" s="1">
        <v>6806</v>
      </c>
      <c r="V889">
        <f t="shared" si="52"/>
        <v>0.42587688275108782</v>
      </c>
      <c r="W889" s="1">
        <f t="shared" si="53"/>
        <v>11.600000000000001</v>
      </c>
      <c r="X889">
        <f t="shared" si="54"/>
        <v>0.15501472099999991</v>
      </c>
      <c r="Y889">
        <f t="shared" si="55"/>
        <v>41.800000000000011</v>
      </c>
      <c r="Z889" s="1">
        <v>9</v>
      </c>
      <c r="AA889">
        <v>91</v>
      </c>
      <c r="AB889">
        <v>9.8900000000000002E-2</v>
      </c>
      <c r="AC889">
        <v>11</v>
      </c>
      <c r="AD889">
        <v>84</v>
      </c>
      <c r="AE889">
        <v>0.13100000000000001</v>
      </c>
      <c r="AF889" t="s">
        <v>2589</v>
      </c>
      <c r="AG889" t="s">
        <v>2589</v>
      </c>
    </row>
    <row r="890" spans="1:33">
      <c r="A890" s="2" t="s">
        <v>119</v>
      </c>
      <c r="B890" s="2" t="s">
        <v>37</v>
      </c>
      <c r="C890" s="1">
        <v>0.48582609999999998</v>
      </c>
      <c r="D890">
        <v>0.67226483999999997</v>
      </c>
      <c r="E890">
        <v>0.68571362400000002</v>
      </c>
      <c r="F890" s="1" t="s">
        <v>120</v>
      </c>
      <c r="G890" s="1">
        <v>1.1435028249999999</v>
      </c>
      <c r="H890" s="1">
        <v>42.6</v>
      </c>
      <c r="I890" s="1">
        <v>88.5</v>
      </c>
      <c r="J890" s="1">
        <v>0.61460152133333334</v>
      </c>
      <c r="K890" s="1">
        <v>0.50856695500000004</v>
      </c>
      <c r="L890" s="1">
        <v>0.654733224</v>
      </c>
      <c r="M890" s="3">
        <v>0.61418267199999999</v>
      </c>
      <c r="N890" s="1" t="s">
        <v>38</v>
      </c>
      <c r="O890" s="1">
        <v>0.64065708399999999</v>
      </c>
      <c r="P890" s="1">
        <v>41.9</v>
      </c>
      <c r="Q890" s="1">
        <v>146.1</v>
      </c>
      <c r="R890" s="1">
        <v>0.59249428366666679</v>
      </c>
      <c r="S890" s="1">
        <v>7.7079057724707509E-2</v>
      </c>
      <c r="T890" t="s">
        <v>1037</v>
      </c>
      <c r="U890" s="1">
        <v>702</v>
      </c>
      <c r="V890">
        <f t="shared" si="52"/>
        <v>0.31625967912553388</v>
      </c>
      <c r="W890" s="1">
        <f t="shared" si="53"/>
        <v>0.70000000000000284</v>
      </c>
      <c r="X890">
        <f t="shared" si="54"/>
        <v>0.5028457409999999</v>
      </c>
      <c r="Y890">
        <f t="shared" si="55"/>
        <v>57.599999999999994</v>
      </c>
      <c r="Z890" s="1">
        <v>8</v>
      </c>
      <c r="AA890">
        <v>92</v>
      </c>
      <c r="AB890">
        <v>8.6999999999999994E-2</v>
      </c>
      <c r="AC890">
        <v>9</v>
      </c>
      <c r="AD890">
        <v>85</v>
      </c>
      <c r="AE890">
        <v>0.10589999999999999</v>
      </c>
      <c r="AF890" t="s">
        <v>2589</v>
      </c>
      <c r="AG890" t="s">
        <v>2590</v>
      </c>
    </row>
    <row r="891" spans="1:33">
      <c r="A891" s="2" t="s">
        <v>119</v>
      </c>
      <c r="B891" s="2" t="s">
        <v>39</v>
      </c>
      <c r="C891" s="1">
        <v>0.48582609999999998</v>
      </c>
      <c r="D891">
        <v>0.67226483999999997</v>
      </c>
      <c r="E891">
        <v>0.68571362400000002</v>
      </c>
      <c r="F891" s="1" t="s">
        <v>120</v>
      </c>
      <c r="G891" s="1">
        <v>1.1435028249999999</v>
      </c>
      <c r="H891" s="1">
        <v>42.6</v>
      </c>
      <c r="I891" s="1">
        <v>88.5</v>
      </c>
      <c r="J891" s="1">
        <v>0.61460152133333334</v>
      </c>
      <c r="K891" s="1">
        <v>0.60811616199999996</v>
      </c>
      <c r="L891" s="1">
        <v>0.721105683</v>
      </c>
      <c r="M891" s="3">
        <v>0.741016169</v>
      </c>
      <c r="N891" s="1" t="s">
        <v>40</v>
      </c>
      <c r="O891" s="1">
        <v>1.0601915180000001</v>
      </c>
      <c r="P891" s="1">
        <v>34</v>
      </c>
      <c r="Q891" s="1">
        <v>73.099999999999994</v>
      </c>
      <c r="R891" s="1">
        <v>0.69007933799999999</v>
      </c>
      <c r="S891" s="1">
        <v>0.14282387297784468</v>
      </c>
      <c r="T891" t="s">
        <v>1038</v>
      </c>
      <c r="U891" s="1">
        <v>8217</v>
      </c>
      <c r="V891">
        <f t="shared" si="52"/>
        <v>0.43496814299706932</v>
      </c>
      <c r="W891" s="1">
        <f t="shared" si="53"/>
        <v>8.6000000000000014</v>
      </c>
      <c r="X891">
        <f t="shared" si="54"/>
        <v>8.3311306999999779E-2</v>
      </c>
      <c r="Y891">
        <f t="shared" si="55"/>
        <v>15.400000000000006</v>
      </c>
      <c r="Z891" s="1">
        <v>3</v>
      </c>
      <c r="AA891">
        <v>97</v>
      </c>
      <c r="AB891">
        <v>3.09E-2</v>
      </c>
      <c r="AC891">
        <v>5</v>
      </c>
      <c r="AD891">
        <v>92</v>
      </c>
      <c r="AE891">
        <v>5.4300000000000001E-2</v>
      </c>
      <c r="AF891" t="s">
        <v>2589</v>
      </c>
      <c r="AG891" t="s">
        <v>2589</v>
      </c>
    </row>
    <row r="892" spans="1:33">
      <c r="A892" s="2" t="s">
        <v>119</v>
      </c>
      <c r="B892" s="2" t="s">
        <v>41</v>
      </c>
      <c r="C892" s="1">
        <v>0.48582609999999998</v>
      </c>
      <c r="D892">
        <v>0.67226483999999997</v>
      </c>
      <c r="E892">
        <v>0.68571362400000002</v>
      </c>
      <c r="F892" s="1" t="s">
        <v>120</v>
      </c>
      <c r="G892" s="1">
        <v>1.1435028249999999</v>
      </c>
      <c r="H892" s="1">
        <v>42.6</v>
      </c>
      <c r="I892" s="1">
        <v>88.5</v>
      </c>
      <c r="J892" s="1">
        <v>0.61460152133333334</v>
      </c>
      <c r="K892" s="1">
        <v>0.60402244999999999</v>
      </c>
      <c r="L892" s="1">
        <v>0.669189213</v>
      </c>
      <c r="M892" s="3">
        <v>0.69821693799999995</v>
      </c>
      <c r="N892" s="1" t="s">
        <v>42</v>
      </c>
      <c r="O892" s="1">
        <v>1.3243902439999999</v>
      </c>
      <c r="P892" s="1">
        <v>23</v>
      </c>
      <c r="Q892" s="1">
        <v>41</v>
      </c>
      <c r="R892" s="1">
        <v>0.65714286700000002</v>
      </c>
      <c r="S892" s="1">
        <v>0.11889562437595516</v>
      </c>
      <c r="T892" t="s">
        <v>1039</v>
      </c>
      <c r="U892" s="1">
        <v>396</v>
      </c>
      <c r="V892">
        <f t="shared" si="52"/>
        <v>0.28863279843616801</v>
      </c>
      <c r="W892" s="1">
        <f t="shared" si="53"/>
        <v>19.600000000000001</v>
      </c>
      <c r="X892">
        <f t="shared" si="54"/>
        <v>0.18088741900000005</v>
      </c>
      <c r="Y892">
        <f t="shared" si="55"/>
        <v>47.5</v>
      </c>
      <c r="Z892" s="1">
        <v>0</v>
      </c>
      <c r="AA892">
        <v>100</v>
      </c>
      <c r="AB892">
        <v>0</v>
      </c>
      <c r="AC892">
        <v>0</v>
      </c>
      <c r="AD892">
        <v>111</v>
      </c>
      <c r="AE892">
        <v>0</v>
      </c>
      <c r="AF892" t="s">
        <v>2589</v>
      </c>
      <c r="AG892" t="s">
        <v>2591</v>
      </c>
    </row>
    <row r="893" spans="1:33">
      <c r="A893" s="2" t="s">
        <v>119</v>
      </c>
      <c r="B893" s="2" t="s">
        <v>43</v>
      </c>
      <c r="C893" s="1">
        <v>0.48582609999999998</v>
      </c>
      <c r="D893">
        <v>0.67226483999999997</v>
      </c>
      <c r="E893">
        <v>0.68571362400000002</v>
      </c>
      <c r="F893" s="1" t="s">
        <v>120</v>
      </c>
      <c r="G893" s="1">
        <v>1.1435028249999999</v>
      </c>
      <c r="H893" s="1">
        <v>42.6</v>
      </c>
      <c r="I893" s="1">
        <v>88.5</v>
      </c>
      <c r="J893" s="1">
        <v>0.61460152133333334</v>
      </c>
      <c r="K893" s="1">
        <v>0.54180634699999997</v>
      </c>
      <c r="L893" s="1">
        <v>0.59470779900000004</v>
      </c>
      <c r="M893" s="3">
        <v>0.69518155599999998</v>
      </c>
      <c r="N893" s="1" t="s">
        <v>44</v>
      </c>
      <c r="O893" s="1">
        <v>1.7403685090000001</v>
      </c>
      <c r="P893" s="1">
        <v>41.2</v>
      </c>
      <c r="Q893" s="1">
        <v>59.7</v>
      </c>
      <c r="R893" s="1">
        <v>0.61056523400000007</v>
      </c>
      <c r="S893" s="1">
        <v>9.6117242985914342E-2</v>
      </c>
      <c r="T893" t="s">
        <v>1040</v>
      </c>
      <c r="U893" s="1">
        <v>4920</v>
      </c>
      <c r="V893">
        <f t="shared" si="52"/>
        <v>0.41021834475192892</v>
      </c>
      <c r="W893" s="1">
        <f t="shared" si="53"/>
        <v>1.3999999999999986</v>
      </c>
      <c r="X893">
        <f t="shared" si="54"/>
        <v>0.59686568400000017</v>
      </c>
      <c r="Y893">
        <f t="shared" si="55"/>
        <v>28.799999999999997</v>
      </c>
      <c r="Z893" s="1">
        <v>9</v>
      </c>
      <c r="AA893">
        <v>91</v>
      </c>
      <c r="AB893">
        <v>9.8900000000000002E-2</v>
      </c>
      <c r="AC893">
        <v>11</v>
      </c>
      <c r="AD893">
        <v>122</v>
      </c>
      <c r="AE893">
        <v>9.0200000000000002E-2</v>
      </c>
      <c r="AF893" t="s">
        <v>2589</v>
      </c>
      <c r="AG893" t="s">
        <v>2589</v>
      </c>
    </row>
    <row r="894" spans="1:33">
      <c r="A894" s="2" t="s">
        <v>119</v>
      </c>
      <c r="B894" s="2" t="s">
        <v>45</v>
      </c>
      <c r="C894" s="1">
        <v>0.48582609999999998</v>
      </c>
      <c r="D894">
        <v>0.67226483999999997</v>
      </c>
      <c r="E894">
        <v>0.68571362400000002</v>
      </c>
      <c r="F894" s="1" t="s">
        <v>120</v>
      </c>
      <c r="G894" s="1">
        <v>1.1435028249999999</v>
      </c>
      <c r="H894" s="1">
        <v>42.6</v>
      </c>
      <c r="I894" s="1">
        <v>88.5</v>
      </c>
      <c r="J894" s="1">
        <v>0.61460152133333334</v>
      </c>
      <c r="K894" s="1">
        <v>0.50907007599999998</v>
      </c>
      <c r="L894" s="1">
        <v>0.68428041399999995</v>
      </c>
      <c r="M894" s="3">
        <v>0.67454742099999998</v>
      </c>
      <c r="N894" s="1" t="s">
        <v>46</v>
      </c>
      <c r="O894" s="1">
        <v>0.98140043799999999</v>
      </c>
      <c r="P894" s="1">
        <v>38.9</v>
      </c>
      <c r="Q894" s="1">
        <v>91.4</v>
      </c>
      <c r="R894" s="1">
        <v>0.62263263699999993</v>
      </c>
      <c r="S894" s="1">
        <v>2.8448910845149437E-2</v>
      </c>
      <c r="T894" t="s">
        <v>1041</v>
      </c>
      <c r="U894" s="1">
        <v>14456</v>
      </c>
      <c r="V894">
        <f t="shared" si="52"/>
        <v>0.46222757106143064</v>
      </c>
      <c r="W894" s="1">
        <f t="shared" si="53"/>
        <v>3.7000000000000028</v>
      </c>
      <c r="X894">
        <f t="shared" si="54"/>
        <v>0.1621023869999999</v>
      </c>
      <c r="Y894">
        <f t="shared" si="55"/>
        <v>2.9000000000000057</v>
      </c>
      <c r="Z894" s="1">
        <v>10</v>
      </c>
      <c r="AA894">
        <v>90</v>
      </c>
      <c r="AB894">
        <v>0.1111</v>
      </c>
      <c r="AC894">
        <v>12</v>
      </c>
      <c r="AD894">
        <v>101</v>
      </c>
      <c r="AE894">
        <v>0.1188</v>
      </c>
      <c r="AF894" t="s">
        <v>2589</v>
      </c>
      <c r="AG894" t="s">
        <v>2589</v>
      </c>
    </row>
    <row r="895" spans="1:33">
      <c r="A895" s="2" t="s">
        <v>119</v>
      </c>
      <c r="B895" s="2" t="s">
        <v>47</v>
      </c>
      <c r="C895" s="1">
        <v>0.48582609999999998</v>
      </c>
      <c r="D895">
        <v>0.67226483999999997</v>
      </c>
      <c r="E895">
        <v>0.68571362400000002</v>
      </c>
      <c r="F895" s="1" t="s">
        <v>120</v>
      </c>
      <c r="G895" s="1">
        <v>1.1435028249999999</v>
      </c>
      <c r="H895" s="1">
        <v>42.6</v>
      </c>
      <c r="I895" s="1">
        <v>88.5</v>
      </c>
      <c r="J895" s="1">
        <v>0.61460152133333334</v>
      </c>
      <c r="K895" s="1">
        <v>0.50612154099999995</v>
      </c>
      <c r="L895" s="1">
        <v>0.55940039100000005</v>
      </c>
      <c r="M895" s="3">
        <v>0.66789001699999995</v>
      </c>
      <c r="N895" s="1" t="s">
        <v>48</v>
      </c>
      <c r="O895" s="1">
        <v>1.242622951</v>
      </c>
      <c r="P895" s="1">
        <v>17.8</v>
      </c>
      <c r="Q895" s="1">
        <v>30.5</v>
      </c>
      <c r="R895" s="1">
        <v>0.57780398300000002</v>
      </c>
      <c r="S895" s="1">
        <v>0.11605158223802257</v>
      </c>
      <c r="T895" t="s">
        <v>1042</v>
      </c>
      <c r="U895" s="1">
        <v>335</v>
      </c>
      <c r="V895">
        <f t="shared" si="52"/>
        <v>0.28056053411520504</v>
      </c>
      <c r="W895" s="1">
        <f t="shared" si="53"/>
        <v>24.8</v>
      </c>
      <c r="X895">
        <f t="shared" si="54"/>
        <v>9.9120126000000086E-2</v>
      </c>
      <c r="Y895">
        <f t="shared" si="55"/>
        <v>58</v>
      </c>
      <c r="Z895" s="1">
        <v>1</v>
      </c>
      <c r="AA895">
        <v>99</v>
      </c>
      <c r="AB895">
        <v>1.01E-2</v>
      </c>
      <c r="AC895">
        <v>2</v>
      </c>
      <c r="AD895">
        <v>118</v>
      </c>
      <c r="AE895">
        <v>1.6899999999999998E-2</v>
      </c>
      <c r="AF895" t="s">
        <v>2589</v>
      </c>
      <c r="AG895" t="s">
        <v>2590</v>
      </c>
    </row>
    <row r="896" spans="1:33">
      <c r="A896" s="2" t="s">
        <v>119</v>
      </c>
      <c r="B896" s="2" t="s">
        <v>49</v>
      </c>
      <c r="C896" s="1">
        <v>0.48582609999999998</v>
      </c>
      <c r="D896">
        <v>0.67226483999999997</v>
      </c>
      <c r="E896">
        <v>0.68571362400000002</v>
      </c>
      <c r="F896" s="1" t="s">
        <v>120</v>
      </c>
      <c r="G896" s="1">
        <v>1.1435028249999999</v>
      </c>
      <c r="H896" s="1">
        <v>42.6</v>
      </c>
      <c r="I896" s="1">
        <v>88.5</v>
      </c>
      <c r="J896" s="1">
        <v>0.61460152133333334</v>
      </c>
      <c r="K896" s="1">
        <v>0.50647110500000003</v>
      </c>
      <c r="L896" s="1">
        <v>0.55713136799999996</v>
      </c>
      <c r="M896" s="3">
        <v>0.63402682300000002</v>
      </c>
      <c r="N896" s="1" t="s">
        <v>50</v>
      </c>
      <c r="O896" s="1">
        <v>1.876675603</v>
      </c>
      <c r="P896" s="1">
        <v>28.8</v>
      </c>
      <c r="Q896" s="1">
        <v>37.299999999999997</v>
      </c>
      <c r="R896" s="1">
        <v>0.56587643200000004</v>
      </c>
      <c r="S896" s="1">
        <v>0.1278806396755913</v>
      </c>
      <c r="T896" t="s">
        <v>1043</v>
      </c>
      <c r="U896" s="1">
        <v>2064</v>
      </c>
      <c r="V896">
        <f t="shared" si="52"/>
        <v>0.36830107699501929</v>
      </c>
      <c r="W896" s="1">
        <f t="shared" si="53"/>
        <v>13.8</v>
      </c>
      <c r="X896">
        <f t="shared" si="54"/>
        <v>0.73317277800000014</v>
      </c>
      <c r="Y896">
        <f t="shared" si="55"/>
        <v>51.2</v>
      </c>
      <c r="Z896" s="1">
        <v>3</v>
      </c>
      <c r="AA896">
        <v>97</v>
      </c>
      <c r="AB896">
        <v>3.09E-2</v>
      </c>
      <c r="AC896">
        <v>4</v>
      </c>
      <c r="AD896">
        <v>90</v>
      </c>
      <c r="AE896">
        <v>4.4400000000000002E-2</v>
      </c>
      <c r="AF896" t="s">
        <v>2589</v>
      </c>
      <c r="AG896" t="s">
        <v>2590</v>
      </c>
    </row>
    <row r="897" spans="1:33">
      <c r="A897" s="2" t="s">
        <v>119</v>
      </c>
      <c r="B897" s="2" t="s">
        <v>51</v>
      </c>
      <c r="C897" s="1">
        <v>0.48582609999999998</v>
      </c>
      <c r="D897">
        <v>0.67226483999999997</v>
      </c>
      <c r="E897">
        <v>0.68571362400000002</v>
      </c>
      <c r="F897" s="1" t="s">
        <v>120</v>
      </c>
      <c r="G897" s="1">
        <v>1.1435028249999999</v>
      </c>
      <c r="H897" s="1">
        <v>42.6</v>
      </c>
      <c r="I897" s="1">
        <v>88.5</v>
      </c>
      <c r="J897" s="1">
        <v>0.61460152133333334</v>
      </c>
      <c r="K897" s="1">
        <v>0.60067161999999996</v>
      </c>
      <c r="L897" s="1">
        <v>0.68094129999999997</v>
      </c>
      <c r="M897" s="3">
        <v>0.73595931299999995</v>
      </c>
      <c r="N897" s="1" t="s">
        <v>52</v>
      </c>
      <c r="O897" s="1">
        <v>1.858638743</v>
      </c>
      <c r="P897" s="1">
        <v>29.4</v>
      </c>
      <c r="Q897" s="1">
        <v>38.200000000000003</v>
      </c>
      <c r="R897" s="1">
        <v>0.67252407766666666</v>
      </c>
      <c r="S897" s="1">
        <v>0.12565589395363319</v>
      </c>
      <c r="T897" t="s">
        <v>1044</v>
      </c>
      <c r="U897" s="1">
        <v>368</v>
      </c>
      <c r="V897">
        <f t="shared" si="52"/>
        <v>0.28509420207483527</v>
      </c>
      <c r="W897" s="1">
        <f t="shared" si="53"/>
        <v>13.200000000000003</v>
      </c>
      <c r="X897">
        <f t="shared" si="54"/>
        <v>0.71513591800000009</v>
      </c>
      <c r="Y897">
        <f t="shared" si="55"/>
        <v>50.3</v>
      </c>
      <c r="Z897" s="1">
        <v>3</v>
      </c>
      <c r="AA897">
        <v>97</v>
      </c>
      <c r="AB897">
        <v>3.09E-2</v>
      </c>
      <c r="AC897">
        <v>4</v>
      </c>
      <c r="AD897">
        <v>99</v>
      </c>
      <c r="AE897">
        <v>4.0399999999999998E-2</v>
      </c>
      <c r="AF897" t="s">
        <v>2589</v>
      </c>
      <c r="AG897" t="s">
        <v>2591</v>
      </c>
    </row>
    <row r="898" spans="1:33">
      <c r="A898" s="2" t="s">
        <v>119</v>
      </c>
      <c r="B898" s="2" t="s">
        <v>53</v>
      </c>
      <c r="C898" s="1">
        <v>0.48582609999999998</v>
      </c>
      <c r="D898">
        <v>0.67226483999999997</v>
      </c>
      <c r="E898">
        <v>0.68571362400000002</v>
      </c>
      <c r="F898" s="1" t="s">
        <v>120</v>
      </c>
      <c r="G898" s="1">
        <v>1.1435028249999999</v>
      </c>
      <c r="H898" s="1">
        <v>42.6</v>
      </c>
      <c r="I898" s="1">
        <v>88.5</v>
      </c>
      <c r="J898" s="1">
        <v>0.61460152133333334</v>
      </c>
      <c r="K898" s="1">
        <v>0.54695832700000002</v>
      </c>
      <c r="L898" s="1">
        <v>0.659790137</v>
      </c>
      <c r="M898" s="3">
        <v>0.70662085500000005</v>
      </c>
      <c r="N898" s="1" t="s">
        <v>54</v>
      </c>
      <c r="O898" s="1">
        <v>2.5053995680000001</v>
      </c>
      <c r="P898" s="1">
        <v>43.9</v>
      </c>
      <c r="Q898" s="1">
        <v>46.3</v>
      </c>
      <c r="R898" s="1">
        <v>0.63778977300000006</v>
      </c>
      <c r="S898" s="1">
        <v>6.5801821410999745E-2</v>
      </c>
      <c r="T898" t="s">
        <v>1045</v>
      </c>
      <c r="U898" s="1">
        <v>813</v>
      </c>
      <c r="V898">
        <f t="shared" ref="V898:V961" si="56">LOG10(U898) / 9</f>
        <v>0.32334339395489642</v>
      </c>
      <c r="W898" s="1">
        <f t="shared" ref="W898:W961" si="57">ABS(H898-P898)</f>
        <v>1.2999999999999972</v>
      </c>
      <c r="X898">
        <f t="shared" ref="X898:X961" si="58">ABS(G898-O898)</f>
        <v>1.3618967430000002</v>
      </c>
      <c r="Y898">
        <f t="shared" ref="Y898:Y961" si="59">ABS(I898-Q898)</f>
        <v>42.2</v>
      </c>
      <c r="Z898" s="1">
        <v>1</v>
      </c>
      <c r="AA898">
        <v>99</v>
      </c>
      <c r="AB898">
        <v>1.01E-2</v>
      </c>
      <c r="AC898">
        <v>2</v>
      </c>
      <c r="AD898">
        <v>101</v>
      </c>
      <c r="AE898">
        <v>1.9800000000000002E-2</v>
      </c>
      <c r="AF898" t="s">
        <v>2589</v>
      </c>
      <c r="AG898" t="s">
        <v>2593</v>
      </c>
    </row>
    <row r="899" spans="1:33">
      <c r="A899" s="2" t="s">
        <v>119</v>
      </c>
      <c r="B899" s="2" t="s">
        <v>55</v>
      </c>
      <c r="C899" s="1">
        <v>0.48582609999999998</v>
      </c>
      <c r="D899">
        <v>0.67226483999999997</v>
      </c>
      <c r="E899">
        <v>0.68571362400000002</v>
      </c>
      <c r="F899" s="1" t="s">
        <v>120</v>
      </c>
      <c r="G899" s="1">
        <v>1.1435028249999999</v>
      </c>
      <c r="H899" s="1">
        <v>42.6</v>
      </c>
      <c r="I899" s="1">
        <v>88.5</v>
      </c>
      <c r="J899" s="1">
        <v>0.61460152133333334</v>
      </c>
      <c r="K899" s="1">
        <v>0.52971861799999997</v>
      </c>
      <c r="L899" s="1">
        <v>0.62258244500000004</v>
      </c>
      <c r="M899" s="3">
        <v>0.63939760400000001</v>
      </c>
      <c r="N899" s="1" t="s">
        <v>56</v>
      </c>
      <c r="O899" s="1">
        <v>1.0796934869999999</v>
      </c>
      <c r="P899" s="1">
        <v>55.3</v>
      </c>
      <c r="Q899" s="1">
        <v>130.5</v>
      </c>
      <c r="R899" s="1">
        <v>0.59723288899999993</v>
      </c>
      <c r="S899" s="1">
        <v>8.0870682066845112E-2</v>
      </c>
      <c r="T899" t="s">
        <v>1046</v>
      </c>
      <c r="U899" s="1">
        <v>7299</v>
      </c>
      <c r="V899">
        <f t="shared" si="56"/>
        <v>0.42925148485005343</v>
      </c>
      <c r="W899" s="1">
        <f t="shared" si="57"/>
        <v>12.699999999999996</v>
      </c>
      <c r="X899">
        <f t="shared" si="58"/>
        <v>6.3809337999999993E-2</v>
      </c>
      <c r="Y899">
        <f t="shared" si="59"/>
        <v>42</v>
      </c>
      <c r="Z899" s="1">
        <v>9</v>
      </c>
      <c r="AA899">
        <v>91</v>
      </c>
      <c r="AB899">
        <v>9.8900000000000002E-2</v>
      </c>
      <c r="AC899">
        <v>10</v>
      </c>
      <c r="AD899">
        <v>85</v>
      </c>
      <c r="AE899">
        <v>0.1176</v>
      </c>
      <c r="AF899" t="s">
        <v>2589</v>
      </c>
      <c r="AG899" t="s">
        <v>2592</v>
      </c>
    </row>
    <row r="900" spans="1:33">
      <c r="A900" s="2" t="s">
        <v>119</v>
      </c>
      <c r="B900" s="2" t="s">
        <v>57</v>
      </c>
      <c r="C900" s="1">
        <v>0.48582609999999998</v>
      </c>
      <c r="D900">
        <v>0.67226483999999997</v>
      </c>
      <c r="E900">
        <v>0.68571362400000002</v>
      </c>
      <c r="F900" s="1" t="s">
        <v>120</v>
      </c>
      <c r="G900" s="1">
        <v>1.1435028249999999</v>
      </c>
      <c r="H900" s="1">
        <v>42.6</v>
      </c>
      <c r="I900" s="1">
        <v>88.5</v>
      </c>
      <c r="J900" s="1">
        <v>0.61460152133333334</v>
      </c>
      <c r="K900" s="1">
        <v>0.528732855</v>
      </c>
      <c r="L900" s="1">
        <v>0.63387497599999998</v>
      </c>
      <c r="M900" s="3">
        <v>0.63337360200000004</v>
      </c>
      <c r="N900" s="1" t="s">
        <v>58</v>
      </c>
      <c r="O900" s="1">
        <v>1.386610879</v>
      </c>
      <c r="P900" s="1">
        <v>69</v>
      </c>
      <c r="Q900" s="1">
        <v>119.5</v>
      </c>
      <c r="R900" s="1">
        <v>0.59866047766666663</v>
      </c>
      <c r="S900" s="1">
        <v>7.7809055935212354E-2</v>
      </c>
      <c r="T900" t="s">
        <v>1047</v>
      </c>
      <c r="U900" s="1">
        <v>8160</v>
      </c>
      <c r="V900">
        <f t="shared" si="56"/>
        <v>0.43463223986154015</v>
      </c>
      <c r="W900" s="1">
        <f t="shared" si="57"/>
        <v>26.4</v>
      </c>
      <c r="X900">
        <f t="shared" si="58"/>
        <v>0.24310805400000013</v>
      </c>
      <c r="Y900">
        <f t="shared" si="59"/>
        <v>31</v>
      </c>
      <c r="Z900" s="1">
        <v>12</v>
      </c>
      <c r="AA900">
        <v>88</v>
      </c>
      <c r="AB900">
        <v>0.13639999999999999</v>
      </c>
      <c r="AC900">
        <v>13</v>
      </c>
      <c r="AD900">
        <v>88</v>
      </c>
      <c r="AE900">
        <v>0.1477</v>
      </c>
      <c r="AF900" t="s">
        <v>2589</v>
      </c>
      <c r="AG900" t="s">
        <v>2589</v>
      </c>
    </row>
    <row r="901" spans="1:33">
      <c r="A901" s="2" t="s">
        <v>119</v>
      </c>
      <c r="B901" s="2" t="s">
        <v>59</v>
      </c>
      <c r="C901" s="1">
        <v>0.48582609999999998</v>
      </c>
      <c r="D901">
        <v>0.67226483999999997</v>
      </c>
      <c r="E901">
        <v>0.68571362400000002</v>
      </c>
      <c r="F901" s="1" t="s">
        <v>120</v>
      </c>
      <c r="G901" s="1">
        <v>1.1435028249999999</v>
      </c>
      <c r="H901" s="1">
        <v>42.6</v>
      </c>
      <c r="I901" s="1">
        <v>88.5</v>
      </c>
      <c r="J901" s="1">
        <v>0.61460152133333334</v>
      </c>
      <c r="K901" s="1">
        <v>0.56225432799999997</v>
      </c>
      <c r="L901" s="1">
        <v>0.68100706499999997</v>
      </c>
      <c r="M901" s="3">
        <v>0.67505263699999996</v>
      </c>
      <c r="N901" s="1" t="s">
        <v>60</v>
      </c>
      <c r="O901" s="1">
        <v>1.1501154730000001</v>
      </c>
      <c r="P901" s="1">
        <v>60.5</v>
      </c>
      <c r="Q901" s="1">
        <v>129.9</v>
      </c>
      <c r="R901" s="1">
        <v>0.63943801</v>
      </c>
      <c r="S901" s="1">
        <v>7.7661812861822749E-2</v>
      </c>
      <c r="T901" t="s">
        <v>1048</v>
      </c>
      <c r="U901" s="1">
        <v>9275</v>
      </c>
      <c r="V901">
        <f t="shared" si="56"/>
        <v>0.44081265758745375</v>
      </c>
      <c r="W901" s="1">
        <f t="shared" si="57"/>
        <v>17.899999999999999</v>
      </c>
      <c r="X901">
        <f t="shared" si="58"/>
        <v>6.6126480000001653E-3</v>
      </c>
      <c r="Y901">
        <f t="shared" si="59"/>
        <v>41.400000000000006</v>
      </c>
      <c r="Z901" s="1">
        <v>9</v>
      </c>
      <c r="AA901">
        <v>91</v>
      </c>
      <c r="AB901">
        <v>9.8900000000000002E-2</v>
      </c>
      <c r="AC901">
        <v>11</v>
      </c>
      <c r="AD901">
        <v>109</v>
      </c>
      <c r="AE901">
        <v>0.1009</v>
      </c>
      <c r="AF901" t="s">
        <v>2589</v>
      </c>
      <c r="AG901" t="s">
        <v>2589</v>
      </c>
    </row>
    <row r="902" spans="1:33">
      <c r="A902" s="2" t="s">
        <v>119</v>
      </c>
      <c r="B902" s="2" t="s">
        <v>61</v>
      </c>
      <c r="C902" s="1">
        <v>0.48582609999999998</v>
      </c>
      <c r="D902">
        <v>0.67226483999999997</v>
      </c>
      <c r="E902">
        <v>0.68571362400000002</v>
      </c>
      <c r="F902" s="1" t="s">
        <v>120</v>
      </c>
      <c r="G902" s="1">
        <v>1.1435028249999999</v>
      </c>
      <c r="H902" s="1">
        <v>42.6</v>
      </c>
      <c r="I902" s="1">
        <v>88.5</v>
      </c>
      <c r="J902" s="1">
        <v>0.61460152133333334</v>
      </c>
      <c r="K902" s="1">
        <v>0.62063455999999995</v>
      </c>
      <c r="L902" s="1">
        <v>0.67798104299999995</v>
      </c>
      <c r="M902" s="3">
        <v>0.72175371600000005</v>
      </c>
      <c r="N902" s="1" t="s">
        <v>62</v>
      </c>
      <c r="O902" s="1">
        <v>7.5471698109999998</v>
      </c>
      <c r="P902" s="1">
        <v>26.4</v>
      </c>
      <c r="Q902" s="1">
        <v>10.6</v>
      </c>
      <c r="R902" s="1">
        <v>0.6734564396666668</v>
      </c>
      <c r="S902" s="1">
        <v>0.1396598872105991</v>
      </c>
      <c r="T902" t="s">
        <v>1049</v>
      </c>
      <c r="U902" s="1">
        <v>508</v>
      </c>
      <c r="V902">
        <f t="shared" si="56"/>
        <v>0.30065152358710212</v>
      </c>
      <c r="W902" s="1">
        <f t="shared" si="57"/>
        <v>16.200000000000003</v>
      </c>
      <c r="X902">
        <f t="shared" si="58"/>
        <v>6.4036669860000002</v>
      </c>
      <c r="Y902">
        <f t="shared" si="59"/>
        <v>77.900000000000006</v>
      </c>
      <c r="Z902" s="1">
        <v>0</v>
      </c>
      <c r="AA902">
        <v>100</v>
      </c>
      <c r="AB902">
        <v>0</v>
      </c>
      <c r="AC902">
        <v>0</v>
      </c>
      <c r="AD902">
        <v>95</v>
      </c>
      <c r="AE902">
        <v>0</v>
      </c>
      <c r="AF902" t="s">
        <v>2589</v>
      </c>
      <c r="AG902" t="s">
        <v>2588</v>
      </c>
    </row>
    <row r="903" spans="1:33">
      <c r="A903" s="2" t="s">
        <v>119</v>
      </c>
      <c r="B903" s="2" t="s">
        <v>63</v>
      </c>
      <c r="C903" s="1">
        <v>0.48582609999999998</v>
      </c>
      <c r="D903">
        <v>0.67226483999999997</v>
      </c>
      <c r="E903">
        <v>0.68571362400000002</v>
      </c>
      <c r="F903" s="1" t="s">
        <v>120</v>
      </c>
      <c r="G903" s="1">
        <v>1.1435028249999999</v>
      </c>
      <c r="H903" s="1">
        <v>42.6</v>
      </c>
      <c r="I903" s="1">
        <v>88.5</v>
      </c>
      <c r="J903" s="1">
        <v>0.61460152133333334</v>
      </c>
      <c r="K903" s="1">
        <v>0.44311141399999998</v>
      </c>
      <c r="L903" s="1">
        <v>0.57053969199999999</v>
      </c>
      <c r="M903" s="3">
        <v>0.59266330599999995</v>
      </c>
      <c r="N903" s="1" t="s">
        <v>64</v>
      </c>
      <c r="O903" s="1">
        <v>0.89618138400000003</v>
      </c>
      <c r="P903" s="1">
        <v>29.7</v>
      </c>
      <c r="Q903" s="1">
        <v>83.8</v>
      </c>
      <c r="R903" s="1">
        <v>0.53543813733333334</v>
      </c>
      <c r="S903" s="1">
        <v>0.14432917867015538</v>
      </c>
      <c r="T903" t="s">
        <v>1050</v>
      </c>
      <c r="U903" s="1">
        <v>443</v>
      </c>
      <c r="V903">
        <f t="shared" si="56"/>
        <v>0.29404485846922995</v>
      </c>
      <c r="W903" s="1">
        <f t="shared" si="57"/>
        <v>12.900000000000002</v>
      </c>
      <c r="X903">
        <f t="shared" si="58"/>
        <v>0.24732144099999986</v>
      </c>
      <c r="Y903">
        <f t="shared" si="59"/>
        <v>4.7000000000000028</v>
      </c>
      <c r="Z903" s="1">
        <v>6</v>
      </c>
      <c r="AA903">
        <v>94</v>
      </c>
      <c r="AB903">
        <v>6.3799999999999996E-2</v>
      </c>
      <c r="AC903">
        <v>8</v>
      </c>
      <c r="AD903">
        <v>94</v>
      </c>
      <c r="AE903">
        <v>8.5099999999999995E-2</v>
      </c>
      <c r="AF903" t="s">
        <v>2589</v>
      </c>
      <c r="AG903" t="s">
        <v>2590</v>
      </c>
    </row>
    <row r="904" spans="1:33">
      <c r="A904" s="2" t="s">
        <v>119</v>
      </c>
      <c r="B904" s="2" t="s">
        <v>65</v>
      </c>
      <c r="C904" s="1">
        <v>0.48582609999999998</v>
      </c>
      <c r="D904">
        <v>0.67226483999999997</v>
      </c>
      <c r="E904">
        <v>0.68571362400000002</v>
      </c>
      <c r="F904" s="1" t="s">
        <v>120</v>
      </c>
      <c r="G904" s="1">
        <v>1.1435028249999999</v>
      </c>
      <c r="H904" s="1">
        <v>42.6</v>
      </c>
      <c r="I904" s="1">
        <v>88.5</v>
      </c>
      <c r="J904" s="1">
        <v>0.61460152133333334</v>
      </c>
      <c r="K904" s="1">
        <v>0.67377447499999998</v>
      </c>
      <c r="L904" s="1">
        <v>0.69144672900000004</v>
      </c>
      <c r="M904" s="3">
        <v>0.73046409700000003</v>
      </c>
      <c r="N904" s="1" t="s">
        <v>66</v>
      </c>
      <c r="O904" s="1">
        <v>1.8507462690000001</v>
      </c>
      <c r="P904" s="1">
        <v>34.5</v>
      </c>
      <c r="Q904" s="1">
        <v>46.9</v>
      </c>
      <c r="R904" s="1">
        <v>0.69856176700000006</v>
      </c>
      <c r="S904" s="1">
        <v>0.19415236636330929</v>
      </c>
      <c r="T904" t="s">
        <v>1051</v>
      </c>
      <c r="U904" s="1">
        <v>422</v>
      </c>
      <c r="V904">
        <f t="shared" si="56"/>
        <v>0.29170138344018598</v>
      </c>
      <c r="W904" s="1">
        <f t="shared" si="57"/>
        <v>8.1000000000000014</v>
      </c>
      <c r="X904">
        <f t="shared" si="58"/>
        <v>0.70724344400000017</v>
      </c>
      <c r="Y904">
        <f t="shared" si="59"/>
        <v>41.6</v>
      </c>
      <c r="Z904" s="1">
        <v>0</v>
      </c>
      <c r="AA904">
        <v>100</v>
      </c>
      <c r="AB904">
        <v>0</v>
      </c>
      <c r="AC904">
        <v>0</v>
      </c>
      <c r="AD904">
        <v>84</v>
      </c>
      <c r="AE904">
        <v>0</v>
      </c>
      <c r="AF904" t="s">
        <v>2589</v>
      </c>
      <c r="AG904" t="s">
        <v>2593</v>
      </c>
    </row>
    <row r="905" spans="1:33">
      <c r="A905" s="2" t="s">
        <v>119</v>
      </c>
      <c r="B905" s="2" t="s">
        <v>67</v>
      </c>
      <c r="C905" s="1">
        <v>0.48582609999999998</v>
      </c>
      <c r="D905">
        <v>0.67226483999999997</v>
      </c>
      <c r="E905">
        <v>0.68571362400000002</v>
      </c>
      <c r="F905" s="1" t="s">
        <v>120</v>
      </c>
      <c r="G905" s="1">
        <v>1.1435028249999999</v>
      </c>
      <c r="H905" s="1">
        <v>42.6</v>
      </c>
      <c r="I905" s="1">
        <v>88.5</v>
      </c>
      <c r="J905" s="1">
        <v>0.61460152133333334</v>
      </c>
      <c r="K905" s="1">
        <v>0.53971122199999999</v>
      </c>
      <c r="L905" s="1">
        <v>0.621203065</v>
      </c>
      <c r="M905" s="3">
        <v>0.67806811499999997</v>
      </c>
      <c r="N905" s="1" t="s">
        <v>68</v>
      </c>
      <c r="O905" s="1">
        <v>1.5131894480000001</v>
      </c>
      <c r="P905" s="1">
        <v>27.2</v>
      </c>
      <c r="Q905" s="1">
        <v>41.7</v>
      </c>
      <c r="R905" s="1">
        <v>0.61299413400000002</v>
      </c>
      <c r="S905" s="1">
        <v>7.462817863900062E-2</v>
      </c>
      <c r="T905" t="s">
        <v>1052</v>
      </c>
      <c r="U905" s="1">
        <v>726</v>
      </c>
      <c r="V905">
        <f t="shared" si="56"/>
        <v>0.31788184674445485</v>
      </c>
      <c r="W905" s="1">
        <f t="shared" si="57"/>
        <v>15.400000000000002</v>
      </c>
      <c r="X905">
        <f t="shared" si="58"/>
        <v>0.36968662300000021</v>
      </c>
      <c r="Y905">
        <f t="shared" si="59"/>
        <v>46.8</v>
      </c>
      <c r="Z905" s="1">
        <v>1</v>
      </c>
      <c r="AA905">
        <v>99</v>
      </c>
      <c r="AB905">
        <v>1.01E-2</v>
      </c>
      <c r="AC905">
        <v>2</v>
      </c>
      <c r="AD905">
        <v>93</v>
      </c>
      <c r="AE905">
        <v>2.1499999999999998E-2</v>
      </c>
      <c r="AF905" t="s">
        <v>2589</v>
      </c>
      <c r="AG905" t="s">
        <v>2588</v>
      </c>
    </row>
    <row r="906" spans="1:33">
      <c r="A906" s="2" t="s">
        <v>119</v>
      </c>
      <c r="B906" s="2" t="s">
        <v>69</v>
      </c>
      <c r="C906" s="1">
        <v>0.48582609999999998</v>
      </c>
      <c r="D906">
        <v>0.67226483999999997</v>
      </c>
      <c r="E906">
        <v>0.68571362400000002</v>
      </c>
      <c r="F906" s="1" t="s">
        <v>120</v>
      </c>
      <c r="G906" s="1">
        <v>1.1435028249999999</v>
      </c>
      <c r="H906" s="1">
        <v>42.6</v>
      </c>
      <c r="I906" s="1">
        <v>88.5</v>
      </c>
      <c r="J906" s="1">
        <v>0.61460152133333334</v>
      </c>
      <c r="K906" s="1">
        <v>0.50188385300000005</v>
      </c>
      <c r="L906" s="1">
        <v>0.64580031500000001</v>
      </c>
      <c r="M906" s="3">
        <v>0.66006355800000005</v>
      </c>
      <c r="N906" s="1" t="s">
        <v>70</v>
      </c>
      <c r="O906" s="1">
        <v>1.2401055409999999</v>
      </c>
      <c r="P906" s="1">
        <v>43.4</v>
      </c>
      <c r="Q906" s="1">
        <v>75.8</v>
      </c>
      <c r="R906" s="1">
        <v>0.60258257533333337</v>
      </c>
      <c r="S906" s="1">
        <v>4.0201348244666972E-2</v>
      </c>
      <c r="T906" t="s">
        <v>1053</v>
      </c>
      <c r="U906" s="1">
        <v>11200</v>
      </c>
      <c r="V906">
        <f t="shared" si="56"/>
        <v>0.44991311363002023</v>
      </c>
      <c r="W906" s="1">
        <f t="shared" si="57"/>
        <v>0.79999999999999716</v>
      </c>
      <c r="X906">
        <f t="shared" si="58"/>
        <v>9.6602716000000033E-2</v>
      </c>
      <c r="Y906">
        <f t="shared" si="59"/>
        <v>12.700000000000003</v>
      </c>
      <c r="Z906" s="1">
        <v>12</v>
      </c>
      <c r="AA906">
        <v>88</v>
      </c>
      <c r="AB906">
        <v>0.13639999999999999</v>
      </c>
      <c r="AC906">
        <v>13</v>
      </c>
      <c r="AD906">
        <v>89</v>
      </c>
      <c r="AE906">
        <v>0.14610000000000001</v>
      </c>
      <c r="AF906" t="s">
        <v>2589</v>
      </c>
      <c r="AG906" t="s">
        <v>2589</v>
      </c>
    </row>
    <row r="907" spans="1:33">
      <c r="A907" s="2" t="s">
        <v>119</v>
      </c>
      <c r="B907" s="2" t="s">
        <v>71</v>
      </c>
      <c r="C907" s="1">
        <v>0.48582609999999998</v>
      </c>
      <c r="D907">
        <v>0.67226483999999997</v>
      </c>
      <c r="E907">
        <v>0.68571362400000002</v>
      </c>
      <c r="F907" s="1" t="s">
        <v>120</v>
      </c>
      <c r="G907" s="1">
        <v>1.1435028249999999</v>
      </c>
      <c r="H907" s="1">
        <v>42.6</v>
      </c>
      <c r="I907" s="1">
        <v>88.5</v>
      </c>
      <c r="J907" s="1">
        <v>0.61460152133333334</v>
      </c>
      <c r="K907" s="1">
        <v>0.53267569100000001</v>
      </c>
      <c r="L907" s="1">
        <v>0.64507433599999997</v>
      </c>
      <c r="M907" s="3">
        <v>0.66598465100000004</v>
      </c>
      <c r="N907" s="1" t="s">
        <v>72</v>
      </c>
      <c r="O907" s="1">
        <v>0.97289666900000005</v>
      </c>
      <c r="P907" s="1">
        <v>64.8</v>
      </c>
      <c r="Q907" s="1">
        <v>177.1</v>
      </c>
      <c r="R907" s="1">
        <v>0.61457822600000001</v>
      </c>
      <c r="S907" s="1">
        <v>5.764928499362354E-2</v>
      </c>
      <c r="T907" t="s">
        <v>1054</v>
      </c>
      <c r="U907" s="1">
        <v>14110</v>
      </c>
      <c r="V907">
        <f t="shared" si="56"/>
        <v>0.46105855708381643</v>
      </c>
      <c r="W907" s="1">
        <f t="shared" si="57"/>
        <v>22.199999999999996</v>
      </c>
      <c r="X907">
        <f t="shared" si="58"/>
        <v>0.17060615599999984</v>
      </c>
      <c r="Y907">
        <f t="shared" si="59"/>
        <v>88.6</v>
      </c>
      <c r="Z907" s="1">
        <v>13</v>
      </c>
      <c r="AA907">
        <v>87</v>
      </c>
      <c r="AB907">
        <v>0.14940000000000001</v>
      </c>
      <c r="AC907">
        <v>14</v>
      </c>
      <c r="AD907">
        <v>99</v>
      </c>
      <c r="AE907">
        <v>0.1414</v>
      </c>
      <c r="AF907" t="s">
        <v>2589</v>
      </c>
      <c r="AG907" t="s">
        <v>2589</v>
      </c>
    </row>
    <row r="908" spans="1:33">
      <c r="A908" s="2" t="s">
        <v>119</v>
      </c>
      <c r="B908" s="2" t="s">
        <v>73</v>
      </c>
      <c r="C908" s="1">
        <v>0.48582609999999998</v>
      </c>
      <c r="D908">
        <v>0.67226483999999997</v>
      </c>
      <c r="E908">
        <v>0.68571362400000002</v>
      </c>
      <c r="F908" s="1" t="s">
        <v>120</v>
      </c>
      <c r="G908" s="1">
        <v>1.1435028249999999</v>
      </c>
      <c r="H908" s="1">
        <v>42.6</v>
      </c>
      <c r="I908" s="1">
        <v>88.5</v>
      </c>
      <c r="J908" s="1">
        <v>0.61460152133333334</v>
      </c>
      <c r="K908" s="1">
        <v>0.55697925299999995</v>
      </c>
      <c r="L908" s="1">
        <v>0.64461978399999997</v>
      </c>
      <c r="M908" s="3">
        <v>0.69570690000000002</v>
      </c>
      <c r="N908" s="1" t="s">
        <v>74</v>
      </c>
      <c r="O908" s="1">
        <v>1.23433584</v>
      </c>
      <c r="P908" s="1">
        <v>44</v>
      </c>
      <c r="Q908" s="1">
        <v>79.8</v>
      </c>
      <c r="R908" s="1">
        <v>0.63243531233333328</v>
      </c>
      <c r="S908" s="1">
        <v>7.6986270648062419E-2</v>
      </c>
      <c r="T908" t="s">
        <v>1055</v>
      </c>
      <c r="U908" s="1">
        <v>7354</v>
      </c>
      <c r="V908">
        <f t="shared" si="56"/>
        <v>0.42961373617031595</v>
      </c>
      <c r="W908" s="1">
        <f t="shared" si="57"/>
        <v>1.3999999999999986</v>
      </c>
      <c r="X908">
        <f t="shared" si="58"/>
        <v>9.0833015000000072E-2</v>
      </c>
      <c r="Y908">
        <f t="shared" si="59"/>
        <v>8.7000000000000028</v>
      </c>
      <c r="Z908" s="1">
        <v>11</v>
      </c>
      <c r="AA908">
        <v>89</v>
      </c>
      <c r="AB908">
        <v>0.1236</v>
      </c>
      <c r="AC908">
        <v>12</v>
      </c>
      <c r="AD908">
        <v>86</v>
      </c>
      <c r="AE908">
        <v>0.13950000000000001</v>
      </c>
      <c r="AF908" t="s">
        <v>2589</v>
      </c>
      <c r="AG908" t="s">
        <v>2589</v>
      </c>
    </row>
    <row r="909" spans="1:33">
      <c r="A909" s="2" t="s">
        <v>119</v>
      </c>
      <c r="B909" s="2" t="s">
        <v>75</v>
      </c>
      <c r="C909" s="1">
        <v>0.48582609999999998</v>
      </c>
      <c r="D909">
        <v>0.67226483999999997</v>
      </c>
      <c r="E909">
        <v>0.68571362400000002</v>
      </c>
      <c r="F909" s="1" t="s">
        <v>120</v>
      </c>
      <c r="G909" s="1">
        <v>1.1435028249999999</v>
      </c>
      <c r="H909" s="1">
        <v>42.6</v>
      </c>
      <c r="I909" s="1">
        <v>88.5</v>
      </c>
      <c r="J909" s="1">
        <v>0.61460152133333334</v>
      </c>
      <c r="K909" s="1">
        <v>0.50354843500000002</v>
      </c>
      <c r="L909" s="1">
        <v>0.59724402499999996</v>
      </c>
      <c r="M909" s="3">
        <v>0.70308254199999998</v>
      </c>
      <c r="N909" s="1" t="s">
        <v>76</v>
      </c>
      <c r="O909" s="1">
        <v>1.2696850390000001</v>
      </c>
      <c r="P909" s="1">
        <v>26.6</v>
      </c>
      <c r="Q909" s="1">
        <v>50.8</v>
      </c>
      <c r="R909" s="1">
        <v>0.60129166733333339</v>
      </c>
      <c r="S909" s="1">
        <v>7.9018245700642933E-2</v>
      </c>
      <c r="T909" t="s">
        <v>1056</v>
      </c>
      <c r="U909" s="1">
        <v>4415</v>
      </c>
      <c r="V909">
        <f t="shared" si="56"/>
        <v>0.4049923008792875</v>
      </c>
      <c r="W909" s="1">
        <f t="shared" si="57"/>
        <v>16</v>
      </c>
      <c r="X909">
        <f t="shared" si="58"/>
        <v>0.12618221400000018</v>
      </c>
      <c r="Y909">
        <f t="shared" si="59"/>
        <v>37.700000000000003</v>
      </c>
      <c r="Z909" s="1">
        <v>3</v>
      </c>
      <c r="AA909">
        <v>97</v>
      </c>
      <c r="AB909">
        <v>3.09E-2</v>
      </c>
      <c r="AC909">
        <v>4</v>
      </c>
      <c r="AD909">
        <v>94</v>
      </c>
      <c r="AE909">
        <v>4.2599999999999999E-2</v>
      </c>
      <c r="AF909" t="s">
        <v>2589</v>
      </c>
      <c r="AG909" t="s">
        <v>2594</v>
      </c>
    </row>
    <row r="910" spans="1:33">
      <c r="A910" s="2" t="s">
        <v>119</v>
      </c>
      <c r="B910" s="2" t="s">
        <v>77</v>
      </c>
      <c r="C910" s="1">
        <v>0.48582609999999998</v>
      </c>
      <c r="D910">
        <v>0.67226483999999997</v>
      </c>
      <c r="E910">
        <v>0.68571362400000002</v>
      </c>
      <c r="F910" s="1" t="s">
        <v>120</v>
      </c>
      <c r="G910" s="1">
        <v>1.1435028249999999</v>
      </c>
      <c r="H910" s="1">
        <v>42.6</v>
      </c>
      <c r="I910" s="1">
        <v>88.5</v>
      </c>
      <c r="J910" s="1">
        <v>0.61460152133333334</v>
      </c>
      <c r="K910" s="1">
        <v>0.54630843299999998</v>
      </c>
      <c r="L910" s="1">
        <v>0.68935555900000001</v>
      </c>
      <c r="M910" s="3">
        <v>0.65478744899999997</v>
      </c>
      <c r="N910" s="1" t="s">
        <v>78</v>
      </c>
      <c r="O910" s="1">
        <v>1.3914285710000001</v>
      </c>
      <c r="P910" s="1">
        <v>56.5</v>
      </c>
      <c r="Q910" s="1">
        <v>105</v>
      </c>
      <c r="R910" s="1">
        <v>0.63015048033333343</v>
      </c>
      <c r="S910" s="1">
        <v>7.0047366697046351E-2</v>
      </c>
      <c r="T910" t="s">
        <v>1057</v>
      </c>
      <c r="U910" s="1">
        <v>2421</v>
      </c>
      <c r="V910">
        <f t="shared" si="56"/>
        <v>0.37599942104908141</v>
      </c>
      <c r="W910" s="1">
        <f t="shared" si="57"/>
        <v>13.899999999999999</v>
      </c>
      <c r="X910">
        <f t="shared" si="58"/>
        <v>0.24792574600000017</v>
      </c>
      <c r="Y910">
        <f t="shared" si="59"/>
        <v>16.5</v>
      </c>
      <c r="Z910" s="1">
        <v>2</v>
      </c>
      <c r="AA910">
        <v>98</v>
      </c>
      <c r="AB910">
        <v>2.0400000000000001E-2</v>
      </c>
      <c r="AC910">
        <v>3</v>
      </c>
      <c r="AD910">
        <v>84</v>
      </c>
      <c r="AE910">
        <v>3.5700000000000003E-2</v>
      </c>
      <c r="AF910" t="s">
        <v>2589</v>
      </c>
      <c r="AG910" t="s">
        <v>2590</v>
      </c>
    </row>
    <row r="911" spans="1:33">
      <c r="A911" s="2" t="s">
        <v>119</v>
      </c>
      <c r="B911" s="2" t="s">
        <v>79</v>
      </c>
      <c r="C911" s="1">
        <v>0.48582609999999998</v>
      </c>
      <c r="D911">
        <v>0.67226483999999997</v>
      </c>
      <c r="E911">
        <v>0.68571362400000002</v>
      </c>
      <c r="F911" s="1" t="s">
        <v>120</v>
      </c>
      <c r="G911" s="1">
        <v>1.1435028249999999</v>
      </c>
      <c r="H911" s="1">
        <v>42.6</v>
      </c>
      <c r="I911" s="1">
        <v>88.5</v>
      </c>
      <c r="J911" s="1">
        <v>0.61460152133333334</v>
      </c>
      <c r="K911" s="1">
        <v>0.63652882899999996</v>
      </c>
      <c r="L911" s="1">
        <v>0.77536518600000004</v>
      </c>
      <c r="M911" s="3">
        <v>0.610415606</v>
      </c>
      <c r="N911" s="1" t="s">
        <v>80</v>
      </c>
      <c r="O911" s="1">
        <v>0.95325542600000002</v>
      </c>
      <c r="P911" s="1">
        <v>45.6</v>
      </c>
      <c r="Q911" s="1">
        <v>119.8</v>
      </c>
      <c r="R911" s="1">
        <v>0.67410320700000004</v>
      </c>
      <c r="S911" s="1">
        <v>0.19751148166143531</v>
      </c>
      <c r="T911" t="s">
        <v>1058</v>
      </c>
      <c r="U911" s="1">
        <v>2338</v>
      </c>
      <c r="V911">
        <f t="shared" si="56"/>
        <v>0.37431605631398018</v>
      </c>
      <c r="W911" s="1">
        <f t="shared" si="57"/>
        <v>3</v>
      </c>
      <c r="X911">
        <f t="shared" si="58"/>
        <v>0.19024739899999987</v>
      </c>
      <c r="Y911">
        <f t="shared" si="59"/>
        <v>31.299999999999997</v>
      </c>
      <c r="Z911" s="1">
        <v>1</v>
      </c>
      <c r="AA911">
        <v>99</v>
      </c>
      <c r="AB911">
        <v>1.01E-2</v>
      </c>
      <c r="AC911">
        <v>2</v>
      </c>
      <c r="AD911">
        <v>76</v>
      </c>
      <c r="AE911">
        <v>2.63E-2</v>
      </c>
      <c r="AF911" t="s">
        <v>2589</v>
      </c>
      <c r="AG911" t="s">
        <v>2590</v>
      </c>
    </row>
    <row r="912" spans="1:33">
      <c r="A912" s="2" t="s">
        <v>119</v>
      </c>
      <c r="B912" s="2" t="s">
        <v>81</v>
      </c>
      <c r="C912" s="1">
        <v>0.48582609999999998</v>
      </c>
      <c r="D912">
        <v>0.67226483999999997</v>
      </c>
      <c r="E912">
        <v>0.68571362400000002</v>
      </c>
      <c r="F912" s="1" t="s">
        <v>120</v>
      </c>
      <c r="G912" s="1">
        <v>1.1435028249999999</v>
      </c>
      <c r="H912" s="1">
        <v>42.6</v>
      </c>
      <c r="I912" s="1">
        <v>88.5</v>
      </c>
      <c r="J912" s="1">
        <v>0.61460152133333334</v>
      </c>
      <c r="K912" s="1">
        <v>0.50183280699999999</v>
      </c>
      <c r="L912" s="1">
        <v>0.68550824600000004</v>
      </c>
      <c r="M912" s="3">
        <v>0.66941488999999998</v>
      </c>
      <c r="N912" s="1" t="s">
        <v>82</v>
      </c>
      <c r="O912" s="1">
        <v>1.4359576970000001</v>
      </c>
      <c r="P912" s="1">
        <v>51</v>
      </c>
      <c r="Q912" s="1">
        <v>85.1</v>
      </c>
      <c r="R912" s="1">
        <v>0.61891864766666671</v>
      </c>
      <c r="S912" s="1">
        <v>2.6405514603344588E-2</v>
      </c>
      <c r="T912" t="s">
        <v>1059</v>
      </c>
      <c r="U912" s="1">
        <v>6242</v>
      </c>
      <c r="V912">
        <f t="shared" si="56"/>
        <v>0.4217026404810349</v>
      </c>
      <c r="W912" s="1">
        <f t="shared" si="57"/>
        <v>8.3999999999999986</v>
      </c>
      <c r="X912">
        <f t="shared" si="58"/>
        <v>0.2924548720000002</v>
      </c>
      <c r="Y912">
        <f t="shared" si="59"/>
        <v>3.4000000000000057</v>
      </c>
      <c r="Z912" s="1">
        <v>0</v>
      </c>
      <c r="AA912">
        <v>100</v>
      </c>
      <c r="AB912">
        <v>0</v>
      </c>
      <c r="AC912">
        <v>0</v>
      </c>
      <c r="AD912">
        <v>89</v>
      </c>
      <c r="AE912">
        <v>0</v>
      </c>
      <c r="AF912" t="s">
        <v>2589</v>
      </c>
      <c r="AG912" t="s">
        <v>2589</v>
      </c>
    </row>
    <row r="913" spans="1:33">
      <c r="A913" s="2" t="s">
        <v>119</v>
      </c>
      <c r="B913" s="2" t="s">
        <v>83</v>
      </c>
      <c r="C913" s="1">
        <v>0.48582609999999998</v>
      </c>
      <c r="D913">
        <v>0.67226483999999997</v>
      </c>
      <c r="E913">
        <v>0.68571362400000002</v>
      </c>
      <c r="F913" s="1" t="s">
        <v>120</v>
      </c>
      <c r="G913" s="1">
        <v>1.1435028249999999</v>
      </c>
      <c r="H913" s="1">
        <v>42.6</v>
      </c>
      <c r="I913" s="1">
        <v>88.5</v>
      </c>
      <c r="J913" s="1">
        <v>0.61460152133333334</v>
      </c>
      <c r="K913" s="1">
        <v>0.51815179099999997</v>
      </c>
      <c r="L913" s="1">
        <v>0.50115949400000004</v>
      </c>
      <c r="M913" s="3">
        <v>0.68053170600000001</v>
      </c>
      <c r="N913" s="1" t="s">
        <v>84</v>
      </c>
      <c r="O913" s="1">
        <v>1.760323887</v>
      </c>
      <c r="P913" s="1">
        <v>83.4</v>
      </c>
      <c r="Q913" s="1">
        <v>123.5</v>
      </c>
      <c r="R913" s="1">
        <v>0.56661433033333342</v>
      </c>
      <c r="S913" s="1">
        <v>0.17420919035046889</v>
      </c>
      <c r="T913" t="s">
        <v>1060</v>
      </c>
      <c r="U913" s="1">
        <v>31123</v>
      </c>
      <c r="V913">
        <f t="shared" si="56"/>
        <v>0.49923127252604754</v>
      </c>
      <c r="W913" s="1">
        <f t="shared" si="57"/>
        <v>40.800000000000004</v>
      </c>
      <c r="X913">
        <f t="shared" si="58"/>
        <v>0.61682106200000009</v>
      </c>
      <c r="Y913">
        <f t="shared" si="59"/>
        <v>35</v>
      </c>
      <c r="Z913" s="1">
        <v>4</v>
      </c>
      <c r="AA913">
        <v>96</v>
      </c>
      <c r="AB913">
        <v>4.1700000000000001E-2</v>
      </c>
      <c r="AC913">
        <v>5</v>
      </c>
      <c r="AD913">
        <v>79</v>
      </c>
      <c r="AE913">
        <v>6.3299999999999995E-2</v>
      </c>
      <c r="AF913" t="s">
        <v>2589</v>
      </c>
      <c r="AG913" t="s">
        <v>2589</v>
      </c>
    </row>
    <row r="914" spans="1:33">
      <c r="A914" s="2" t="s">
        <v>119</v>
      </c>
      <c r="B914" s="2" t="s">
        <v>85</v>
      </c>
      <c r="C914" s="1">
        <v>0.48582609999999998</v>
      </c>
      <c r="D914">
        <v>0.67226483999999997</v>
      </c>
      <c r="E914">
        <v>0.68571362400000002</v>
      </c>
      <c r="F914" s="1" t="s">
        <v>120</v>
      </c>
      <c r="G914" s="1">
        <v>1.1435028249999999</v>
      </c>
      <c r="H914" s="1">
        <v>42.6</v>
      </c>
      <c r="I914" s="1">
        <v>88.5</v>
      </c>
      <c r="J914" s="1">
        <v>0.61460152133333334</v>
      </c>
      <c r="K914" s="1">
        <v>0.522280945</v>
      </c>
      <c r="L914" s="1">
        <v>0.58016629799999997</v>
      </c>
      <c r="M914" s="3">
        <v>0.62446713499999995</v>
      </c>
      <c r="N914" s="1" t="s">
        <v>86</v>
      </c>
      <c r="O914" s="1">
        <v>0.57177615599999998</v>
      </c>
      <c r="P914" s="1">
        <v>19.5</v>
      </c>
      <c r="Q914" s="1">
        <v>82.2</v>
      </c>
      <c r="R914" s="1">
        <v>0.57563812599999997</v>
      </c>
      <c r="S914" s="1">
        <v>0.11645698595329917</v>
      </c>
      <c r="T914" t="s">
        <v>1061</v>
      </c>
      <c r="U914" s="1">
        <v>240</v>
      </c>
      <c r="V914">
        <f t="shared" si="56"/>
        <v>0.26446791574573397</v>
      </c>
      <c r="W914" s="1">
        <f t="shared" si="57"/>
        <v>23.1</v>
      </c>
      <c r="X914">
        <f t="shared" si="58"/>
        <v>0.57172666899999991</v>
      </c>
      <c r="Y914">
        <f t="shared" si="59"/>
        <v>6.2999999999999972</v>
      </c>
      <c r="Z914" s="1">
        <v>1</v>
      </c>
      <c r="AA914">
        <v>99</v>
      </c>
      <c r="AB914">
        <v>1.01E-2</v>
      </c>
      <c r="AC914">
        <v>2</v>
      </c>
      <c r="AD914">
        <v>147</v>
      </c>
      <c r="AE914">
        <v>1.3599999999999999E-2</v>
      </c>
      <c r="AF914" t="s">
        <v>2589</v>
      </c>
      <c r="AG914" t="s">
        <v>2590</v>
      </c>
    </row>
    <row r="915" spans="1:33">
      <c r="A915" s="2" t="s">
        <v>119</v>
      </c>
      <c r="B915" s="2" t="s">
        <v>87</v>
      </c>
      <c r="C915" s="1">
        <v>0.48582609999999998</v>
      </c>
      <c r="D915">
        <v>0.67226483999999997</v>
      </c>
      <c r="E915">
        <v>0.68571362400000002</v>
      </c>
      <c r="F915" s="1" t="s">
        <v>120</v>
      </c>
      <c r="G915" s="1">
        <v>1.1435028249999999</v>
      </c>
      <c r="H915" s="1">
        <v>42.6</v>
      </c>
      <c r="I915" s="1">
        <v>88.5</v>
      </c>
      <c r="J915" s="1">
        <v>0.61460152133333334</v>
      </c>
      <c r="K915" s="1">
        <v>0.46780425199999998</v>
      </c>
      <c r="L915" s="1">
        <v>0.54149707400000002</v>
      </c>
      <c r="M915" s="3">
        <v>0.61626236400000001</v>
      </c>
      <c r="N915" s="1" t="s">
        <v>88</v>
      </c>
      <c r="O915" s="1">
        <v>1.395454545</v>
      </c>
      <c r="P915" s="1">
        <v>65.2</v>
      </c>
      <c r="Q915" s="1">
        <v>110</v>
      </c>
      <c r="R915" s="1">
        <v>0.54185456333333337</v>
      </c>
      <c r="S915" s="1">
        <v>0.14915922078622376</v>
      </c>
      <c r="T915" t="s">
        <v>1062</v>
      </c>
      <c r="U915" s="1">
        <v>6700</v>
      </c>
      <c r="V915">
        <f t="shared" si="56"/>
        <v>0.42511942252231405</v>
      </c>
      <c r="W915" s="1">
        <f t="shared" si="57"/>
        <v>22.6</v>
      </c>
      <c r="X915">
        <f t="shared" si="58"/>
        <v>0.2519517200000001</v>
      </c>
      <c r="Y915">
        <f t="shared" si="59"/>
        <v>21.5</v>
      </c>
      <c r="Z915" s="1">
        <v>7</v>
      </c>
      <c r="AA915">
        <v>93</v>
      </c>
      <c r="AB915">
        <v>7.5300000000000006E-2</v>
      </c>
      <c r="AC915">
        <v>9</v>
      </c>
      <c r="AD915">
        <v>73</v>
      </c>
      <c r="AE915">
        <v>0.12330000000000001</v>
      </c>
      <c r="AF915" t="s">
        <v>2589</v>
      </c>
      <c r="AG915" t="s">
        <v>2590</v>
      </c>
    </row>
    <row r="916" spans="1:33">
      <c r="A916" s="2" t="s">
        <v>119</v>
      </c>
      <c r="B916" s="2" t="s">
        <v>89</v>
      </c>
      <c r="C916" s="1">
        <v>0.48582609999999998</v>
      </c>
      <c r="D916">
        <v>0.67226483999999997</v>
      </c>
      <c r="E916">
        <v>0.68571362400000002</v>
      </c>
      <c r="F916" s="1" t="s">
        <v>120</v>
      </c>
      <c r="G916" s="1">
        <v>1.1435028249999999</v>
      </c>
      <c r="H916" s="1">
        <v>42.6</v>
      </c>
      <c r="I916" s="1">
        <v>88.5</v>
      </c>
      <c r="J916" s="1">
        <v>0.61460152133333334</v>
      </c>
      <c r="K916" s="1">
        <v>0.51097051500000001</v>
      </c>
      <c r="L916" s="1">
        <v>0.61917891400000002</v>
      </c>
      <c r="M916" s="3">
        <v>0.60984479800000002</v>
      </c>
      <c r="N916" s="1" t="s">
        <v>90</v>
      </c>
      <c r="O916" s="1">
        <v>1.429752066</v>
      </c>
      <c r="P916" s="1">
        <v>59.8</v>
      </c>
      <c r="Q916" s="1">
        <v>108.9</v>
      </c>
      <c r="R916" s="1">
        <v>0.57999807566666661</v>
      </c>
      <c r="S916" s="1">
        <v>9.5950174067523056E-2</v>
      </c>
      <c r="T916" t="s">
        <v>1063</v>
      </c>
      <c r="U916" s="1">
        <v>13822</v>
      </c>
      <c r="V916">
        <f t="shared" si="56"/>
        <v>0.46006343207032774</v>
      </c>
      <c r="W916" s="1">
        <f t="shared" si="57"/>
        <v>17.199999999999996</v>
      </c>
      <c r="X916">
        <f t="shared" si="58"/>
        <v>0.28624924100000015</v>
      </c>
      <c r="Y916">
        <f t="shared" si="59"/>
        <v>20.400000000000006</v>
      </c>
      <c r="Z916" s="1">
        <v>11</v>
      </c>
      <c r="AA916">
        <v>89</v>
      </c>
      <c r="AB916">
        <v>0.1236</v>
      </c>
      <c r="AC916">
        <v>13</v>
      </c>
      <c r="AD916">
        <v>78</v>
      </c>
      <c r="AE916">
        <v>0.16669999999999999</v>
      </c>
      <c r="AF916" t="s">
        <v>2589</v>
      </c>
      <c r="AG916" t="s">
        <v>2589</v>
      </c>
    </row>
    <row r="917" spans="1:33">
      <c r="A917" s="2" t="s">
        <v>119</v>
      </c>
      <c r="B917" s="2" t="s">
        <v>91</v>
      </c>
      <c r="C917" s="1">
        <v>0.48582609999999998</v>
      </c>
      <c r="D917">
        <v>0.67226483999999997</v>
      </c>
      <c r="E917">
        <v>0.68571362400000002</v>
      </c>
      <c r="F917" s="1" t="s">
        <v>120</v>
      </c>
      <c r="G917" s="1">
        <v>1.1435028249999999</v>
      </c>
      <c r="H917" s="1">
        <v>42.6</v>
      </c>
      <c r="I917" s="1">
        <v>88.5</v>
      </c>
      <c r="J917" s="1">
        <v>0.61460152133333334</v>
      </c>
      <c r="K917" s="1">
        <v>0.37439919700000002</v>
      </c>
      <c r="L917" s="1">
        <v>0.508839347</v>
      </c>
      <c r="M917" s="3">
        <v>0.52701193599999996</v>
      </c>
      <c r="N917" s="1" t="s">
        <v>92</v>
      </c>
      <c r="O917" s="1">
        <v>1.911504425</v>
      </c>
      <c r="P917" s="1">
        <v>24.6</v>
      </c>
      <c r="Q917" s="1">
        <v>33.9</v>
      </c>
      <c r="R917" s="1">
        <v>0.47008349333333332</v>
      </c>
      <c r="S917" s="1">
        <v>0.2535943064197495</v>
      </c>
      <c r="T917" t="s">
        <v>1064</v>
      </c>
      <c r="U917" s="1">
        <v>293</v>
      </c>
      <c r="V917">
        <f t="shared" si="56"/>
        <v>0.27409640226156773</v>
      </c>
      <c r="W917" s="1">
        <f t="shared" si="57"/>
        <v>18</v>
      </c>
      <c r="X917">
        <f t="shared" si="58"/>
        <v>0.76800160000000006</v>
      </c>
      <c r="Y917">
        <f t="shared" si="59"/>
        <v>54.6</v>
      </c>
      <c r="Z917" s="1">
        <v>4</v>
      </c>
      <c r="AA917">
        <v>96</v>
      </c>
      <c r="AB917">
        <v>4.1700000000000001E-2</v>
      </c>
      <c r="AC917">
        <v>5</v>
      </c>
      <c r="AD917">
        <v>93</v>
      </c>
      <c r="AE917">
        <v>5.3800000000000001E-2</v>
      </c>
      <c r="AF917" t="s">
        <v>2589</v>
      </c>
      <c r="AG917" t="s">
        <v>2590</v>
      </c>
    </row>
    <row r="918" spans="1:33">
      <c r="A918" s="2" t="s">
        <v>119</v>
      </c>
      <c r="B918" s="2" t="s">
        <v>93</v>
      </c>
      <c r="C918" s="1">
        <v>0.48582609999999998</v>
      </c>
      <c r="D918">
        <v>0.67226483999999997</v>
      </c>
      <c r="E918">
        <v>0.68571362400000002</v>
      </c>
      <c r="F918" s="1" t="s">
        <v>120</v>
      </c>
      <c r="G918" s="1">
        <v>1.1435028249999999</v>
      </c>
      <c r="H918" s="1">
        <v>42.6</v>
      </c>
      <c r="I918" s="1">
        <v>88.5</v>
      </c>
      <c r="J918" s="1">
        <v>0.61460152133333334</v>
      </c>
      <c r="K918" s="1">
        <v>0.54134617200000001</v>
      </c>
      <c r="L918" s="1">
        <v>0.674899633</v>
      </c>
      <c r="M918" s="3">
        <v>0.719840174</v>
      </c>
      <c r="N918" s="1" t="s">
        <v>94</v>
      </c>
      <c r="O918" s="1">
        <v>1.175388967</v>
      </c>
      <c r="P918" s="1">
        <v>36.6</v>
      </c>
      <c r="Q918" s="1">
        <v>70.7</v>
      </c>
      <c r="R918" s="1">
        <v>0.64536199299999997</v>
      </c>
      <c r="S918" s="1">
        <v>6.5223016979748305E-2</v>
      </c>
      <c r="T918" t="s">
        <v>1065</v>
      </c>
      <c r="U918" s="1">
        <v>15128</v>
      </c>
      <c r="V918">
        <f t="shared" si="56"/>
        <v>0.46442016842633144</v>
      </c>
      <c r="W918" s="1">
        <f t="shared" si="57"/>
        <v>6</v>
      </c>
      <c r="X918">
        <f t="shared" si="58"/>
        <v>3.1886142000000062E-2</v>
      </c>
      <c r="Y918">
        <f t="shared" si="59"/>
        <v>17.799999999999997</v>
      </c>
      <c r="Z918" s="1">
        <v>11</v>
      </c>
      <c r="AA918">
        <v>89</v>
      </c>
      <c r="AB918">
        <v>0.1236</v>
      </c>
      <c r="AC918">
        <v>12</v>
      </c>
      <c r="AD918">
        <v>77</v>
      </c>
      <c r="AE918">
        <v>0.15579999999999999</v>
      </c>
      <c r="AF918" t="s">
        <v>2589</v>
      </c>
      <c r="AG918" t="s">
        <v>2589</v>
      </c>
    </row>
    <row r="919" spans="1:33">
      <c r="A919" s="2" t="s">
        <v>119</v>
      </c>
      <c r="B919" s="2" t="s">
        <v>95</v>
      </c>
      <c r="C919" s="1">
        <v>0.48582609999999998</v>
      </c>
      <c r="D919">
        <v>0.67226483999999997</v>
      </c>
      <c r="E919">
        <v>0.68571362400000002</v>
      </c>
      <c r="F919" s="1" t="s">
        <v>120</v>
      </c>
      <c r="G919" s="1">
        <v>1.1435028249999999</v>
      </c>
      <c r="H919" s="1">
        <v>42.6</v>
      </c>
      <c r="I919" s="1">
        <v>88.5</v>
      </c>
      <c r="J919" s="1">
        <v>0.61460152133333334</v>
      </c>
      <c r="K919" s="1">
        <v>0.59462093100000002</v>
      </c>
      <c r="L919" s="1">
        <v>0.68038960500000001</v>
      </c>
      <c r="M919" s="3">
        <v>0.72533004899999998</v>
      </c>
      <c r="N919" s="1" t="s">
        <v>96</v>
      </c>
      <c r="O919" s="1">
        <v>1.9717647060000001</v>
      </c>
      <c r="P919" s="1">
        <v>34.6</v>
      </c>
      <c r="Q919" s="1">
        <v>42.5</v>
      </c>
      <c r="R919" s="1">
        <v>0.66678019499999996</v>
      </c>
      <c r="S919" s="1">
        <v>0.11606803258608468</v>
      </c>
      <c r="T919" t="s">
        <v>1066</v>
      </c>
      <c r="U919" s="1">
        <v>272</v>
      </c>
      <c r="V919">
        <f t="shared" si="56"/>
        <v>0.27050765600379983</v>
      </c>
      <c r="W919" s="1">
        <f t="shared" si="57"/>
        <v>8</v>
      </c>
      <c r="X919">
        <f t="shared" si="58"/>
        <v>0.8282618810000002</v>
      </c>
      <c r="Y919">
        <f t="shared" si="59"/>
        <v>46</v>
      </c>
      <c r="Z919" s="1">
        <v>0</v>
      </c>
      <c r="AA919">
        <v>100</v>
      </c>
      <c r="AB919">
        <v>0</v>
      </c>
      <c r="AC919">
        <v>0</v>
      </c>
      <c r="AD919">
        <v>95</v>
      </c>
      <c r="AE919">
        <v>0</v>
      </c>
      <c r="AF919" t="s">
        <v>2589</v>
      </c>
      <c r="AG919" t="s">
        <v>2593</v>
      </c>
    </row>
    <row r="920" spans="1:33">
      <c r="A920" s="2" t="s">
        <v>119</v>
      </c>
      <c r="B920" s="2" t="s">
        <v>97</v>
      </c>
      <c r="C920" s="1">
        <v>0.48582609999999998</v>
      </c>
      <c r="D920">
        <v>0.67226483999999997</v>
      </c>
      <c r="E920">
        <v>0.68571362400000002</v>
      </c>
      <c r="F920" s="1" t="s">
        <v>120</v>
      </c>
      <c r="G920" s="1">
        <v>1.1435028249999999</v>
      </c>
      <c r="H920" s="1">
        <v>42.6</v>
      </c>
      <c r="I920" s="1">
        <v>88.5</v>
      </c>
      <c r="J920" s="1">
        <v>0.61460152133333334</v>
      </c>
      <c r="K920" s="1">
        <v>0.63674842300000001</v>
      </c>
      <c r="L920" s="1">
        <v>0.68532635500000005</v>
      </c>
      <c r="M920" s="3">
        <v>0.727031494</v>
      </c>
      <c r="N920" s="1" t="s">
        <v>98</v>
      </c>
      <c r="O920" s="1">
        <v>2.360103627</v>
      </c>
      <c r="P920" s="1">
        <v>36.799999999999997</v>
      </c>
      <c r="Q920" s="1">
        <v>38.6</v>
      </c>
      <c r="R920" s="1">
        <v>0.68303542400000017</v>
      </c>
      <c r="S920" s="1">
        <v>0.15702011697597368</v>
      </c>
      <c r="T920" t="s">
        <v>1067</v>
      </c>
      <c r="U920" s="1">
        <v>172</v>
      </c>
      <c r="V920">
        <f t="shared" si="56"/>
        <v>0.2483920496563943</v>
      </c>
      <c r="W920" s="1">
        <f t="shared" si="57"/>
        <v>5.8000000000000043</v>
      </c>
      <c r="X920">
        <f t="shared" si="58"/>
        <v>1.2166008020000001</v>
      </c>
      <c r="Y920">
        <f t="shared" si="59"/>
        <v>49.9</v>
      </c>
      <c r="Z920" s="1">
        <v>0</v>
      </c>
      <c r="AA920">
        <v>100</v>
      </c>
      <c r="AB920">
        <v>0</v>
      </c>
      <c r="AC920">
        <v>0</v>
      </c>
      <c r="AD920">
        <v>95</v>
      </c>
      <c r="AE920">
        <v>0</v>
      </c>
      <c r="AF920" t="s">
        <v>2589</v>
      </c>
      <c r="AG920" t="s">
        <v>2593</v>
      </c>
    </row>
    <row r="921" spans="1:33">
      <c r="A921" s="2" t="s">
        <v>119</v>
      </c>
      <c r="B921" s="2" t="s">
        <v>99</v>
      </c>
      <c r="C921" s="1">
        <v>0.48582609999999998</v>
      </c>
      <c r="D921">
        <v>0.67226483999999997</v>
      </c>
      <c r="E921">
        <v>0.68571362400000002</v>
      </c>
      <c r="F921" s="1" t="s">
        <v>120</v>
      </c>
      <c r="G921" s="1">
        <v>1.1435028249999999</v>
      </c>
      <c r="H921" s="1">
        <v>42.6</v>
      </c>
      <c r="I921" s="1">
        <v>88.5</v>
      </c>
      <c r="J921" s="1">
        <v>0.61460152133333334</v>
      </c>
      <c r="K921" s="1">
        <v>0.52525630099999998</v>
      </c>
      <c r="L921" s="1">
        <v>0.68706170200000005</v>
      </c>
      <c r="M921" s="3">
        <v>0.71473597300000002</v>
      </c>
      <c r="N921" s="1" t="s">
        <v>100</v>
      </c>
      <c r="O921" s="1">
        <v>1.72605042</v>
      </c>
      <c r="P921" s="1">
        <v>46.5</v>
      </c>
      <c r="Q921" s="1">
        <v>59.5</v>
      </c>
      <c r="R921" s="1">
        <v>0.64235132533333339</v>
      </c>
      <c r="S921" s="1">
        <v>5.1146697033388658E-2</v>
      </c>
      <c r="T921" t="s">
        <v>1068</v>
      </c>
      <c r="U921" s="1">
        <v>7060</v>
      </c>
      <c r="V921">
        <f t="shared" si="56"/>
        <v>0.42764496678353375</v>
      </c>
      <c r="W921" s="1">
        <f t="shared" si="57"/>
        <v>3.8999999999999986</v>
      </c>
      <c r="X921">
        <f t="shared" si="58"/>
        <v>0.58254759500000008</v>
      </c>
      <c r="Y921">
        <f t="shared" si="59"/>
        <v>29</v>
      </c>
      <c r="Z921" s="1">
        <v>0</v>
      </c>
      <c r="AA921">
        <v>100</v>
      </c>
      <c r="AB921">
        <v>0</v>
      </c>
      <c r="AC921">
        <v>0</v>
      </c>
      <c r="AD921">
        <v>97</v>
      </c>
      <c r="AE921">
        <v>0</v>
      </c>
      <c r="AF921" t="s">
        <v>2589</v>
      </c>
      <c r="AG921" t="s">
        <v>2589</v>
      </c>
    </row>
    <row r="922" spans="1:33">
      <c r="A922" s="2" t="s">
        <v>119</v>
      </c>
      <c r="B922" s="2" t="s">
        <v>148</v>
      </c>
      <c r="C922" s="1">
        <v>0.48582609999999998</v>
      </c>
      <c r="D922">
        <v>0.67226483999999997</v>
      </c>
      <c r="E922">
        <v>0.68571362400000002</v>
      </c>
      <c r="F922" s="1" t="s">
        <v>120</v>
      </c>
      <c r="G922" s="1">
        <v>1.1435028249999999</v>
      </c>
      <c r="H922" s="1">
        <v>42.6</v>
      </c>
      <c r="I922" s="1">
        <v>88.5</v>
      </c>
      <c r="J922" s="1">
        <v>0.61460152133333334</v>
      </c>
      <c r="K922" s="1">
        <v>0.52246277500000005</v>
      </c>
      <c r="L922" s="1">
        <v>0.64036274199999998</v>
      </c>
      <c r="M922" s="3">
        <v>0.62317592099999997</v>
      </c>
      <c r="N922" s="1" t="s">
        <v>149</v>
      </c>
      <c r="O922" s="1">
        <v>1.201000834</v>
      </c>
      <c r="P922" s="1">
        <v>59.2</v>
      </c>
      <c r="Q922" s="1">
        <v>119.9</v>
      </c>
      <c r="R922" s="1">
        <v>0.59533381266666663</v>
      </c>
      <c r="S922" s="1">
        <v>7.9189356029541302E-2</v>
      </c>
      <c r="T922" t="s">
        <v>1078</v>
      </c>
      <c r="U922" s="1">
        <v>9346</v>
      </c>
      <c r="V922">
        <f t="shared" si="56"/>
        <v>0.44118064185425498</v>
      </c>
      <c r="W922" s="1">
        <f t="shared" si="57"/>
        <v>16.600000000000001</v>
      </c>
      <c r="X922">
        <f t="shared" si="58"/>
        <v>5.7498009000000128E-2</v>
      </c>
      <c r="Y922">
        <f t="shared" si="59"/>
        <v>31.400000000000006</v>
      </c>
      <c r="Z922" s="1">
        <v>12</v>
      </c>
      <c r="AA922">
        <v>88</v>
      </c>
      <c r="AB922">
        <v>0.13639999999999999</v>
      </c>
      <c r="AC922">
        <v>13</v>
      </c>
      <c r="AD922">
        <v>79</v>
      </c>
      <c r="AE922">
        <v>0.1646</v>
      </c>
      <c r="AF922" t="s">
        <v>2589</v>
      </c>
      <c r="AG922" t="s">
        <v>2589</v>
      </c>
    </row>
    <row r="923" spans="1:33">
      <c r="A923" s="2" t="s">
        <v>119</v>
      </c>
      <c r="B923" s="2" t="s">
        <v>101</v>
      </c>
      <c r="C923" s="1">
        <v>0.48582609999999998</v>
      </c>
      <c r="D923">
        <v>0.67226483999999997</v>
      </c>
      <c r="E923">
        <v>0.68571362400000002</v>
      </c>
      <c r="F923" s="1" t="s">
        <v>120</v>
      </c>
      <c r="G923" s="1">
        <v>1.1435028249999999</v>
      </c>
      <c r="H923" s="1">
        <v>42.6</v>
      </c>
      <c r="I923" s="1">
        <v>88.5</v>
      </c>
      <c r="J923" s="1">
        <v>0.61460152133333334</v>
      </c>
      <c r="K923" s="1">
        <v>0.57277697599999999</v>
      </c>
      <c r="L923" s="1">
        <v>0.64568820599999999</v>
      </c>
      <c r="M923" s="3">
        <v>0.70909993500000001</v>
      </c>
      <c r="N923" s="1" t="s">
        <v>102</v>
      </c>
      <c r="O923" s="1">
        <v>1.2818181820000001</v>
      </c>
      <c r="P923" s="1">
        <v>58</v>
      </c>
      <c r="Q923" s="1">
        <v>110</v>
      </c>
      <c r="R923" s="1">
        <v>0.64252170566666666</v>
      </c>
      <c r="S923" s="1">
        <v>9.388126465981407E-2</v>
      </c>
      <c r="T923" t="s">
        <v>1069</v>
      </c>
      <c r="U923" s="1">
        <v>3809</v>
      </c>
      <c r="V923">
        <f t="shared" si="56"/>
        <v>0.39786788585121624</v>
      </c>
      <c r="W923" s="1">
        <f t="shared" si="57"/>
        <v>15.399999999999999</v>
      </c>
      <c r="X923">
        <f t="shared" si="58"/>
        <v>0.13831535700000019</v>
      </c>
      <c r="Y923">
        <f t="shared" si="59"/>
        <v>21.5</v>
      </c>
      <c r="Z923" s="1">
        <v>5</v>
      </c>
      <c r="AA923">
        <v>95</v>
      </c>
      <c r="AB923">
        <v>5.2600000000000001E-2</v>
      </c>
      <c r="AC923">
        <v>7</v>
      </c>
      <c r="AD923">
        <v>83</v>
      </c>
      <c r="AE923">
        <v>8.43E-2</v>
      </c>
      <c r="AF923" t="s">
        <v>2589</v>
      </c>
      <c r="AG923" t="s">
        <v>2589</v>
      </c>
    </row>
    <row r="924" spans="1:33">
      <c r="A924" s="2" t="s">
        <v>119</v>
      </c>
      <c r="B924" s="2" t="s">
        <v>103</v>
      </c>
      <c r="C924" s="1">
        <v>0.48582609999999998</v>
      </c>
      <c r="D924">
        <v>0.67226483999999997</v>
      </c>
      <c r="E924">
        <v>0.68571362400000002</v>
      </c>
      <c r="F924" s="1" t="s">
        <v>120</v>
      </c>
      <c r="G924" s="1">
        <v>1.1435028249999999</v>
      </c>
      <c r="H924" s="1">
        <v>42.6</v>
      </c>
      <c r="I924" s="1">
        <v>88.5</v>
      </c>
      <c r="J924" s="1">
        <v>0.61460152133333334</v>
      </c>
      <c r="K924" s="1">
        <v>0.58538445800000005</v>
      </c>
      <c r="L924" s="1">
        <v>0.70461059999999998</v>
      </c>
      <c r="M924" s="3">
        <v>0.67846608399999997</v>
      </c>
      <c r="N924" s="1" t="s">
        <v>104</v>
      </c>
      <c r="O924" s="1">
        <v>1.1020080320000001</v>
      </c>
      <c r="P924" s="1">
        <v>58.7</v>
      </c>
      <c r="Q924" s="1">
        <v>124.5</v>
      </c>
      <c r="R924" s="1">
        <v>0.65615371400000011</v>
      </c>
      <c r="S924" s="1">
        <v>0.10493160474178109</v>
      </c>
      <c r="T924" t="s">
        <v>1070</v>
      </c>
      <c r="U924" s="1">
        <v>7835</v>
      </c>
      <c r="V924">
        <f t="shared" si="56"/>
        <v>0.43267100008940101</v>
      </c>
      <c r="W924" s="1">
        <f t="shared" si="57"/>
        <v>16.100000000000001</v>
      </c>
      <c r="X924">
        <f t="shared" si="58"/>
        <v>4.1494792999999808E-2</v>
      </c>
      <c r="Y924">
        <f t="shared" si="59"/>
        <v>36</v>
      </c>
      <c r="Z924" s="1">
        <v>3</v>
      </c>
      <c r="AA924">
        <v>97</v>
      </c>
      <c r="AB924">
        <v>3.09E-2</v>
      </c>
      <c r="AC924">
        <v>3</v>
      </c>
      <c r="AD924">
        <v>88</v>
      </c>
      <c r="AE924">
        <v>3.4099999999999998E-2</v>
      </c>
      <c r="AF924" t="s">
        <v>2589</v>
      </c>
      <c r="AG924" t="s">
        <v>2589</v>
      </c>
    </row>
    <row r="925" spans="1:33">
      <c r="A925" s="2" t="s">
        <v>119</v>
      </c>
      <c r="B925" s="2" t="s">
        <v>105</v>
      </c>
      <c r="C925" s="1">
        <v>0.48582609999999998</v>
      </c>
      <c r="D925">
        <v>0.67226483999999997</v>
      </c>
      <c r="E925">
        <v>0.68571362400000002</v>
      </c>
      <c r="F925" s="1" t="s">
        <v>120</v>
      </c>
      <c r="G925" s="1">
        <v>1.1435028249999999</v>
      </c>
      <c r="H925" s="1">
        <v>42.6</v>
      </c>
      <c r="I925" s="1">
        <v>88.5</v>
      </c>
      <c r="J925" s="1">
        <v>0.61460152133333334</v>
      </c>
      <c r="K925" s="1">
        <v>0.56210716000000005</v>
      </c>
      <c r="L925" s="1">
        <v>0.68032504299999996</v>
      </c>
      <c r="M925" s="3">
        <v>0.71115907899999997</v>
      </c>
      <c r="N925" s="1" t="s">
        <v>106</v>
      </c>
      <c r="O925" s="1">
        <v>1.0978593270000001</v>
      </c>
      <c r="P925" s="1">
        <v>43.5</v>
      </c>
      <c r="Q925" s="1">
        <v>98.1</v>
      </c>
      <c r="R925" s="1">
        <v>0.65119709399999992</v>
      </c>
      <c r="S925" s="1">
        <v>8.0816076168555975E-2</v>
      </c>
      <c r="T925" t="s">
        <v>1071</v>
      </c>
      <c r="U925" s="1">
        <v>5143</v>
      </c>
      <c r="V925">
        <f t="shared" si="56"/>
        <v>0.41235739159123219</v>
      </c>
      <c r="W925" s="1">
        <f t="shared" si="57"/>
        <v>0.89999999999999858</v>
      </c>
      <c r="X925">
        <f t="shared" si="58"/>
        <v>4.5643497999999783E-2</v>
      </c>
      <c r="Y925">
        <f t="shared" si="59"/>
        <v>9.5999999999999943</v>
      </c>
      <c r="Z925" s="1">
        <v>0</v>
      </c>
      <c r="AA925">
        <v>100</v>
      </c>
      <c r="AB925">
        <v>0</v>
      </c>
      <c r="AC925">
        <v>0</v>
      </c>
      <c r="AD925">
        <v>109</v>
      </c>
      <c r="AE925">
        <v>0</v>
      </c>
      <c r="AF925" t="s">
        <v>2589</v>
      </c>
      <c r="AG925" t="s">
        <v>2589</v>
      </c>
    </row>
    <row r="926" spans="1:33">
      <c r="A926" s="2" t="s">
        <v>119</v>
      </c>
      <c r="B926" s="2" t="s">
        <v>107</v>
      </c>
      <c r="C926" s="1">
        <v>0.48582609999999998</v>
      </c>
      <c r="D926">
        <v>0.67226483999999997</v>
      </c>
      <c r="E926">
        <v>0.68571362400000002</v>
      </c>
      <c r="F926" s="1" t="s">
        <v>120</v>
      </c>
      <c r="G926" s="1">
        <v>1.1435028249999999</v>
      </c>
      <c r="H926" s="1">
        <v>42.6</v>
      </c>
      <c r="I926" s="1">
        <v>88.5</v>
      </c>
      <c r="J926" s="1">
        <v>0.61460152133333334</v>
      </c>
      <c r="K926" s="1">
        <v>0.61734740899999996</v>
      </c>
      <c r="L926" s="1">
        <v>0.68293216999999995</v>
      </c>
      <c r="M926" s="3">
        <v>0.69981194099999999</v>
      </c>
      <c r="N926" s="1" t="s">
        <v>108</v>
      </c>
      <c r="O926" s="1">
        <v>2</v>
      </c>
      <c r="P926" s="1">
        <v>19</v>
      </c>
      <c r="Q926" s="1">
        <v>21.1</v>
      </c>
      <c r="R926" s="1">
        <v>0.66669717333333323</v>
      </c>
      <c r="S926" s="1">
        <v>0.13270421693614284</v>
      </c>
      <c r="T926" t="s">
        <v>1072</v>
      </c>
      <c r="U926" s="1">
        <v>702</v>
      </c>
      <c r="V926">
        <f t="shared" si="56"/>
        <v>0.31625967912553388</v>
      </c>
      <c r="W926" s="1">
        <f t="shared" si="57"/>
        <v>23.6</v>
      </c>
      <c r="X926">
        <f t="shared" si="58"/>
        <v>0.85649717500000011</v>
      </c>
      <c r="Y926">
        <f t="shared" si="59"/>
        <v>67.400000000000006</v>
      </c>
      <c r="Z926" s="1">
        <v>0</v>
      </c>
      <c r="AA926">
        <v>100</v>
      </c>
      <c r="AB926">
        <v>0</v>
      </c>
      <c r="AC926">
        <v>1</v>
      </c>
      <c r="AD926">
        <v>84</v>
      </c>
      <c r="AE926">
        <v>1.1900000000000001E-2</v>
      </c>
      <c r="AF926" t="s">
        <v>2589</v>
      </c>
      <c r="AG926" t="s">
        <v>2588</v>
      </c>
    </row>
    <row r="927" spans="1:33">
      <c r="A927" s="2" t="s">
        <v>119</v>
      </c>
      <c r="B927" s="2" t="s">
        <v>109</v>
      </c>
      <c r="C927" s="1">
        <v>0.48582609999999998</v>
      </c>
      <c r="D927">
        <v>0.67226483999999997</v>
      </c>
      <c r="E927">
        <v>0.68571362400000002</v>
      </c>
      <c r="F927" s="1" t="s">
        <v>120</v>
      </c>
      <c r="G927" s="1">
        <v>1.1435028249999999</v>
      </c>
      <c r="H927" s="1">
        <v>42.6</v>
      </c>
      <c r="I927" s="1">
        <v>88.5</v>
      </c>
      <c r="J927" s="1">
        <v>0.61460152133333334</v>
      </c>
      <c r="K927" s="1">
        <v>0.51638908800000005</v>
      </c>
      <c r="L927" s="1">
        <v>0.68684605300000001</v>
      </c>
      <c r="M927" s="3">
        <v>0.66065444600000001</v>
      </c>
      <c r="N927" s="1" t="s">
        <v>110</v>
      </c>
      <c r="O927" s="1">
        <v>1.2897862229999999</v>
      </c>
      <c r="P927" s="1">
        <v>49.4</v>
      </c>
      <c r="Q927" s="1">
        <v>84.2</v>
      </c>
      <c r="R927" s="1">
        <v>0.62129652899999999</v>
      </c>
      <c r="S927" s="1">
        <v>4.2126837171513394E-2</v>
      </c>
      <c r="T927" t="s">
        <v>1073</v>
      </c>
      <c r="U927" s="1">
        <v>13684</v>
      </c>
      <c r="V927">
        <f t="shared" si="56"/>
        <v>0.4595792295014472</v>
      </c>
      <c r="W927" s="1">
        <f t="shared" si="57"/>
        <v>6.7999999999999972</v>
      </c>
      <c r="X927">
        <f t="shared" si="58"/>
        <v>0.14628339800000001</v>
      </c>
      <c r="Y927">
        <f t="shared" si="59"/>
        <v>4.2999999999999972</v>
      </c>
      <c r="Z927" s="1">
        <v>12</v>
      </c>
      <c r="AA927">
        <v>88</v>
      </c>
      <c r="AB927">
        <v>0.13639999999999999</v>
      </c>
      <c r="AC927">
        <v>13</v>
      </c>
      <c r="AD927">
        <v>93</v>
      </c>
      <c r="AE927">
        <v>0.13980000000000001</v>
      </c>
      <c r="AF927" t="s">
        <v>2589</v>
      </c>
      <c r="AG927" t="s">
        <v>2589</v>
      </c>
    </row>
    <row r="928" spans="1:33">
      <c r="A928" s="2" t="s">
        <v>119</v>
      </c>
      <c r="B928" s="2" t="s">
        <v>111</v>
      </c>
      <c r="C928" s="1">
        <v>0.48582609999999998</v>
      </c>
      <c r="D928">
        <v>0.67226483999999997</v>
      </c>
      <c r="E928">
        <v>0.68571362400000002</v>
      </c>
      <c r="F928" s="1" t="s">
        <v>120</v>
      </c>
      <c r="G928" s="1">
        <v>1.1435028249999999</v>
      </c>
      <c r="H928" s="1">
        <v>42.6</v>
      </c>
      <c r="I928" s="1">
        <v>88.5</v>
      </c>
      <c r="J928" s="1">
        <v>0.61460152133333334</v>
      </c>
      <c r="K928" s="1">
        <v>0.60132418300000001</v>
      </c>
      <c r="L928" s="1">
        <v>0.67605095299999995</v>
      </c>
      <c r="M928" s="3">
        <v>0.74222981799999999</v>
      </c>
      <c r="N928" s="1" t="s">
        <v>112</v>
      </c>
      <c r="O928" s="1">
        <v>1.561403509</v>
      </c>
      <c r="P928" s="1">
        <v>30</v>
      </c>
      <c r="Q928" s="1">
        <v>45.6</v>
      </c>
      <c r="R928" s="1">
        <v>0.67320165133333332</v>
      </c>
      <c r="S928" s="1">
        <v>0.12863989277269045</v>
      </c>
      <c r="T928" t="s">
        <v>1074</v>
      </c>
      <c r="U928" s="1">
        <v>472</v>
      </c>
      <c r="V928">
        <f t="shared" si="56"/>
        <v>0.29710466651489864</v>
      </c>
      <c r="W928" s="1">
        <f t="shared" si="57"/>
        <v>12.600000000000001</v>
      </c>
      <c r="X928">
        <f t="shared" si="58"/>
        <v>0.41790068400000013</v>
      </c>
      <c r="Y928">
        <f t="shared" si="59"/>
        <v>42.9</v>
      </c>
      <c r="Z928" s="1">
        <v>1</v>
      </c>
      <c r="AA928">
        <v>99</v>
      </c>
      <c r="AB928">
        <v>1.01E-2</v>
      </c>
      <c r="AC928">
        <v>2</v>
      </c>
      <c r="AD928">
        <v>99</v>
      </c>
      <c r="AE928">
        <v>2.0199999999999999E-2</v>
      </c>
      <c r="AF928" t="s">
        <v>2589</v>
      </c>
      <c r="AG928" t="s">
        <v>2591</v>
      </c>
    </row>
    <row r="929" spans="1:33">
      <c r="A929" s="2" t="s">
        <v>119</v>
      </c>
      <c r="B929" s="2" t="s">
        <v>113</v>
      </c>
      <c r="C929" s="1">
        <v>0.48582609999999998</v>
      </c>
      <c r="D929">
        <v>0.67226483999999997</v>
      </c>
      <c r="E929">
        <v>0.68571362400000002</v>
      </c>
      <c r="F929" s="1" t="s">
        <v>120</v>
      </c>
      <c r="G929" s="1">
        <v>1.1435028249999999</v>
      </c>
      <c r="H929" s="1">
        <v>42.6</v>
      </c>
      <c r="I929" s="1">
        <v>88.5</v>
      </c>
      <c r="J929" s="1">
        <v>0.61460152133333334</v>
      </c>
      <c r="K929" s="1">
        <v>0.57440698499999998</v>
      </c>
      <c r="L929" s="1">
        <v>0.66920790399999996</v>
      </c>
      <c r="M929" s="3">
        <v>0.71602402300000001</v>
      </c>
      <c r="N929" s="1" t="s">
        <v>114</v>
      </c>
      <c r="O929" s="1">
        <v>2.5573248409999998</v>
      </c>
      <c r="P929" s="1">
        <v>34.299999999999997</v>
      </c>
      <c r="Q929" s="1">
        <v>31.4</v>
      </c>
      <c r="R929" s="1">
        <v>0.65321297066666661</v>
      </c>
      <c r="S929" s="1">
        <v>9.3673039518478968E-2</v>
      </c>
      <c r="T929" t="s">
        <v>1075</v>
      </c>
      <c r="U929" s="1">
        <v>624</v>
      </c>
      <c r="V929">
        <f t="shared" si="56"/>
        <v>0.31057606552026934</v>
      </c>
      <c r="W929" s="1">
        <f t="shared" si="57"/>
        <v>8.3000000000000043</v>
      </c>
      <c r="X929">
        <f t="shared" si="58"/>
        <v>1.4138220159999999</v>
      </c>
      <c r="Y929">
        <f t="shared" si="59"/>
        <v>57.1</v>
      </c>
      <c r="Z929" s="1">
        <v>0</v>
      </c>
      <c r="AA929">
        <v>100</v>
      </c>
      <c r="AB929">
        <v>0</v>
      </c>
      <c r="AC929">
        <v>0</v>
      </c>
      <c r="AD929">
        <v>95</v>
      </c>
      <c r="AE929">
        <v>0</v>
      </c>
      <c r="AF929" t="s">
        <v>2589</v>
      </c>
      <c r="AG929" t="s">
        <v>2593</v>
      </c>
    </row>
    <row r="930" spans="1:33">
      <c r="A930" s="2" t="s">
        <v>119</v>
      </c>
      <c r="B930" s="2" t="s">
        <v>115</v>
      </c>
      <c r="C930" s="1">
        <v>0.48582609999999998</v>
      </c>
      <c r="D930">
        <v>0.67226483999999997</v>
      </c>
      <c r="E930">
        <v>0.68571362400000002</v>
      </c>
      <c r="F930" s="1" t="s">
        <v>120</v>
      </c>
      <c r="G930" s="1">
        <v>1.1435028249999999</v>
      </c>
      <c r="H930" s="1">
        <v>42.6</v>
      </c>
      <c r="I930" s="1">
        <v>88.5</v>
      </c>
      <c r="J930" s="1">
        <v>0.61460152133333334</v>
      </c>
      <c r="K930" s="1">
        <v>0.55237211100000005</v>
      </c>
      <c r="L930" s="1">
        <v>0.65961031000000003</v>
      </c>
      <c r="M930" s="3">
        <v>0.69215541599999997</v>
      </c>
      <c r="N930" s="1" t="s">
        <v>116</v>
      </c>
      <c r="O930" s="1">
        <v>1.149700599</v>
      </c>
      <c r="P930" s="1">
        <v>66.900000000000006</v>
      </c>
      <c r="Q930" s="1">
        <v>133.6</v>
      </c>
      <c r="R930" s="1">
        <v>0.63471261233333331</v>
      </c>
      <c r="S930" s="1">
        <v>6.8044142978689159E-2</v>
      </c>
      <c r="T930" t="s">
        <v>1076</v>
      </c>
      <c r="U930" s="1">
        <v>7793</v>
      </c>
      <c r="V930">
        <f t="shared" si="56"/>
        <v>0.43241163069324251</v>
      </c>
      <c r="W930" s="1">
        <f t="shared" si="57"/>
        <v>24.300000000000004</v>
      </c>
      <c r="X930">
        <f t="shared" si="58"/>
        <v>6.1977740000001003E-3</v>
      </c>
      <c r="Y930">
        <f t="shared" si="59"/>
        <v>45.099999999999994</v>
      </c>
      <c r="Z930" s="1">
        <v>7</v>
      </c>
      <c r="AA930">
        <v>93</v>
      </c>
      <c r="AB930">
        <v>7.5300000000000006E-2</v>
      </c>
      <c r="AC930">
        <v>9</v>
      </c>
      <c r="AD930">
        <v>91</v>
      </c>
      <c r="AE930">
        <v>9.8900000000000002E-2</v>
      </c>
      <c r="AF930" t="s">
        <v>2589</v>
      </c>
      <c r="AG930" t="s">
        <v>2589</v>
      </c>
    </row>
    <row r="931" spans="1:33">
      <c r="A931" s="2" t="s">
        <v>119</v>
      </c>
      <c r="B931" s="2" t="s">
        <v>117</v>
      </c>
      <c r="C931" s="1">
        <v>0.48582609999999998</v>
      </c>
      <c r="D931">
        <v>0.67226483999999997</v>
      </c>
      <c r="E931">
        <v>0.68571362400000002</v>
      </c>
      <c r="F931" s="1" t="s">
        <v>120</v>
      </c>
      <c r="G931" s="1">
        <v>1.1435028249999999</v>
      </c>
      <c r="H931" s="1">
        <v>42.6</v>
      </c>
      <c r="I931" s="1">
        <v>88.5</v>
      </c>
      <c r="J931" s="1">
        <v>0.61460152133333334</v>
      </c>
      <c r="K931" s="1">
        <v>0.52788907299999999</v>
      </c>
      <c r="L931" s="1">
        <v>0.665074418</v>
      </c>
      <c r="M931" s="3">
        <v>0.69056128699999997</v>
      </c>
      <c r="N931" s="1" t="s">
        <v>118</v>
      </c>
      <c r="O931" s="1">
        <v>1.0818253339999999</v>
      </c>
      <c r="P931" s="1">
        <v>58.4</v>
      </c>
      <c r="Q931" s="1">
        <v>127.1</v>
      </c>
      <c r="R931" s="1">
        <v>0.62784159266666661</v>
      </c>
      <c r="S931" s="1">
        <v>4.2947592513415483E-2</v>
      </c>
      <c r="T931" t="s">
        <v>1077</v>
      </c>
      <c r="U931" s="1">
        <v>16575</v>
      </c>
      <c r="V931">
        <f t="shared" si="56"/>
        <v>0.46882817078631234</v>
      </c>
      <c r="W931" s="1">
        <f t="shared" si="57"/>
        <v>15.799999999999997</v>
      </c>
      <c r="X931">
        <f t="shared" si="58"/>
        <v>6.1677490999999973E-2</v>
      </c>
      <c r="Y931">
        <f t="shared" si="59"/>
        <v>38.599999999999994</v>
      </c>
      <c r="Z931" s="1">
        <v>12</v>
      </c>
      <c r="AA931">
        <v>88</v>
      </c>
      <c r="AB931">
        <v>0.13639999999999999</v>
      </c>
      <c r="AC931">
        <v>12</v>
      </c>
      <c r="AD931">
        <v>100</v>
      </c>
      <c r="AE931">
        <v>0.12</v>
      </c>
      <c r="AF931" t="s">
        <v>2589</v>
      </c>
      <c r="AG931" t="s">
        <v>2589</v>
      </c>
    </row>
    <row r="932" spans="1:33">
      <c r="A932" s="2" t="s">
        <v>117</v>
      </c>
      <c r="B932" s="2" t="s">
        <v>10</v>
      </c>
      <c r="C932" s="1">
        <v>0.52788907299999999</v>
      </c>
      <c r="D932">
        <v>0.665074418</v>
      </c>
      <c r="E932">
        <v>0.69056128699999997</v>
      </c>
      <c r="F932" s="1" t="s">
        <v>118</v>
      </c>
      <c r="G932" s="1">
        <v>1.0818253339999999</v>
      </c>
      <c r="H932" s="1">
        <v>58.4</v>
      </c>
      <c r="I932" s="1">
        <v>127.1</v>
      </c>
      <c r="J932" s="1">
        <v>0.62784159266666661</v>
      </c>
      <c r="K932" s="1">
        <v>0.52456325500000001</v>
      </c>
      <c r="L932" s="1">
        <v>0.61925627999999999</v>
      </c>
      <c r="M932" s="3">
        <v>0.72111139899999999</v>
      </c>
      <c r="N932" s="1" t="s">
        <v>12</v>
      </c>
      <c r="O932" s="1">
        <v>0.61690647499999995</v>
      </c>
      <c r="P932" s="1">
        <v>30</v>
      </c>
      <c r="Q932" s="1">
        <v>111.2</v>
      </c>
      <c r="R932" s="1">
        <v>0.62164364466666666</v>
      </c>
      <c r="S932" s="1">
        <v>5.5169485935331261E-2</v>
      </c>
      <c r="T932" t="s">
        <v>1079</v>
      </c>
      <c r="U932" s="1">
        <v>1433</v>
      </c>
      <c r="V932">
        <f t="shared" si="56"/>
        <v>0.35069402115526049</v>
      </c>
      <c r="W932" s="1">
        <f t="shared" si="57"/>
        <v>28.4</v>
      </c>
      <c r="X932">
        <f t="shared" si="58"/>
        <v>0.46491885899999996</v>
      </c>
      <c r="Y932">
        <f t="shared" si="59"/>
        <v>15.899999999999991</v>
      </c>
      <c r="Z932" s="1">
        <v>4</v>
      </c>
      <c r="AA932">
        <v>96</v>
      </c>
      <c r="AB932">
        <v>4.1700000000000001E-2</v>
      </c>
      <c r="AC932">
        <v>5</v>
      </c>
      <c r="AD932">
        <v>164</v>
      </c>
      <c r="AE932">
        <v>3.0499999999999999E-2</v>
      </c>
      <c r="AF932" t="s">
        <v>2589</v>
      </c>
      <c r="AG932" t="s">
        <v>2588</v>
      </c>
    </row>
    <row r="933" spans="1:33">
      <c r="A933" s="2" t="s">
        <v>117</v>
      </c>
      <c r="B933" s="2" t="s">
        <v>13</v>
      </c>
      <c r="C933" s="1">
        <v>0.52788907299999999</v>
      </c>
      <c r="D933">
        <v>0.665074418</v>
      </c>
      <c r="E933">
        <v>0.69056128699999997</v>
      </c>
      <c r="F933" s="1" t="s">
        <v>118</v>
      </c>
      <c r="G933" s="1">
        <v>1.0818253339999999</v>
      </c>
      <c r="H933" s="1">
        <v>58.4</v>
      </c>
      <c r="I933" s="1">
        <v>127.1</v>
      </c>
      <c r="J933" s="1">
        <v>0.62784159266666661</v>
      </c>
      <c r="K933" s="1">
        <v>0.48695497399999998</v>
      </c>
      <c r="L933" s="1">
        <v>0.54991327199999995</v>
      </c>
      <c r="M933" s="3">
        <v>0.67282609299999996</v>
      </c>
      <c r="N933" s="1" t="s">
        <v>14</v>
      </c>
      <c r="O933" s="1">
        <v>1.6052009460000001</v>
      </c>
      <c r="P933" s="1">
        <v>26.6</v>
      </c>
      <c r="Q933" s="1">
        <v>42.3</v>
      </c>
      <c r="R933" s="1">
        <v>0.56989811299999993</v>
      </c>
      <c r="S933" s="1">
        <v>0.1234999073489238</v>
      </c>
      <c r="T933" t="s">
        <v>1080</v>
      </c>
      <c r="U933" s="1">
        <v>4285</v>
      </c>
      <c r="V933">
        <f t="shared" si="56"/>
        <v>0.40355009180657964</v>
      </c>
      <c r="W933" s="1">
        <f t="shared" si="57"/>
        <v>31.799999999999997</v>
      </c>
      <c r="X933">
        <f t="shared" si="58"/>
        <v>0.52337561200000016</v>
      </c>
      <c r="Y933">
        <f t="shared" si="59"/>
        <v>84.8</v>
      </c>
      <c r="Z933" s="1">
        <v>1</v>
      </c>
      <c r="AA933">
        <v>99</v>
      </c>
      <c r="AB933">
        <v>1.01E-2</v>
      </c>
      <c r="AC933">
        <v>2</v>
      </c>
      <c r="AD933">
        <v>114</v>
      </c>
      <c r="AE933">
        <v>1.7500000000000002E-2</v>
      </c>
      <c r="AF933" t="s">
        <v>2589</v>
      </c>
      <c r="AG933" t="s">
        <v>2590</v>
      </c>
    </row>
    <row r="934" spans="1:33">
      <c r="A934" s="2" t="s">
        <v>117</v>
      </c>
      <c r="B934" s="2" t="s">
        <v>15</v>
      </c>
      <c r="C934" s="1">
        <v>0.52788907299999999</v>
      </c>
      <c r="D934">
        <v>0.665074418</v>
      </c>
      <c r="E934">
        <v>0.69056128699999997</v>
      </c>
      <c r="F934" s="1" t="s">
        <v>118</v>
      </c>
      <c r="G934" s="1">
        <v>1.0818253339999999</v>
      </c>
      <c r="H934" s="1">
        <v>58.4</v>
      </c>
      <c r="I934" s="1">
        <v>127.1</v>
      </c>
      <c r="J934" s="1">
        <v>0.62784159266666661</v>
      </c>
      <c r="K934" s="1">
        <v>0.54560998800000005</v>
      </c>
      <c r="L934" s="1">
        <v>0.66721428400000005</v>
      </c>
      <c r="M934" s="3">
        <v>0.72650398400000005</v>
      </c>
      <c r="N934" s="1" t="s">
        <v>16</v>
      </c>
      <c r="O934" s="1">
        <v>5.1392405060000002</v>
      </c>
      <c r="P934" s="1">
        <v>35.9</v>
      </c>
      <c r="Q934" s="1">
        <v>15.8</v>
      </c>
      <c r="R934" s="1">
        <v>0.64644275200000012</v>
      </c>
      <c r="S934" s="1">
        <v>4.0130877420871298E-2</v>
      </c>
      <c r="T934" t="s">
        <v>1081</v>
      </c>
      <c r="U934" s="1">
        <v>2248</v>
      </c>
      <c r="V934">
        <f t="shared" si="56"/>
        <v>0.37242181187744705</v>
      </c>
      <c r="W934" s="1">
        <f t="shared" si="57"/>
        <v>22.5</v>
      </c>
      <c r="X934">
        <f t="shared" si="58"/>
        <v>4.0574151720000007</v>
      </c>
      <c r="Y934">
        <f t="shared" si="59"/>
        <v>111.3</v>
      </c>
      <c r="Z934" s="1">
        <v>0</v>
      </c>
      <c r="AA934">
        <v>100</v>
      </c>
      <c r="AB934">
        <v>0</v>
      </c>
      <c r="AC934">
        <v>0</v>
      </c>
      <c r="AD934">
        <v>112</v>
      </c>
      <c r="AE934">
        <v>0</v>
      </c>
      <c r="AF934" t="s">
        <v>2589</v>
      </c>
      <c r="AG934" t="s">
        <v>2591</v>
      </c>
    </row>
    <row r="935" spans="1:33">
      <c r="A935" s="2" t="s">
        <v>117</v>
      </c>
      <c r="B935" s="2" t="s">
        <v>17</v>
      </c>
      <c r="C935" s="1">
        <v>0.52788907299999999</v>
      </c>
      <c r="D935">
        <v>0.665074418</v>
      </c>
      <c r="E935">
        <v>0.69056128699999997</v>
      </c>
      <c r="F935" s="1" t="s">
        <v>118</v>
      </c>
      <c r="G935" s="1">
        <v>1.0818253339999999</v>
      </c>
      <c r="H935" s="1">
        <v>58.4</v>
      </c>
      <c r="I935" s="1">
        <v>127.1</v>
      </c>
      <c r="J935" s="1">
        <v>0.62784159266666661</v>
      </c>
      <c r="K935" s="1">
        <v>0.659112378</v>
      </c>
      <c r="L935" s="1">
        <v>0.68333493499999998</v>
      </c>
      <c r="M935" s="3">
        <v>0.70345495199999997</v>
      </c>
      <c r="N935" s="1" t="s">
        <v>18</v>
      </c>
      <c r="O935" s="1">
        <v>1.9463955639999999</v>
      </c>
      <c r="P935" s="1">
        <v>46.3</v>
      </c>
      <c r="Q935" s="1">
        <v>54.1</v>
      </c>
      <c r="R935" s="1">
        <v>0.68196742166666668</v>
      </c>
      <c r="S935" s="1">
        <v>0.13311366892007198</v>
      </c>
      <c r="T935" t="s">
        <v>1082</v>
      </c>
      <c r="U935" s="1">
        <v>2426</v>
      </c>
      <c r="V935">
        <f t="shared" si="56"/>
        <v>0.37609897739228382</v>
      </c>
      <c r="W935" s="1">
        <f t="shared" si="57"/>
        <v>12.100000000000001</v>
      </c>
      <c r="X935">
        <f t="shared" si="58"/>
        <v>0.86457023</v>
      </c>
      <c r="Y935">
        <f t="shared" si="59"/>
        <v>73</v>
      </c>
      <c r="Z935" s="1">
        <v>0</v>
      </c>
      <c r="AA935">
        <v>100</v>
      </c>
      <c r="AB935">
        <v>0</v>
      </c>
      <c r="AC935">
        <v>0</v>
      </c>
      <c r="AD935">
        <v>126</v>
      </c>
      <c r="AE935">
        <v>0</v>
      </c>
      <c r="AF935" t="s">
        <v>2589</v>
      </c>
      <c r="AG935" t="s">
        <v>2591</v>
      </c>
    </row>
    <row r="936" spans="1:33">
      <c r="A936" s="2" t="s">
        <v>117</v>
      </c>
      <c r="B936" s="2" t="s">
        <v>19</v>
      </c>
      <c r="C936" s="1">
        <v>0.52788907299999999</v>
      </c>
      <c r="D936">
        <v>0.665074418</v>
      </c>
      <c r="E936">
        <v>0.69056128699999997</v>
      </c>
      <c r="F936" s="1" t="s">
        <v>118</v>
      </c>
      <c r="G936" s="1">
        <v>1.0818253339999999</v>
      </c>
      <c r="H936" s="1">
        <v>58.4</v>
      </c>
      <c r="I936" s="1">
        <v>127.1</v>
      </c>
      <c r="J936" s="1">
        <v>0.62784159266666661</v>
      </c>
      <c r="K936" s="1">
        <v>0.49391595300000002</v>
      </c>
      <c r="L936" s="1">
        <v>0.603599314</v>
      </c>
      <c r="M936" s="3">
        <v>0.63481471599999995</v>
      </c>
      <c r="N936" s="1" t="s">
        <v>20</v>
      </c>
      <c r="O936" s="1">
        <v>1.2140902870000001</v>
      </c>
      <c r="P936" s="1">
        <v>64.900000000000006</v>
      </c>
      <c r="Q936" s="1">
        <v>146.19999999999999</v>
      </c>
      <c r="R936" s="1">
        <v>0.57744332766666662</v>
      </c>
      <c r="S936" s="1">
        <v>8.9671854405957596E-2</v>
      </c>
      <c r="T936" t="s">
        <v>1083</v>
      </c>
      <c r="U936" s="1">
        <v>4531</v>
      </c>
      <c r="V936">
        <f t="shared" si="56"/>
        <v>0.40624378468657624</v>
      </c>
      <c r="W936" s="1">
        <f t="shared" si="57"/>
        <v>6.5000000000000071</v>
      </c>
      <c r="X936">
        <f t="shared" si="58"/>
        <v>0.13226495300000018</v>
      </c>
      <c r="Y936">
        <f t="shared" si="59"/>
        <v>19.099999999999994</v>
      </c>
      <c r="Z936" s="1">
        <v>8</v>
      </c>
      <c r="AA936">
        <v>92</v>
      </c>
      <c r="AB936">
        <v>8.6999999999999994E-2</v>
      </c>
      <c r="AC936">
        <v>9</v>
      </c>
      <c r="AD936">
        <v>97</v>
      </c>
      <c r="AE936">
        <v>9.2799999999999994E-2</v>
      </c>
      <c r="AF936" t="s">
        <v>2589</v>
      </c>
      <c r="AG936" t="s">
        <v>2593</v>
      </c>
    </row>
    <row r="937" spans="1:33">
      <c r="A937" s="2" t="s">
        <v>117</v>
      </c>
      <c r="B937" s="2" t="s">
        <v>21</v>
      </c>
      <c r="C937" s="1">
        <v>0.52788907299999999</v>
      </c>
      <c r="D937">
        <v>0.665074418</v>
      </c>
      <c r="E937">
        <v>0.69056128699999997</v>
      </c>
      <c r="F937" s="1" t="s">
        <v>118</v>
      </c>
      <c r="G937" s="1">
        <v>1.0818253339999999</v>
      </c>
      <c r="H937" s="1">
        <v>58.4</v>
      </c>
      <c r="I937" s="1">
        <v>127.1</v>
      </c>
      <c r="J937" s="1">
        <v>0.62784159266666661</v>
      </c>
      <c r="K937" s="1">
        <v>0.53276376800000003</v>
      </c>
      <c r="L937" s="1">
        <v>0.65428149899999999</v>
      </c>
      <c r="M937" s="3">
        <v>0.70160154799999996</v>
      </c>
      <c r="N937" s="1" t="s">
        <v>22</v>
      </c>
      <c r="O937" s="1">
        <v>1.2440604749999999</v>
      </c>
      <c r="P937" s="1">
        <v>24.6</v>
      </c>
      <c r="Q937" s="1">
        <v>46.3</v>
      </c>
      <c r="R937" s="1">
        <v>0.62954893833333336</v>
      </c>
      <c r="S937" s="1">
        <v>1.619064899353042E-2</v>
      </c>
      <c r="T937" t="s">
        <v>1084</v>
      </c>
      <c r="U937" s="1">
        <v>39471</v>
      </c>
      <c r="V937">
        <f t="shared" si="56"/>
        <v>0.51069756993444082</v>
      </c>
      <c r="W937" s="1">
        <f t="shared" si="57"/>
        <v>33.799999999999997</v>
      </c>
      <c r="X937">
        <f t="shared" si="58"/>
        <v>0.16223514100000003</v>
      </c>
      <c r="Y937">
        <f t="shared" si="59"/>
        <v>80.8</v>
      </c>
      <c r="Z937" s="1">
        <v>4</v>
      </c>
      <c r="AA937">
        <v>96</v>
      </c>
      <c r="AB937">
        <v>4.1700000000000001E-2</v>
      </c>
      <c r="AC937">
        <v>4</v>
      </c>
      <c r="AD937">
        <v>108</v>
      </c>
      <c r="AE937">
        <v>3.6999999999999998E-2</v>
      </c>
      <c r="AF937" t="s">
        <v>2589</v>
      </c>
      <c r="AG937" t="s">
        <v>2589</v>
      </c>
    </row>
    <row r="938" spans="1:33">
      <c r="A938" s="2" t="s">
        <v>117</v>
      </c>
      <c r="B938" s="2" t="s">
        <v>23</v>
      </c>
      <c r="C938" s="1">
        <v>0.52788907299999999</v>
      </c>
      <c r="D938">
        <v>0.665074418</v>
      </c>
      <c r="E938">
        <v>0.69056128699999997</v>
      </c>
      <c r="F938" s="1" t="s">
        <v>118</v>
      </c>
      <c r="G938" s="1">
        <v>1.0818253339999999</v>
      </c>
      <c r="H938" s="1">
        <v>58.4</v>
      </c>
      <c r="I938" s="1">
        <v>127.1</v>
      </c>
      <c r="J938" s="1">
        <v>0.62784159266666661</v>
      </c>
      <c r="K938" s="1">
        <v>0.49415677200000002</v>
      </c>
      <c r="L938" s="1">
        <v>0.62090818999999997</v>
      </c>
      <c r="M938" s="3">
        <v>0.63381026900000004</v>
      </c>
      <c r="N938" s="1" t="s">
        <v>24</v>
      </c>
      <c r="O938" s="1">
        <v>1.141304348</v>
      </c>
      <c r="P938" s="1">
        <v>44.4</v>
      </c>
      <c r="Q938" s="1">
        <v>101.2</v>
      </c>
      <c r="R938" s="1">
        <v>0.58295841033333329</v>
      </c>
      <c r="S938" s="1">
        <v>7.9430484516581551E-2</v>
      </c>
      <c r="T938" t="s">
        <v>1085</v>
      </c>
      <c r="U938" s="1">
        <v>2199</v>
      </c>
      <c r="V938">
        <f t="shared" si="56"/>
        <v>0.37135835881786561</v>
      </c>
      <c r="W938" s="1">
        <f t="shared" si="57"/>
        <v>14</v>
      </c>
      <c r="X938">
        <f t="shared" si="58"/>
        <v>5.9479014000000108E-2</v>
      </c>
      <c r="Y938">
        <f t="shared" si="59"/>
        <v>25.899999999999991</v>
      </c>
      <c r="Z938" s="1">
        <v>3</v>
      </c>
      <c r="AA938">
        <v>97</v>
      </c>
      <c r="AB938">
        <v>3.09E-2</v>
      </c>
      <c r="AC938">
        <v>5</v>
      </c>
      <c r="AD938">
        <v>103</v>
      </c>
      <c r="AE938">
        <v>4.8500000000000001E-2</v>
      </c>
      <c r="AF938" t="s">
        <v>2589</v>
      </c>
      <c r="AG938" t="s">
        <v>2590</v>
      </c>
    </row>
    <row r="939" spans="1:33">
      <c r="A939" s="2" t="s">
        <v>117</v>
      </c>
      <c r="B939" s="2" t="s">
        <v>25</v>
      </c>
      <c r="C939" s="1">
        <v>0.52788907299999999</v>
      </c>
      <c r="D939">
        <v>0.665074418</v>
      </c>
      <c r="E939">
        <v>0.69056128699999997</v>
      </c>
      <c r="F939" s="1" t="s">
        <v>118</v>
      </c>
      <c r="G939" s="1">
        <v>1.0818253339999999</v>
      </c>
      <c r="H939" s="1">
        <v>58.4</v>
      </c>
      <c r="I939" s="1">
        <v>127.1</v>
      </c>
      <c r="J939" s="1">
        <v>0.62784159266666661</v>
      </c>
      <c r="K939" s="1">
        <v>0.53959274199999996</v>
      </c>
      <c r="L939" s="1">
        <v>0.64971567399999997</v>
      </c>
      <c r="M939" s="3">
        <v>0.65028459999999999</v>
      </c>
      <c r="N939" s="1" t="s">
        <v>26</v>
      </c>
      <c r="O939" s="1">
        <v>1.623046875</v>
      </c>
      <c r="P939" s="1">
        <v>34.700000000000003</v>
      </c>
      <c r="Q939" s="1">
        <v>51.2</v>
      </c>
      <c r="R939" s="1">
        <v>0.61319767199999997</v>
      </c>
      <c r="S939" s="1">
        <v>4.4666300507374294E-2</v>
      </c>
      <c r="T939" t="s">
        <v>1086</v>
      </c>
      <c r="U939" s="1">
        <v>26660</v>
      </c>
      <c r="V939">
        <f t="shared" si="56"/>
        <v>0.49176223834198229</v>
      </c>
      <c r="W939" s="1">
        <f t="shared" si="57"/>
        <v>23.699999999999996</v>
      </c>
      <c r="X939">
        <f t="shared" si="58"/>
        <v>0.54122154100000008</v>
      </c>
      <c r="Y939">
        <f t="shared" si="59"/>
        <v>75.899999999999991</v>
      </c>
      <c r="Z939" s="1">
        <v>0</v>
      </c>
      <c r="AA939">
        <v>100</v>
      </c>
      <c r="AB939">
        <v>0</v>
      </c>
      <c r="AC939">
        <v>0</v>
      </c>
      <c r="AD939">
        <v>110</v>
      </c>
      <c r="AE939">
        <v>0</v>
      </c>
      <c r="AF939" t="s">
        <v>2589</v>
      </c>
      <c r="AG939" t="s">
        <v>2594</v>
      </c>
    </row>
    <row r="940" spans="1:33">
      <c r="A940" s="2" t="s">
        <v>117</v>
      </c>
      <c r="B940" s="2" t="s">
        <v>27</v>
      </c>
      <c r="C940" s="1">
        <v>0.52788907299999999</v>
      </c>
      <c r="D940">
        <v>0.665074418</v>
      </c>
      <c r="E940">
        <v>0.69056128699999997</v>
      </c>
      <c r="F940" s="1" t="s">
        <v>118</v>
      </c>
      <c r="G940" s="1">
        <v>1.0818253339999999</v>
      </c>
      <c r="H940" s="1">
        <v>58.4</v>
      </c>
      <c r="I940" s="1">
        <v>127.1</v>
      </c>
      <c r="J940" s="1">
        <v>0.62784159266666661</v>
      </c>
      <c r="K940" s="1">
        <v>0.518608662</v>
      </c>
      <c r="L940" s="1">
        <v>0.64320369700000002</v>
      </c>
      <c r="M940" s="3">
        <v>0.62228994199999998</v>
      </c>
      <c r="N940" s="1" t="s">
        <v>28</v>
      </c>
      <c r="O940" s="1">
        <v>1.8717391299999999</v>
      </c>
      <c r="P940" s="1">
        <v>33.700000000000003</v>
      </c>
      <c r="Q940" s="1">
        <v>46</v>
      </c>
      <c r="R940" s="1">
        <v>0.59470076699999996</v>
      </c>
      <c r="S940" s="1">
        <v>7.2287142795228687E-2</v>
      </c>
      <c r="T940" t="s">
        <v>1087</v>
      </c>
      <c r="U940" s="1">
        <v>2488</v>
      </c>
      <c r="V940">
        <f t="shared" si="56"/>
        <v>0.37731670844653126</v>
      </c>
      <c r="W940" s="1">
        <f t="shared" si="57"/>
        <v>24.699999999999996</v>
      </c>
      <c r="X940">
        <f t="shared" si="58"/>
        <v>0.789913796</v>
      </c>
      <c r="Y940">
        <f t="shared" si="59"/>
        <v>81.099999999999994</v>
      </c>
      <c r="Z940" s="1">
        <v>2</v>
      </c>
      <c r="AA940">
        <v>98</v>
      </c>
      <c r="AB940">
        <v>2.0400000000000001E-2</v>
      </c>
      <c r="AC940">
        <v>3</v>
      </c>
      <c r="AD940">
        <v>114</v>
      </c>
      <c r="AE940">
        <v>2.63E-2</v>
      </c>
      <c r="AF940" t="s">
        <v>2589</v>
      </c>
      <c r="AG940" t="s">
        <v>2590</v>
      </c>
    </row>
    <row r="941" spans="1:33">
      <c r="A941" s="2" t="s">
        <v>117</v>
      </c>
      <c r="B941" s="2" t="s">
        <v>29</v>
      </c>
      <c r="C941" s="1">
        <v>0.52788907299999999</v>
      </c>
      <c r="D941">
        <v>0.665074418</v>
      </c>
      <c r="E941">
        <v>0.69056128699999997</v>
      </c>
      <c r="F941" s="1" t="s">
        <v>118</v>
      </c>
      <c r="G941" s="1">
        <v>1.0818253339999999</v>
      </c>
      <c r="H941" s="1">
        <v>58.4</v>
      </c>
      <c r="I941" s="1">
        <v>127.1</v>
      </c>
      <c r="J941" s="1">
        <v>0.62784159266666661</v>
      </c>
      <c r="K941" s="1">
        <v>0.59351545100000003</v>
      </c>
      <c r="L941" s="1">
        <v>0.68136602400000001</v>
      </c>
      <c r="M941" s="3">
        <v>0.73518087600000004</v>
      </c>
      <c r="N941" s="1" t="s">
        <v>30</v>
      </c>
      <c r="O941" s="1">
        <v>2.849112426</v>
      </c>
      <c r="P941" s="1">
        <v>37.9</v>
      </c>
      <c r="Q941" s="1">
        <v>33.799999999999997</v>
      </c>
      <c r="R941" s="1">
        <v>0.67002078366666673</v>
      </c>
      <c r="S941" s="1">
        <v>8.1013243596260567E-2</v>
      </c>
      <c r="T941" t="s">
        <v>1088</v>
      </c>
      <c r="U941" s="1">
        <v>1299</v>
      </c>
      <c r="V941">
        <f t="shared" si="56"/>
        <v>0.3459565723414475</v>
      </c>
      <c r="W941" s="1">
        <f t="shared" si="57"/>
        <v>20.5</v>
      </c>
      <c r="X941">
        <f t="shared" si="58"/>
        <v>1.7672870920000001</v>
      </c>
      <c r="Y941">
        <f t="shared" si="59"/>
        <v>93.3</v>
      </c>
      <c r="Z941" s="1">
        <v>0</v>
      </c>
      <c r="AA941">
        <v>100</v>
      </c>
      <c r="AB941">
        <v>0</v>
      </c>
      <c r="AC941">
        <v>0</v>
      </c>
      <c r="AD941">
        <v>106</v>
      </c>
      <c r="AE941">
        <v>0</v>
      </c>
      <c r="AF941" t="s">
        <v>2589</v>
      </c>
      <c r="AG941" t="s">
        <v>2593</v>
      </c>
    </row>
    <row r="942" spans="1:33">
      <c r="A942" s="2" t="s">
        <v>117</v>
      </c>
      <c r="B942" s="2" t="s">
        <v>31</v>
      </c>
      <c r="C942" s="1">
        <v>0.52788907299999999</v>
      </c>
      <c r="D942">
        <v>0.665074418</v>
      </c>
      <c r="E942">
        <v>0.69056128699999997</v>
      </c>
      <c r="F942" s="1" t="s">
        <v>118</v>
      </c>
      <c r="G942" s="1">
        <v>1.0818253339999999</v>
      </c>
      <c r="H942" s="1">
        <v>58.4</v>
      </c>
      <c r="I942" s="1">
        <v>127.1</v>
      </c>
      <c r="J942" s="1">
        <v>0.62784159266666661</v>
      </c>
      <c r="K942" s="1">
        <v>0.47727961800000002</v>
      </c>
      <c r="L942" s="1">
        <v>0.66941086400000005</v>
      </c>
      <c r="M942" s="3">
        <v>0.69294815300000001</v>
      </c>
      <c r="N942" s="1" t="s">
        <v>32</v>
      </c>
      <c r="O942" s="1">
        <v>1.341891892</v>
      </c>
      <c r="P942" s="1">
        <v>42.1</v>
      </c>
      <c r="Q942" s="1">
        <v>74</v>
      </c>
      <c r="R942" s="1">
        <v>0.61321287833333338</v>
      </c>
      <c r="S942" s="1">
        <v>5.0850947175149992E-2</v>
      </c>
      <c r="T942" t="s">
        <v>1089</v>
      </c>
      <c r="U942" s="1">
        <v>17062</v>
      </c>
      <c r="V942">
        <f t="shared" si="56"/>
        <v>0.47022554862445926</v>
      </c>
      <c r="W942" s="1">
        <f t="shared" si="57"/>
        <v>16.299999999999997</v>
      </c>
      <c r="X942">
        <f t="shared" si="58"/>
        <v>0.26006655800000011</v>
      </c>
      <c r="Y942">
        <f t="shared" si="59"/>
        <v>53.099999999999994</v>
      </c>
      <c r="Z942" s="1">
        <v>10</v>
      </c>
      <c r="AA942">
        <v>90</v>
      </c>
      <c r="AB942">
        <v>0.1111</v>
      </c>
      <c r="AC942">
        <v>11</v>
      </c>
      <c r="AD942">
        <v>103</v>
      </c>
      <c r="AE942">
        <v>0.10680000000000001</v>
      </c>
      <c r="AF942" t="s">
        <v>2589</v>
      </c>
      <c r="AG942" t="s">
        <v>2589</v>
      </c>
    </row>
    <row r="943" spans="1:33">
      <c r="A943" s="2" t="s">
        <v>117</v>
      </c>
      <c r="B943" s="2" t="s">
        <v>33</v>
      </c>
      <c r="C943" s="1">
        <v>0.52788907299999999</v>
      </c>
      <c r="D943">
        <v>0.665074418</v>
      </c>
      <c r="E943">
        <v>0.69056128699999997</v>
      </c>
      <c r="F943" s="1" t="s">
        <v>118</v>
      </c>
      <c r="G943" s="1">
        <v>1.0818253339999999</v>
      </c>
      <c r="H943" s="1">
        <v>58.4</v>
      </c>
      <c r="I943" s="1">
        <v>127.1</v>
      </c>
      <c r="J943" s="1">
        <v>0.62784159266666661</v>
      </c>
      <c r="K943" s="1">
        <v>0.51347926600000005</v>
      </c>
      <c r="L943" s="1">
        <v>0.63144379399999995</v>
      </c>
      <c r="M943" s="3">
        <v>0.64189093500000005</v>
      </c>
      <c r="N943" s="1" t="s">
        <v>34</v>
      </c>
      <c r="O943" s="1">
        <v>2.3123667380000001</v>
      </c>
      <c r="P943" s="1">
        <v>79.099999999999994</v>
      </c>
      <c r="Q943" s="1">
        <v>93.8</v>
      </c>
      <c r="R943" s="1">
        <v>0.59560466500000009</v>
      </c>
      <c r="S943" s="1">
        <v>6.0888952792854986E-2</v>
      </c>
      <c r="T943" t="s">
        <v>1090</v>
      </c>
      <c r="U943" s="1">
        <v>4923</v>
      </c>
      <c r="V943">
        <f t="shared" si="56"/>
        <v>0.41024775953030618</v>
      </c>
      <c r="W943" s="1">
        <f t="shared" si="57"/>
        <v>20.699999999999996</v>
      </c>
      <c r="X943">
        <f t="shared" si="58"/>
        <v>1.2305414040000002</v>
      </c>
      <c r="Y943">
        <f t="shared" si="59"/>
        <v>33.299999999999997</v>
      </c>
      <c r="Z943" s="1">
        <v>6</v>
      </c>
      <c r="AA943">
        <v>94</v>
      </c>
      <c r="AB943">
        <v>6.3799999999999996E-2</v>
      </c>
      <c r="AC943">
        <v>7</v>
      </c>
      <c r="AD943">
        <v>101</v>
      </c>
      <c r="AE943">
        <v>6.93E-2</v>
      </c>
      <c r="AF943" t="s">
        <v>2589</v>
      </c>
      <c r="AG943" t="s">
        <v>2590</v>
      </c>
    </row>
    <row r="944" spans="1:33">
      <c r="A944" s="2" t="s">
        <v>117</v>
      </c>
      <c r="B944" s="2" t="s">
        <v>35</v>
      </c>
      <c r="C944" s="1">
        <v>0.52788907299999999</v>
      </c>
      <c r="D944">
        <v>0.665074418</v>
      </c>
      <c r="E944">
        <v>0.69056128699999997</v>
      </c>
      <c r="F944" s="1" t="s">
        <v>118</v>
      </c>
      <c r="G944" s="1">
        <v>1.0818253339999999</v>
      </c>
      <c r="H944" s="1">
        <v>58.4</v>
      </c>
      <c r="I944" s="1">
        <v>127.1</v>
      </c>
      <c r="J944" s="1">
        <v>0.62784159266666661</v>
      </c>
      <c r="K944" s="1">
        <v>0.52542897600000005</v>
      </c>
      <c r="L944" s="1">
        <v>0.60774736299999998</v>
      </c>
      <c r="M944" s="3">
        <v>0.62585751700000003</v>
      </c>
      <c r="N944" s="1" t="s">
        <v>36</v>
      </c>
      <c r="O944" s="1">
        <v>0.98848810399999998</v>
      </c>
      <c r="P944" s="1">
        <v>54.2</v>
      </c>
      <c r="Q944" s="1">
        <v>130.30000000000001</v>
      </c>
      <c r="R944" s="1">
        <v>0.58634461866666665</v>
      </c>
      <c r="S944" s="1">
        <v>8.6481334196665399E-2</v>
      </c>
      <c r="T944" t="s">
        <v>1091</v>
      </c>
      <c r="U944" s="1">
        <v>22863</v>
      </c>
      <c r="V944">
        <f t="shared" si="56"/>
        <v>0.48434813514959124</v>
      </c>
      <c r="W944" s="1">
        <f t="shared" si="57"/>
        <v>4.1999999999999957</v>
      </c>
      <c r="X944">
        <f t="shared" si="58"/>
        <v>9.3337229999999938E-2</v>
      </c>
      <c r="Y944">
        <f t="shared" si="59"/>
        <v>3.2000000000000171</v>
      </c>
      <c r="Z944" s="1">
        <v>11</v>
      </c>
      <c r="AA944">
        <v>89</v>
      </c>
      <c r="AB944">
        <v>0.1236</v>
      </c>
      <c r="AC944">
        <v>12</v>
      </c>
      <c r="AD944">
        <v>95</v>
      </c>
      <c r="AE944">
        <v>0.1263</v>
      </c>
      <c r="AF944" t="s">
        <v>2589</v>
      </c>
      <c r="AG944" t="s">
        <v>2589</v>
      </c>
    </row>
    <row r="945" spans="1:33">
      <c r="A945" s="2" t="s">
        <v>117</v>
      </c>
      <c r="B945" s="2" t="s">
        <v>37</v>
      </c>
      <c r="C945" s="1">
        <v>0.52788907299999999</v>
      </c>
      <c r="D945">
        <v>0.665074418</v>
      </c>
      <c r="E945">
        <v>0.69056128699999997</v>
      </c>
      <c r="F945" s="1" t="s">
        <v>118</v>
      </c>
      <c r="G945" s="1">
        <v>1.0818253339999999</v>
      </c>
      <c r="H945" s="1">
        <v>58.4</v>
      </c>
      <c r="I945" s="1">
        <v>127.1</v>
      </c>
      <c r="J945" s="1">
        <v>0.62784159266666661</v>
      </c>
      <c r="K945" s="1">
        <v>0.50856695500000004</v>
      </c>
      <c r="L945" s="1">
        <v>0.654733224</v>
      </c>
      <c r="M945" s="3">
        <v>0.61418267199999999</v>
      </c>
      <c r="N945" s="1" t="s">
        <v>38</v>
      </c>
      <c r="O945" s="1">
        <v>0.64065708399999999</v>
      </c>
      <c r="P945" s="1">
        <v>41.9</v>
      </c>
      <c r="Q945" s="1">
        <v>146.1</v>
      </c>
      <c r="R945" s="1">
        <v>0.59249428366666679</v>
      </c>
      <c r="S945" s="1">
        <v>7.9460539682724152E-2</v>
      </c>
      <c r="T945" t="s">
        <v>1092</v>
      </c>
      <c r="U945" s="1">
        <v>5098</v>
      </c>
      <c r="V945">
        <f t="shared" si="56"/>
        <v>0.41193331457036098</v>
      </c>
      <c r="W945" s="1">
        <f t="shared" si="57"/>
        <v>16.5</v>
      </c>
      <c r="X945">
        <f t="shared" si="58"/>
        <v>0.44116824999999993</v>
      </c>
      <c r="Y945">
        <f t="shared" si="59"/>
        <v>19</v>
      </c>
      <c r="Z945" s="1">
        <v>6</v>
      </c>
      <c r="AA945">
        <v>94</v>
      </c>
      <c r="AB945">
        <v>6.3799999999999996E-2</v>
      </c>
      <c r="AC945">
        <v>7</v>
      </c>
      <c r="AD945">
        <v>99</v>
      </c>
      <c r="AE945">
        <v>7.0699999999999999E-2</v>
      </c>
      <c r="AF945" t="s">
        <v>2589</v>
      </c>
      <c r="AG945" t="s">
        <v>2590</v>
      </c>
    </row>
    <row r="946" spans="1:33">
      <c r="A946" s="2" t="s">
        <v>117</v>
      </c>
      <c r="B946" s="2" t="s">
        <v>39</v>
      </c>
      <c r="C946" s="1">
        <v>0.52788907299999999</v>
      </c>
      <c r="D946">
        <v>0.665074418</v>
      </c>
      <c r="E946">
        <v>0.69056128699999997</v>
      </c>
      <c r="F946" s="1" t="s">
        <v>118</v>
      </c>
      <c r="G946" s="1">
        <v>1.0818253339999999</v>
      </c>
      <c r="H946" s="1">
        <v>58.4</v>
      </c>
      <c r="I946" s="1">
        <v>127.1</v>
      </c>
      <c r="J946" s="1">
        <v>0.62784159266666661</v>
      </c>
      <c r="K946" s="1">
        <v>0.60811616199999996</v>
      </c>
      <c r="L946" s="1">
        <v>0.721105683</v>
      </c>
      <c r="M946" s="3">
        <v>0.741016169</v>
      </c>
      <c r="N946" s="1" t="s">
        <v>40</v>
      </c>
      <c r="O946" s="1">
        <v>1.0601915180000001</v>
      </c>
      <c r="P946" s="1">
        <v>34</v>
      </c>
      <c r="Q946" s="1">
        <v>73.099999999999994</v>
      </c>
      <c r="R946" s="1">
        <v>0.69007933799999999</v>
      </c>
      <c r="S946" s="1">
        <v>0.11009806349136242</v>
      </c>
      <c r="T946" t="s">
        <v>1093</v>
      </c>
      <c r="U946" s="1">
        <v>91228</v>
      </c>
      <c r="V946">
        <f t="shared" si="56"/>
        <v>0.55112535043216682</v>
      </c>
      <c r="W946" s="1">
        <f t="shared" si="57"/>
        <v>24.4</v>
      </c>
      <c r="X946">
        <f t="shared" si="58"/>
        <v>2.1633815999999806E-2</v>
      </c>
      <c r="Y946">
        <f t="shared" si="59"/>
        <v>54</v>
      </c>
      <c r="Z946" s="1">
        <v>3</v>
      </c>
      <c r="AA946">
        <v>97</v>
      </c>
      <c r="AB946">
        <v>3.09E-2</v>
      </c>
      <c r="AC946">
        <v>5</v>
      </c>
      <c r="AD946">
        <v>104</v>
      </c>
      <c r="AE946">
        <v>4.8099999999999997E-2</v>
      </c>
      <c r="AF946" t="s">
        <v>2589</v>
      </c>
      <c r="AG946" t="s">
        <v>2589</v>
      </c>
    </row>
    <row r="947" spans="1:33">
      <c r="A947" s="2" t="s">
        <v>117</v>
      </c>
      <c r="B947" s="2" t="s">
        <v>41</v>
      </c>
      <c r="C947" s="1">
        <v>0.52788907299999999</v>
      </c>
      <c r="D947">
        <v>0.665074418</v>
      </c>
      <c r="E947">
        <v>0.69056128699999997</v>
      </c>
      <c r="F947" s="1" t="s">
        <v>118</v>
      </c>
      <c r="G947" s="1">
        <v>1.0818253339999999</v>
      </c>
      <c r="H947" s="1">
        <v>58.4</v>
      </c>
      <c r="I947" s="1">
        <v>127.1</v>
      </c>
      <c r="J947" s="1">
        <v>0.62784159266666661</v>
      </c>
      <c r="K947" s="1">
        <v>0.60402244999999999</v>
      </c>
      <c r="L947" s="1">
        <v>0.669189213</v>
      </c>
      <c r="M947" s="3">
        <v>0.69821693799999995</v>
      </c>
      <c r="N947" s="1" t="s">
        <v>42</v>
      </c>
      <c r="O947" s="1">
        <v>1.3243902439999999</v>
      </c>
      <c r="P947" s="1">
        <v>23</v>
      </c>
      <c r="Q947" s="1">
        <v>41</v>
      </c>
      <c r="R947" s="1">
        <v>0.65714286700000002</v>
      </c>
      <c r="S947" s="1">
        <v>7.6627877587402582E-2</v>
      </c>
      <c r="T947" t="s">
        <v>1094</v>
      </c>
      <c r="U947" s="1">
        <v>2910</v>
      </c>
      <c r="V947">
        <f t="shared" si="56"/>
        <v>0.38487699877621195</v>
      </c>
      <c r="W947" s="1">
        <f t="shared" si="57"/>
        <v>35.4</v>
      </c>
      <c r="X947">
        <f t="shared" si="58"/>
        <v>0.24256491000000002</v>
      </c>
      <c r="Y947">
        <f t="shared" si="59"/>
        <v>86.1</v>
      </c>
      <c r="Z947" s="1">
        <v>0</v>
      </c>
      <c r="AA947">
        <v>100</v>
      </c>
      <c r="AB947">
        <v>0</v>
      </c>
      <c r="AC947">
        <v>0</v>
      </c>
      <c r="AD947">
        <v>123</v>
      </c>
      <c r="AE947">
        <v>0</v>
      </c>
      <c r="AF947" t="s">
        <v>2589</v>
      </c>
      <c r="AG947" t="s">
        <v>2591</v>
      </c>
    </row>
    <row r="948" spans="1:33">
      <c r="A948" s="2" t="s">
        <v>117</v>
      </c>
      <c r="B948" s="2" t="s">
        <v>43</v>
      </c>
      <c r="C948" s="1">
        <v>0.52788907299999999</v>
      </c>
      <c r="D948">
        <v>0.665074418</v>
      </c>
      <c r="E948">
        <v>0.69056128699999997</v>
      </c>
      <c r="F948" s="1" t="s">
        <v>118</v>
      </c>
      <c r="G948" s="1">
        <v>1.0818253339999999</v>
      </c>
      <c r="H948" s="1">
        <v>58.4</v>
      </c>
      <c r="I948" s="1">
        <v>127.1</v>
      </c>
      <c r="J948" s="1">
        <v>0.62784159266666661</v>
      </c>
      <c r="K948" s="1">
        <v>0.54180634699999997</v>
      </c>
      <c r="L948" s="1">
        <v>0.59470779900000004</v>
      </c>
      <c r="M948" s="3">
        <v>0.69518155599999998</v>
      </c>
      <c r="N948" s="1" t="s">
        <v>44</v>
      </c>
      <c r="O948" s="1">
        <v>1.7403685090000001</v>
      </c>
      <c r="P948" s="1">
        <v>41.2</v>
      </c>
      <c r="Q948" s="1">
        <v>59.7</v>
      </c>
      <c r="R948" s="1">
        <v>0.61056523400000007</v>
      </c>
      <c r="S948" s="1">
        <v>7.18783588482277E-2</v>
      </c>
      <c r="T948" t="s">
        <v>1095</v>
      </c>
      <c r="U948" s="1">
        <v>17796</v>
      </c>
      <c r="V948">
        <f t="shared" si="56"/>
        <v>0.4722580441195563</v>
      </c>
      <c r="W948" s="1">
        <f t="shared" si="57"/>
        <v>17.199999999999996</v>
      </c>
      <c r="X948">
        <f t="shared" si="58"/>
        <v>0.65854317500000015</v>
      </c>
      <c r="Y948">
        <f t="shared" si="59"/>
        <v>67.399999999999991</v>
      </c>
      <c r="Z948" s="1">
        <v>9</v>
      </c>
      <c r="AA948">
        <v>91</v>
      </c>
      <c r="AB948">
        <v>9.8900000000000002E-2</v>
      </c>
      <c r="AC948">
        <v>14</v>
      </c>
      <c r="AD948">
        <v>131</v>
      </c>
      <c r="AE948">
        <v>0.1069</v>
      </c>
      <c r="AF948" t="s">
        <v>2589</v>
      </c>
      <c r="AG948" t="s">
        <v>2589</v>
      </c>
    </row>
    <row r="949" spans="1:33">
      <c r="A949" s="2" t="s">
        <v>117</v>
      </c>
      <c r="B949" s="2" t="s">
        <v>45</v>
      </c>
      <c r="C949" s="1">
        <v>0.52788907299999999</v>
      </c>
      <c r="D949">
        <v>0.665074418</v>
      </c>
      <c r="E949">
        <v>0.69056128699999997</v>
      </c>
      <c r="F949" s="1" t="s">
        <v>118</v>
      </c>
      <c r="G949" s="1">
        <v>1.0818253339999999</v>
      </c>
      <c r="H949" s="1">
        <v>58.4</v>
      </c>
      <c r="I949" s="1">
        <v>127.1</v>
      </c>
      <c r="J949" s="1">
        <v>0.62784159266666661</v>
      </c>
      <c r="K949" s="1">
        <v>0.50907007599999998</v>
      </c>
      <c r="L949" s="1">
        <v>0.68428041399999995</v>
      </c>
      <c r="M949" s="3">
        <v>0.67454742099999998</v>
      </c>
      <c r="N949" s="1" t="s">
        <v>46</v>
      </c>
      <c r="O949" s="1">
        <v>0.98140043799999999</v>
      </c>
      <c r="P949" s="1">
        <v>38.9</v>
      </c>
      <c r="Q949" s="1">
        <v>91.4</v>
      </c>
      <c r="R949" s="1">
        <v>0.62263263699999993</v>
      </c>
      <c r="S949" s="1">
        <v>3.1296466808634786E-2</v>
      </c>
      <c r="T949" t="s">
        <v>1096</v>
      </c>
      <c r="U949" s="1">
        <v>36079</v>
      </c>
      <c r="V949">
        <f t="shared" si="56"/>
        <v>0.50636161019070469</v>
      </c>
      <c r="W949" s="1">
        <f t="shared" si="57"/>
        <v>19.5</v>
      </c>
      <c r="X949">
        <f t="shared" si="58"/>
        <v>0.10042489599999993</v>
      </c>
      <c r="Y949">
        <f t="shared" si="59"/>
        <v>35.699999999999989</v>
      </c>
      <c r="Z949" s="1">
        <v>11</v>
      </c>
      <c r="AA949">
        <v>89</v>
      </c>
      <c r="AB949">
        <v>0.1236</v>
      </c>
      <c r="AC949">
        <v>13</v>
      </c>
      <c r="AD949">
        <v>112</v>
      </c>
      <c r="AE949">
        <v>0.11609999999999999</v>
      </c>
      <c r="AF949" t="s">
        <v>2589</v>
      </c>
      <c r="AG949" t="s">
        <v>2589</v>
      </c>
    </row>
    <row r="950" spans="1:33">
      <c r="A950" s="2" t="s">
        <v>117</v>
      </c>
      <c r="B950" s="2" t="s">
        <v>47</v>
      </c>
      <c r="C950" s="1">
        <v>0.52788907299999999</v>
      </c>
      <c r="D950">
        <v>0.665074418</v>
      </c>
      <c r="E950">
        <v>0.69056128699999997</v>
      </c>
      <c r="F950" s="1" t="s">
        <v>118</v>
      </c>
      <c r="G950" s="1">
        <v>1.0818253339999999</v>
      </c>
      <c r="H950" s="1">
        <v>58.4</v>
      </c>
      <c r="I950" s="1">
        <v>127.1</v>
      </c>
      <c r="J950" s="1">
        <v>0.62784159266666661</v>
      </c>
      <c r="K950" s="1">
        <v>0.50612154099999995</v>
      </c>
      <c r="L950" s="1">
        <v>0.55940039100000005</v>
      </c>
      <c r="M950" s="3">
        <v>0.66789001699999995</v>
      </c>
      <c r="N950" s="1" t="s">
        <v>48</v>
      </c>
      <c r="O950" s="1">
        <v>1.242622951</v>
      </c>
      <c r="P950" s="1">
        <v>17.8</v>
      </c>
      <c r="Q950" s="1">
        <v>30.5</v>
      </c>
      <c r="R950" s="1">
        <v>0.57780398300000002</v>
      </c>
      <c r="S950" s="1">
        <v>0.11024886355505278</v>
      </c>
      <c r="T950" t="s">
        <v>1097</v>
      </c>
      <c r="U950" s="1">
        <v>3326</v>
      </c>
      <c r="V950">
        <f t="shared" si="56"/>
        <v>0.39132469387594448</v>
      </c>
      <c r="W950" s="1">
        <f t="shared" si="57"/>
        <v>40.599999999999994</v>
      </c>
      <c r="X950">
        <f t="shared" si="58"/>
        <v>0.16079761700000006</v>
      </c>
      <c r="Y950">
        <f t="shared" si="59"/>
        <v>96.6</v>
      </c>
      <c r="Z950" s="1">
        <v>1</v>
      </c>
      <c r="AA950">
        <v>99</v>
      </c>
      <c r="AB950">
        <v>1.01E-2</v>
      </c>
      <c r="AC950">
        <v>2</v>
      </c>
      <c r="AD950">
        <v>130</v>
      </c>
      <c r="AE950">
        <v>1.54E-2</v>
      </c>
      <c r="AF950" t="s">
        <v>2589</v>
      </c>
      <c r="AG950" t="s">
        <v>2590</v>
      </c>
    </row>
    <row r="951" spans="1:33">
      <c r="A951" s="2" t="s">
        <v>117</v>
      </c>
      <c r="B951" s="2" t="s">
        <v>49</v>
      </c>
      <c r="C951" s="1">
        <v>0.52788907299999999</v>
      </c>
      <c r="D951">
        <v>0.665074418</v>
      </c>
      <c r="E951">
        <v>0.69056128699999997</v>
      </c>
      <c r="F951" s="1" t="s">
        <v>118</v>
      </c>
      <c r="G951" s="1">
        <v>1.0818253339999999</v>
      </c>
      <c r="H951" s="1">
        <v>58.4</v>
      </c>
      <c r="I951" s="1">
        <v>127.1</v>
      </c>
      <c r="J951" s="1">
        <v>0.62784159266666661</v>
      </c>
      <c r="K951" s="1">
        <v>0.50647110500000003</v>
      </c>
      <c r="L951" s="1">
        <v>0.55713136799999996</v>
      </c>
      <c r="M951" s="3">
        <v>0.63402682300000002</v>
      </c>
      <c r="N951" s="1" t="s">
        <v>50</v>
      </c>
      <c r="O951" s="1">
        <v>1.876675603</v>
      </c>
      <c r="P951" s="1">
        <v>28.8</v>
      </c>
      <c r="Q951" s="1">
        <v>37.299999999999997</v>
      </c>
      <c r="R951" s="1">
        <v>0.56587643200000004</v>
      </c>
      <c r="S951" s="1">
        <v>0.12371975192473844</v>
      </c>
      <c r="T951" t="s">
        <v>1098</v>
      </c>
      <c r="U951" s="1">
        <v>1872</v>
      </c>
      <c r="V951">
        <f t="shared" si="56"/>
        <v>0.36358953826689849</v>
      </c>
      <c r="W951" s="1">
        <f t="shared" si="57"/>
        <v>29.599999999999998</v>
      </c>
      <c r="X951">
        <f t="shared" si="58"/>
        <v>0.79485026900000011</v>
      </c>
      <c r="Y951">
        <f t="shared" si="59"/>
        <v>89.8</v>
      </c>
      <c r="Z951" s="1">
        <v>2</v>
      </c>
      <c r="AA951">
        <v>98</v>
      </c>
      <c r="AB951">
        <v>2.0400000000000001E-2</v>
      </c>
      <c r="AC951">
        <v>3</v>
      </c>
      <c r="AD951">
        <v>103</v>
      </c>
      <c r="AE951">
        <v>2.9100000000000001E-2</v>
      </c>
      <c r="AF951" t="s">
        <v>2589</v>
      </c>
      <c r="AG951" t="s">
        <v>2590</v>
      </c>
    </row>
    <row r="952" spans="1:33">
      <c r="A952" s="2" t="s">
        <v>117</v>
      </c>
      <c r="B952" s="2" t="s">
        <v>51</v>
      </c>
      <c r="C952" s="1">
        <v>0.52788907299999999</v>
      </c>
      <c r="D952">
        <v>0.665074418</v>
      </c>
      <c r="E952">
        <v>0.69056128699999997</v>
      </c>
      <c r="F952" s="1" t="s">
        <v>118</v>
      </c>
      <c r="G952" s="1">
        <v>1.0818253339999999</v>
      </c>
      <c r="H952" s="1">
        <v>58.4</v>
      </c>
      <c r="I952" s="1">
        <v>127.1</v>
      </c>
      <c r="J952" s="1">
        <v>0.62784159266666661</v>
      </c>
      <c r="K952" s="1">
        <v>0.60067161999999996</v>
      </c>
      <c r="L952" s="1">
        <v>0.68094129999999997</v>
      </c>
      <c r="M952" s="3">
        <v>0.73595931299999995</v>
      </c>
      <c r="N952" s="1" t="s">
        <v>52</v>
      </c>
      <c r="O952" s="1">
        <v>1.858638743</v>
      </c>
      <c r="P952" s="1">
        <v>29.4</v>
      </c>
      <c r="Q952" s="1">
        <v>38.200000000000003</v>
      </c>
      <c r="R952" s="1">
        <v>0.67252407766666666</v>
      </c>
      <c r="S952" s="1">
        <v>8.723553093152929E-2</v>
      </c>
      <c r="T952" t="s">
        <v>1099</v>
      </c>
      <c r="U952" s="1">
        <v>1570</v>
      </c>
      <c r="V952">
        <f t="shared" si="56"/>
        <v>0.35509996137880373</v>
      </c>
      <c r="W952" s="1">
        <f t="shared" si="57"/>
        <v>29</v>
      </c>
      <c r="X952">
        <f t="shared" si="58"/>
        <v>0.77681340900000007</v>
      </c>
      <c r="Y952">
        <f t="shared" si="59"/>
        <v>88.899999999999991</v>
      </c>
      <c r="Z952" s="1">
        <v>3</v>
      </c>
      <c r="AA952">
        <v>97</v>
      </c>
      <c r="AB952">
        <v>3.09E-2</v>
      </c>
      <c r="AC952">
        <v>4</v>
      </c>
      <c r="AD952">
        <v>111</v>
      </c>
      <c r="AE952">
        <v>3.5999999999999997E-2</v>
      </c>
      <c r="AF952" t="s">
        <v>2589</v>
      </c>
      <c r="AG952" t="s">
        <v>2591</v>
      </c>
    </row>
    <row r="953" spans="1:33">
      <c r="A953" s="2" t="s">
        <v>117</v>
      </c>
      <c r="B953" s="2" t="s">
        <v>53</v>
      </c>
      <c r="C953" s="1">
        <v>0.52788907299999999</v>
      </c>
      <c r="D953">
        <v>0.665074418</v>
      </c>
      <c r="E953">
        <v>0.69056128699999997</v>
      </c>
      <c r="F953" s="1" t="s">
        <v>118</v>
      </c>
      <c r="G953" s="1">
        <v>1.0818253339999999</v>
      </c>
      <c r="H953" s="1">
        <v>58.4</v>
      </c>
      <c r="I953" s="1">
        <v>127.1</v>
      </c>
      <c r="J953" s="1">
        <v>0.62784159266666661</v>
      </c>
      <c r="K953" s="1">
        <v>0.54695832700000002</v>
      </c>
      <c r="L953" s="1">
        <v>0.659790137</v>
      </c>
      <c r="M953" s="3">
        <v>0.70662085500000005</v>
      </c>
      <c r="N953" s="1" t="s">
        <v>54</v>
      </c>
      <c r="O953" s="1">
        <v>2.5053995680000001</v>
      </c>
      <c r="P953" s="1">
        <v>43.9</v>
      </c>
      <c r="Q953" s="1">
        <v>46.3</v>
      </c>
      <c r="R953" s="1">
        <v>0.63778977300000006</v>
      </c>
      <c r="S953" s="1">
        <v>2.5484697332911466E-2</v>
      </c>
      <c r="T953" t="s">
        <v>1100</v>
      </c>
      <c r="U953" s="1">
        <v>2099</v>
      </c>
      <c r="V953">
        <f t="shared" si="56"/>
        <v>0.36911249317582229</v>
      </c>
      <c r="W953" s="1">
        <f t="shared" si="57"/>
        <v>14.5</v>
      </c>
      <c r="X953">
        <f t="shared" si="58"/>
        <v>1.4235742340000002</v>
      </c>
      <c r="Y953">
        <f t="shared" si="59"/>
        <v>80.8</v>
      </c>
      <c r="Z953" s="1">
        <v>1</v>
      </c>
      <c r="AA953">
        <v>99</v>
      </c>
      <c r="AB953">
        <v>1.01E-2</v>
      </c>
      <c r="AC953">
        <v>2</v>
      </c>
      <c r="AD953">
        <v>113</v>
      </c>
      <c r="AE953">
        <v>1.77E-2</v>
      </c>
      <c r="AF953" t="s">
        <v>2589</v>
      </c>
      <c r="AG953" t="s">
        <v>2593</v>
      </c>
    </row>
    <row r="954" spans="1:33">
      <c r="A954" s="2" t="s">
        <v>117</v>
      </c>
      <c r="B954" s="2" t="s">
        <v>55</v>
      </c>
      <c r="C954" s="1">
        <v>0.52788907299999999</v>
      </c>
      <c r="D954">
        <v>0.665074418</v>
      </c>
      <c r="E954">
        <v>0.69056128699999997</v>
      </c>
      <c r="F954" s="1" t="s">
        <v>118</v>
      </c>
      <c r="G954" s="1">
        <v>1.0818253339999999</v>
      </c>
      <c r="H954" s="1">
        <v>58.4</v>
      </c>
      <c r="I954" s="1">
        <v>127.1</v>
      </c>
      <c r="J954" s="1">
        <v>0.62784159266666661</v>
      </c>
      <c r="K954" s="1">
        <v>0.52971861799999997</v>
      </c>
      <c r="L954" s="1">
        <v>0.62258244500000004</v>
      </c>
      <c r="M954" s="3">
        <v>0.63939760400000001</v>
      </c>
      <c r="N954" s="1" t="s">
        <v>56</v>
      </c>
      <c r="O954" s="1">
        <v>1.0796934869999999</v>
      </c>
      <c r="P954" s="1">
        <v>55.3</v>
      </c>
      <c r="Q954" s="1">
        <v>130.5</v>
      </c>
      <c r="R954" s="1">
        <v>0.59723288899999993</v>
      </c>
      <c r="S954" s="1">
        <v>6.653298026140296E-2</v>
      </c>
      <c r="T954" t="s">
        <v>1101</v>
      </c>
      <c r="U954" s="1">
        <v>7849</v>
      </c>
      <c r="V954">
        <f t="shared" si="56"/>
        <v>0.43275714767592233</v>
      </c>
      <c r="W954" s="1">
        <f t="shared" si="57"/>
        <v>3.1000000000000014</v>
      </c>
      <c r="X954">
        <f t="shared" si="58"/>
        <v>2.13184700000002E-3</v>
      </c>
      <c r="Y954">
        <f t="shared" si="59"/>
        <v>3.4000000000000057</v>
      </c>
      <c r="Z954" s="1">
        <v>9</v>
      </c>
      <c r="AA954">
        <v>91</v>
      </c>
      <c r="AB954">
        <v>9.8900000000000002E-2</v>
      </c>
      <c r="AC954">
        <v>11</v>
      </c>
      <c r="AD954">
        <v>96</v>
      </c>
      <c r="AE954">
        <v>0.11459999999999999</v>
      </c>
      <c r="AF954" t="s">
        <v>2589</v>
      </c>
      <c r="AG954" t="s">
        <v>2592</v>
      </c>
    </row>
    <row r="955" spans="1:33">
      <c r="A955" s="2" t="s">
        <v>117</v>
      </c>
      <c r="B955" s="2" t="s">
        <v>57</v>
      </c>
      <c r="C955" s="1">
        <v>0.52788907299999999</v>
      </c>
      <c r="D955">
        <v>0.665074418</v>
      </c>
      <c r="E955">
        <v>0.69056128699999997</v>
      </c>
      <c r="F955" s="1" t="s">
        <v>118</v>
      </c>
      <c r="G955" s="1">
        <v>1.0818253339999999</v>
      </c>
      <c r="H955" s="1">
        <v>58.4</v>
      </c>
      <c r="I955" s="1">
        <v>127.1</v>
      </c>
      <c r="J955" s="1">
        <v>0.62784159266666661</v>
      </c>
      <c r="K955" s="1">
        <v>0.528732855</v>
      </c>
      <c r="L955" s="1">
        <v>0.63387497599999998</v>
      </c>
      <c r="M955" s="3">
        <v>0.63337360200000004</v>
      </c>
      <c r="N955" s="1" t="s">
        <v>58</v>
      </c>
      <c r="O955" s="1">
        <v>1.386610879</v>
      </c>
      <c r="P955" s="1">
        <v>69</v>
      </c>
      <c r="Q955" s="1">
        <v>119.5</v>
      </c>
      <c r="R955" s="1">
        <v>0.59866047766666663</v>
      </c>
      <c r="S955" s="1">
        <v>6.5150199269335365E-2</v>
      </c>
      <c r="T955" t="s">
        <v>1102</v>
      </c>
      <c r="U955" s="1">
        <v>16460</v>
      </c>
      <c r="V955">
        <f t="shared" si="56"/>
        <v>0.46849220343069459</v>
      </c>
      <c r="W955" s="1">
        <f t="shared" si="57"/>
        <v>10.600000000000001</v>
      </c>
      <c r="X955">
        <f t="shared" si="58"/>
        <v>0.3047855450000001</v>
      </c>
      <c r="Y955">
        <f t="shared" si="59"/>
        <v>7.5999999999999943</v>
      </c>
      <c r="Z955" s="1">
        <v>11</v>
      </c>
      <c r="AA955">
        <v>89</v>
      </c>
      <c r="AB955">
        <v>0.1236</v>
      </c>
      <c r="AC955">
        <v>12</v>
      </c>
      <c r="AD955">
        <v>101</v>
      </c>
      <c r="AE955">
        <v>0.1188</v>
      </c>
      <c r="AF955" t="s">
        <v>2589</v>
      </c>
      <c r="AG955" t="s">
        <v>2589</v>
      </c>
    </row>
    <row r="956" spans="1:33">
      <c r="A956" s="2" t="s">
        <v>117</v>
      </c>
      <c r="B956" s="2" t="s">
        <v>59</v>
      </c>
      <c r="C956" s="1">
        <v>0.52788907299999999</v>
      </c>
      <c r="D956">
        <v>0.665074418</v>
      </c>
      <c r="E956">
        <v>0.69056128699999997</v>
      </c>
      <c r="F956" s="1" t="s">
        <v>118</v>
      </c>
      <c r="G956" s="1">
        <v>1.0818253339999999</v>
      </c>
      <c r="H956" s="1">
        <v>58.4</v>
      </c>
      <c r="I956" s="1">
        <v>127.1</v>
      </c>
      <c r="J956" s="1">
        <v>0.62784159266666661</v>
      </c>
      <c r="K956" s="1">
        <v>0.56225432799999997</v>
      </c>
      <c r="L956" s="1">
        <v>0.68100706499999997</v>
      </c>
      <c r="M956" s="3">
        <v>0.67505263699999996</v>
      </c>
      <c r="N956" s="1" t="s">
        <v>60</v>
      </c>
      <c r="O956" s="1">
        <v>1.1501154730000001</v>
      </c>
      <c r="P956" s="1">
        <v>60.5</v>
      </c>
      <c r="Q956" s="1">
        <v>129.9</v>
      </c>
      <c r="R956" s="1">
        <v>0.63943801</v>
      </c>
      <c r="S956" s="1">
        <v>4.0930895622550603E-2</v>
      </c>
      <c r="T956" t="s">
        <v>1103</v>
      </c>
      <c r="U956" s="1">
        <v>30854</v>
      </c>
      <c r="V956">
        <f t="shared" si="56"/>
        <v>0.49881238613184981</v>
      </c>
      <c r="W956" s="1">
        <f t="shared" si="57"/>
        <v>2.1000000000000014</v>
      </c>
      <c r="X956">
        <f t="shared" si="58"/>
        <v>6.8290139000000138E-2</v>
      </c>
      <c r="Y956">
        <f t="shared" si="59"/>
        <v>2.8000000000000114</v>
      </c>
      <c r="Z956" s="1">
        <v>12</v>
      </c>
      <c r="AA956">
        <v>88</v>
      </c>
      <c r="AB956">
        <v>0.13639999999999999</v>
      </c>
      <c r="AC956">
        <v>16</v>
      </c>
      <c r="AD956">
        <v>116</v>
      </c>
      <c r="AE956">
        <v>0.13789999999999999</v>
      </c>
      <c r="AF956" t="s">
        <v>2589</v>
      </c>
      <c r="AG956" t="s">
        <v>2589</v>
      </c>
    </row>
    <row r="957" spans="1:33">
      <c r="A957" s="2" t="s">
        <v>117</v>
      </c>
      <c r="B957" s="2" t="s">
        <v>61</v>
      </c>
      <c r="C957" s="1">
        <v>0.52788907299999999</v>
      </c>
      <c r="D957">
        <v>0.665074418</v>
      </c>
      <c r="E957">
        <v>0.69056128699999997</v>
      </c>
      <c r="F957" s="1" t="s">
        <v>118</v>
      </c>
      <c r="G957" s="1">
        <v>1.0818253339999999</v>
      </c>
      <c r="H957" s="1">
        <v>58.4</v>
      </c>
      <c r="I957" s="1">
        <v>127.1</v>
      </c>
      <c r="J957" s="1">
        <v>0.62784159266666661</v>
      </c>
      <c r="K957" s="1">
        <v>0.62063455999999995</v>
      </c>
      <c r="L957" s="1">
        <v>0.67798104299999995</v>
      </c>
      <c r="M957" s="3">
        <v>0.72175371600000005</v>
      </c>
      <c r="N957" s="1" t="s">
        <v>62</v>
      </c>
      <c r="O957" s="1">
        <v>7.5471698109999998</v>
      </c>
      <c r="P957" s="1">
        <v>26.4</v>
      </c>
      <c r="Q957" s="1">
        <v>10.6</v>
      </c>
      <c r="R957" s="1">
        <v>0.6734564396666668</v>
      </c>
      <c r="S957" s="1">
        <v>9.8697892351751013E-2</v>
      </c>
      <c r="T957" t="s">
        <v>1104</v>
      </c>
      <c r="U957" s="1">
        <v>3378</v>
      </c>
      <c r="V957">
        <f t="shared" si="56"/>
        <v>0.39207329391499884</v>
      </c>
      <c r="W957" s="1">
        <f t="shared" si="57"/>
        <v>32</v>
      </c>
      <c r="X957">
        <f t="shared" si="58"/>
        <v>6.4653444770000004</v>
      </c>
      <c r="Y957">
        <f t="shared" si="59"/>
        <v>116.5</v>
      </c>
      <c r="Z957" s="1">
        <v>0</v>
      </c>
      <c r="AA957">
        <v>100</v>
      </c>
      <c r="AB957">
        <v>0</v>
      </c>
      <c r="AC957">
        <v>0</v>
      </c>
      <c r="AD957">
        <v>107</v>
      </c>
      <c r="AE957">
        <v>0</v>
      </c>
      <c r="AF957" t="s">
        <v>2589</v>
      </c>
      <c r="AG957" t="s">
        <v>2588</v>
      </c>
    </row>
    <row r="958" spans="1:33">
      <c r="A958" s="2" t="s">
        <v>117</v>
      </c>
      <c r="B958" s="2" t="s">
        <v>63</v>
      </c>
      <c r="C958" s="1">
        <v>0.52788907299999999</v>
      </c>
      <c r="D958">
        <v>0.665074418</v>
      </c>
      <c r="E958">
        <v>0.69056128699999997</v>
      </c>
      <c r="F958" s="1" t="s">
        <v>118</v>
      </c>
      <c r="G958" s="1">
        <v>1.0818253339999999</v>
      </c>
      <c r="H958" s="1">
        <v>58.4</v>
      </c>
      <c r="I958" s="1">
        <v>127.1</v>
      </c>
      <c r="J958" s="1">
        <v>0.62784159266666661</v>
      </c>
      <c r="K958" s="1">
        <v>0.44311141399999998</v>
      </c>
      <c r="L958" s="1">
        <v>0.57053969199999999</v>
      </c>
      <c r="M958" s="3">
        <v>0.59266330599999995</v>
      </c>
      <c r="N958" s="1" t="s">
        <v>64</v>
      </c>
      <c r="O958" s="1">
        <v>0.89618138400000003</v>
      </c>
      <c r="P958" s="1">
        <v>29.7</v>
      </c>
      <c r="Q958" s="1">
        <v>83.8</v>
      </c>
      <c r="R958" s="1">
        <v>0.53543813733333334</v>
      </c>
      <c r="S958" s="1">
        <v>0.1603373960412596</v>
      </c>
      <c r="T958" t="s">
        <v>1105</v>
      </c>
      <c r="U958" s="1">
        <v>1208</v>
      </c>
      <c r="V958">
        <f t="shared" si="56"/>
        <v>0.34245188158723477</v>
      </c>
      <c r="W958" s="1">
        <f t="shared" si="57"/>
        <v>28.7</v>
      </c>
      <c r="X958">
        <f t="shared" si="58"/>
        <v>0.18564394999999989</v>
      </c>
      <c r="Y958">
        <f t="shared" si="59"/>
        <v>43.3</v>
      </c>
      <c r="Z958" s="1">
        <v>4</v>
      </c>
      <c r="AA958">
        <v>96</v>
      </c>
      <c r="AB958">
        <v>4.1700000000000001E-2</v>
      </c>
      <c r="AC958">
        <v>6</v>
      </c>
      <c r="AD958">
        <v>108</v>
      </c>
      <c r="AE958">
        <v>5.5599999999999997E-2</v>
      </c>
      <c r="AF958" t="s">
        <v>2589</v>
      </c>
      <c r="AG958" t="s">
        <v>2590</v>
      </c>
    </row>
    <row r="959" spans="1:33">
      <c r="A959" s="2" t="s">
        <v>117</v>
      </c>
      <c r="B959" s="2" t="s">
        <v>65</v>
      </c>
      <c r="C959" s="1">
        <v>0.52788907299999999</v>
      </c>
      <c r="D959">
        <v>0.665074418</v>
      </c>
      <c r="E959">
        <v>0.69056128699999997</v>
      </c>
      <c r="F959" s="1" t="s">
        <v>118</v>
      </c>
      <c r="G959" s="1">
        <v>1.0818253339999999</v>
      </c>
      <c r="H959" s="1">
        <v>58.4</v>
      </c>
      <c r="I959" s="1">
        <v>127.1</v>
      </c>
      <c r="J959" s="1">
        <v>0.62784159266666661</v>
      </c>
      <c r="K959" s="1">
        <v>0.67377447499999998</v>
      </c>
      <c r="L959" s="1">
        <v>0.69144672900000004</v>
      </c>
      <c r="M959" s="3">
        <v>0.73046409700000003</v>
      </c>
      <c r="N959" s="1" t="s">
        <v>66</v>
      </c>
      <c r="O959" s="1">
        <v>1.8507462690000001</v>
      </c>
      <c r="P959" s="1">
        <v>34.5</v>
      </c>
      <c r="Q959" s="1">
        <v>46.9</v>
      </c>
      <c r="R959" s="1">
        <v>0.69856176700000006</v>
      </c>
      <c r="S959" s="1">
        <v>0.15352616568545713</v>
      </c>
      <c r="T959" t="s">
        <v>1106</v>
      </c>
      <c r="U959" s="1">
        <v>1118</v>
      </c>
      <c r="V959">
        <f t="shared" si="56"/>
        <v>0.33871575595004494</v>
      </c>
      <c r="W959" s="1">
        <f t="shared" si="57"/>
        <v>23.9</v>
      </c>
      <c r="X959">
        <f t="shared" si="58"/>
        <v>0.76892093500000014</v>
      </c>
      <c r="Y959">
        <f t="shared" si="59"/>
        <v>80.199999999999989</v>
      </c>
      <c r="Z959" s="1">
        <v>0</v>
      </c>
      <c r="AA959">
        <v>100</v>
      </c>
      <c r="AB959">
        <v>0</v>
      </c>
      <c r="AC959">
        <v>0</v>
      </c>
      <c r="AD959">
        <v>96</v>
      </c>
      <c r="AE959">
        <v>0</v>
      </c>
      <c r="AF959" t="s">
        <v>2589</v>
      </c>
      <c r="AG959" t="s">
        <v>2593</v>
      </c>
    </row>
    <row r="960" spans="1:33">
      <c r="A960" s="2" t="s">
        <v>117</v>
      </c>
      <c r="B960" s="2" t="s">
        <v>67</v>
      </c>
      <c r="C960" s="1">
        <v>0.52788907299999999</v>
      </c>
      <c r="D960">
        <v>0.665074418</v>
      </c>
      <c r="E960">
        <v>0.69056128699999997</v>
      </c>
      <c r="F960" s="1" t="s">
        <v>118</v>
      </c>
      <c r="G960" s="1">
        <v>1.0818253339999999</v>
      </c>
      <c r="H960" s="1">
        <v>58.4</v>
      </c>
      <c r="I960" s="1">
        <v>127.1</v>
      </c>
      <c r="J960" s="1">
        <v>0.62784159266666661</v>
      </c>
      <c r="K960" s="1">
        <v>0.53971122199999999</v>
      </c>
      <c r="L960" s="1">
        <v>0.621203065</v>
      </c>
      <c r="M960" s="3">
        <v>0.67806811499999997</v>
      </c>
      <c r="N960" s="1" t="s">
        <v>68</v>
      </c>
      <c r="O960" s="1">
        <v>1.5131894480000001</v>
      </c>
      <c r="P960" s="1">
        <v>27.2</v>
      </c>
      <c r="Q960" s="1">
        <v>41.7</v>
      </c>
      <c r="R960" s="1">
        <v>0.61299413400000002</v>
      </c>
      <c r="S960" s="1">
        <v>4.7122586597622106E-2</v>
      </c>
      <c r="T960" t="s">
        <v>1107</v>
      </c>
      <c r="U960" s="1">
        <v>6495</v>
      </c>
      <c r="V960">
        <f t="shared" si="56"/>
        <v>0.42361990615656075</v>
      </c>
      <c r="W960" s="1">
        <f t="shared" si="57"/>
        <v>31.2</v>
      </c>
      <c r="X960">
        <f t="shared" si="58"/>
        <v>0.43136411400000019</v>
      </c>
      <c r="Y960">
        <f t="shared" si="59"/>
        <v>85.399999999999991</v>
      </c>
      <c r="Z960" s="1">
        <v>1</v>
      </c>
      <c r="AA960">
        <v>99</v>
      </c>
      <c r="AB960">
        <v>1.01E-2</v>
      </c>
      <c r="AC960">
        <v>2</v>
      </c>
      <c r="AD960">
        <v>105</v>
      </c>
      <c r="AE960">
        <v>1.9E-2</v>
      </c>
      <c r="AF960" t="s">
        <v>2589</v>
      </c>
      <c r="AG960" t="s">
        <v>2588</v>
      </c>
    </row>
    <row r="961" spans="1:33">
      <c r="A961" s="2" t="s">
        <v>117</v>
      </c>
      <c r="B961" s="2" t="s">
        <v>69</v>
      </c>
      <c r="C961" s="1">
        <v>0.52788907299999999</v>
      </c>
      <c r="D961">
        <v>0.665074418</v>
      </c>
      <c r="E961">
        <v>0.69056128699999997</v>
      </c>
      <c r="F961" s="1" t="s">
        <v>118</v>
      </c>
      <c r="G961" s="1">
        <v>1.0818253339999999</v>
      </c>
      <c r="H961" s="1">
        <v>58.4</v>
      </c>
      <c r="I961" s="1">
        <v>127.1</v>
      </c>
      <c r="J961" s="1">
        <v>0.62784159266666661</v>
      </c>
      <c r="K961" s="1">
        <v>0.50188385300000005</v>
      </c>
      <c r="L961" s="1">
        <v>0.64580031500000001</v>
      </c>
      <c r="M961" s="3">
        <v>0.66006355800000005</v>
      </c>
      <c r="N961" s="1" t="s">
        <v>70</v>
      </c>
      <c r="O961" s="1">
        <v>1.2401055409999999</v>
      </c>
      <c r="P961" s="1">
        <v>43.4</v>
      </c>
      <c r="Q961" s="1">
        <v>75.8</v>
      </c>
      <c r="R961" s="1">
        <v>0.60258257533333337</v>
      </c>
      <c r="S961" s="1">
        <v>4.4473295221519632E-2</v>
      </c>
      <c r="T961" t="s">
        <v>1108</v>
      </c>
      <c r="U961" s="1">
        <v>26430</v>
      </c>
      <c r="V961">
        <f t="shared" si="56"/>
        <v>0.49134412923685677</v>
      </c>
      <c r="W961" s="1">
        <f t="shared" si="57"/>
        <v>15</v>
      </c>
      <c r="X961">
        <f t="shared" si="58"/>
        <v>0.15828020700000001</v>
      </c>
      <c r="Y961">
        <f t="shared" si="59"/>
        <v>51.3</v>
      </c>
      <c r="Z961" s="1">
        <v>13</v>
      </c>
      <c r="AA961">
        <v>87</v>
      </c>
      <c r="AB961">
        <v>0.14940000000000001</v>
      </c>
      <c r="AC961">
        <v>15</v>
      </c>
      <c r="AD961">
        <v>99</v>
      </c>
      <c r="AE961">
        <v>0.1515</v>
      </c>
      <c r="AF961" t="s">
        <v>2589</v>
      </c>
      <c r="AG961" t="s">
        <v>2589</v>
      </c>
    </row>
    <row r="962" spans="1:33">
      <c r="A962" s="2" t="s">
        <v>117</v>
      </c>
      <c r="B962" s="2" t="s">
        <v>71</v>
      </c>
      <c r="C962" s="1">
        <v>0.52788907299999999</v>
      </c>
      <c r="D962">
        <v>0.665074418</v>
      </c>
      <c r="E962">
        <v>0.69056128699999997</v>
      </c>
      <c r="F962" s="1" t="s">
        <v>118</v>
      </c>
      <c r="G962" s="1">
        <v>1.0818253339999999</v>
      </c>
      <c r="H962" s="1">
        <v>58.4</v>
      </c>
      <c r="I962" s="1">
        <v>127.1</v>
      </c>
      <c r="J962" s="1">
        <v>0.62784159266666661</v>
      </c>
      <c r="K962" s="1">
        <v>0.53267569100000001</v>
      </c>
      <c r="L962" s="1">
        <v>0.64507433599999997</v>
      </c>
      <c r="M962" s="3">
        <v>0.66598465100000004</v>
      </c>
      <c r="N962" s="1" t="s">
        <v>72</v>
      </c>
      <c r="O962" s="1">
        <v>0.97289666900000005</v>
      </c>
      <c r="P962" s="1">
        <v>64.8</v>
      </c>
      <c r="Q962" s="1">
        <v>177.1</v>
      </c>
      <c r="R962" s="1">
        <v>0.61457822600000001</v>
      </c>
      <c r="S962" s="1">
        <v>3.204568658901135E-2</v>
      </c>
      <c r="T962" t="s">
        <v>1109</v>
      </c>
      <c r="U962" s="1">
        <v>99663</v>
      </c>
      <c r="V962">
        <f t="shared" ref="V962:V1025" si="60">LOG10(U962) / 9</f>
        <v>0.55539266176909952</v>
      </c>
      <c r="W962" s="1">
        <f t="shared" ref="W962:W1025" si="61">ABS(H962-P962)</f>
        <v>6.3999999999999986</v>
      </c>
      <c r="X962">
        <f t="shared" ref="X962:X1025" si="62">ABS(G962-O962)</f>
        <v>0.10892866499999987</v>
      </c>
      <c r="Y962">
        <f t="shared" ref="Y962:Y1025" si="63">ABS(I962-Q962)</f>
        <v>50</v>
      </c>
      <c r="Z962" s="1">
        <v>18</v>
      </c>
      <c r="AA962">
        <v>82</v>
      </c>
      <c r="AB962">
        <v>0.2195</v>
      </c>
      <c r="AC962">
        <v>22</v>
      </c>
      <c r="AD962">
        <v>103</v>
      </c>
      <c r="AE962">
        <v>0.21360000000000001</v>
      </c>
      <c r="AF962" t="s">
        <v>2589</v>
      </c>
      <c r="AG962" t="s">
        <v>2589</v>
      </c>
    </row>
    <row r="963" spans="1:33">
      <c r="A963" s="2" t="s">
        <v>117</v>
      </c>
      <c r="B963" s="2" t="s">
        <v>73</v>
      </c>
      <c r="C963" s="1">
        <v>0.52788907299999999</v>
      </c>
      <c r="D963">
        <v>0.665074418</v>
      </c>
      <c r="E963">
        <v>0.69056128699999997</v>
      </c>
      <c r="F963" s="1" t="s">
        <v>118</v>
      </c>
      <c r="G963" s="1">
        <v>1.0818253339999999</v>
      </c>
      <c r="H963" s="1">
        <v>58.4</v>
      </c>
      <c r="I963" s="1">
        <v>127.1</v>
      </c>
      <c r="J963" s="1">
        <v>0.62784159266666661</v>
      </c>
      <c r="K963" s="1">
        <v>0.55697925299999995</v>
      </c>
      <c r="L963" s="1">
        <v>0.64461978399999997</v>
      </c>
      <c r="M963" s="3">
        <v>0.69570690000000002</v>
      </c>
      <c r="N963" s="1" t="s">
        <v>74</v>
      </c>
      <c r="O963" s="1">
        <v>1.23433584</v>
      </c>
      <c r="P963" s="1">
        <v>44</v>
      </c>
      <c r="Q963" s="1">
        <v>79.8</v>
      </c>
      <c r="R963" s="1">
        <v>0.63243531233333328</v>
      </c>
      <c r="S963" s="1">
        <v>3.5931990727652768E-2</v>
      </c>
      <c r="T963" t="s">
        <v>1110</v>
      </c>
      <c r="U963" s="1">
        <v>19610</v>
      </c>
      <c r="V963">
        <f t="shared" si="60"/>
        <v>0.47694195485197599</v>
      </c>
      <c r="W963" s="1">
        <f t="shared" si="61"/>
        <v>14.399999999999999</v>
      </c>
      <c r="X963">
        <f t="shared" si="62"/>
        <v>0.15251050600000005</v>
      </c>
      <c r="Y963">
        <f t="shared" si="63"/>
        <v>47.3</v>
      </c>
      <c r="Z963" s="1">
        <v>12</v>
      </c>
      <c r="AA963">
        <v>88</v>
      </c>
      <c r="AB963">
        <v>0.13639999999999999</v>
      </c>
      <c r="AC963">
        <v>14</v>
      </c>
      <c r="AD963">
        <v>96</v>
      </c>
      <c r="AE963">
        <v>0.14580000000000001</v>
      </c>
      <c r="AF963" t="s">
        <v>2589</v>
      </c>
      <c r="AG963" t="s">
        <v>2589</v>
      </c>
    </row>
    <row r="964" spans="1:33">
      <c r="A964" s="2" t="s">
        <v>117</v>
      </c>
      <c r="B964" s="2" t="s">
        <v>75</v>
      </c>
      <c r="C964" s="1">
        <v>0.52788907299999999</v>
      </c>
      <c r="D964">
        <v>0.665074418</v>
      </c>
      <c r="E964">
        <v>0.69056128699999997</v>
      </c>
      <c r="F964" s="1" t="s">
        <v>118</v>
      </c>
      <c r="G964" s="1">
        <v>1.0818253339999999</v>
      </c>
      <c r="H964" s="1">
        <v>58.4</v>
      </c>
      <c r="I964" s="1">
        <v>127.1</v>
      </c>
      <c r="J964" s="1">
        <v>0.62784159266666661</v>
      </c>
      <c r="K964" s="1">
        <v>0.50354843500000002</v>
      </c>
      <c r="L964" s="1">
        <v>0.59724402499999996</v>
      </c>
      <c r="M964" s="3">
        <v>0.70308254199999998</v>
      </c>
      <c r="N964" s="1" t="s">
        <v>76</v>
      </c>
      <c r="O964" s="1">
        <v>1.2696850390000001</v>
      </c>
      <c r="P964" s="1">
        <v>26.6</v>
      </c>
      <c r="Q964" s="1">
        <v>50.8</v>
      </c>
      <c r="R964" s="1">
        <v>0.60129166733333339</v>
      </c>
      <c r="S964" s="1">
        <v>7.314513448997495E-2</v>
      </c>
      <c r="T964" t="s">
        <v>1111</v>
      </c>
      <c r="U964" s="1">
        <v>5141</v>
      </c>
      <c r="V964">
        <f t="shared" si="60"/>
        <v>0.41233862265189264</v>
      </c>
      <c r="W964" s="1">
        <f t="shared" si="61"/>
        <v>31.799999999999997</v>
      </c>
      <c r="X964">
        <f t="shared" si="62"/>
        <v>0.18785970500000015</v>
      </c>
      <c r="Y964">
        <f t="shared" si="63"/>
        <v>76.3</v>
      </c>
      <c r="Z964" s="1">
        <v>3</v>
      </c>
      <c r="AA964">
        <v>97</v>
      </c>
      <c r="AB964">
        <v>3.09E-2</v>
      </c>
      <c r="AC964">
        <v>4</v>
      </c>
      <c r="AD964">
        <v>106</v>
      </c>
      <c r="AE964">
        <v>3.7699999999999997E-2</v>
      </c>
      <c r="AF964" t="s">
        <v>2589</v>
      </c>
      <c r="AG964" t="s">
        <v>2594</v>
      </c>
    </row>
    <row r="965" spans="1:33">
      <c r="A965" s="2" t="s">
        <v>117</v>
      </c>
      <c r="B965" s="2" t="s">
        <v>77</v>
      </c>
      <c r="C965" s="1">
        <v>0.52788907299999999</v>
      </c>
      <c r="D965">
        <v>0.665074418</v>
      </c>
      <c r="E965">
        <v>0.69056128699999997</v>
      </c>
      <c r="F965" s="1" t="s">
        <v>118</v>
      </c>
      <c r="G965" s="1">
        <v>1.0818253339999999</v>
      </c>
      <c r="H965" s="1">
        <v>58.4</v>
      </c>
      <c r="I965" s="1">
        <v>127.1</v>
      </c>
      <c r="J965" s="1">
        <v>0.62784159266666661</v>
      </c>
      <c r="K965" s="1">
        <v>0.54630843299999998</v>
      </c>
      <c r="L965" s="1">
        <v>0.68935555900000001</v>
      </c>
      <c r="M965" s="3">
        <v>0.65478744899999997</v>
      </c>
      <c r="N965" s="1" t="s">
        <v>78</v>
      </c>
      <c r="O965" s="1">
        <v>1.3914285710000001</v>
      </c>
      <c r="P965" s="1">
        <v>56.5</v>
      </c>
      <c r="Q965" s="1">
        <v>105</v>
      </c>
      <c r="R965" s="1">
        <v>0.63015048033333343</v>
      </c>
      <c r="S965" s="1">
        <v>4.6995894675191843E-2</v>
      </c>
      <c r="T965" t="s">
        <v>1112</v>
      </c>
      <c r="U965" s="1">
        <v>4128</v>
      </c>
      <c r="V965">
        <f t="shared" si="60"/>
        <v>0.40174885429101725</v>
      </c>
      <c r="W965" s="1">
        <f t="shared" si="61"/>
        <v>1.8999999999999986</v>
      </c>
      <c r="X965">
        <f t="shared" si="62"/>
        <v>0.30960323700000014</v>
      </c>
      <c r="Y965">
        <f t="shared" si="63"/>
        <v>22.099999999999994</v>
      </c>
      <c r="Z965" s="1">
        <v>2</v>
      </c>
      <c r="AA965">
        <v>98</v>
      </c>
      <c r="AB965">
        <v>2.0400000000000001E-2</v>
      </c>
      <c r="AC965">
        <v>3</v>
      </c>
      <c r="AD965">
        <v>96</v>
      </c>
      <c r="AE965">
        <v>3.1199999999999999E-2</v>
      </c>
      <c r="AF965" t="s">
        <v>2589</v>
      </c>
      <c r="AG965" t="s">
        <v>2590</v>
      </c>
    </row>
    <row r="966" spans="1:33">
      <c r="A966" s="2" t="s">
        <v>117</v>
      </c>
      <c r="B966" s="2" t="s">
        <v>79</v>
      </c>
      <c r="C966" s="1">
        <v>0.52788907299999999</v>
      </c>
      <c r="D966">
        <v>0.665074418</v>
      </c>
      <c r="E966">
        <v>0.69056128699999997</v>
      </c>
      <c r="F966" s="1" t="s">
        <v>118</v>
      </c>
      <c r="G966" s="1">
        <v>1.0818253339999999</v>
      </c>
      <c r="H966" s="1">
        <v>58.4</v>
      </c>
      <c r="I966" s="1">
        <v>127.1</v>
      </c>
      <c r="J966" s="1">
        <v>0.62784159266666661</v>
      </c>
      <c r="K966" s="1">
        <v>0.63652882899999996</v>
      </c>
      <c r="L966" s="1">
        <v>0.77536518600000004</v>
      </c>
      <c r="M966" s="3">
        <v>0.610415606</v>
      </c>
      <c r="N966" s="1" t="s">
        <v>80</v>
      </c>
      <c r="O966" s="1">
        <v>0.95325542600000002</v>
      </c>
      <c r="P966" s="1">
        <v>45.6</v>
      </c>
      <c r="Q966" s="1">
        <v>119.8</v>
      </c>
      <c r="R966" s="1">
        <v>0.67410320700000004</v>
      </c>
      <c r="S966" s="1">
        <v>0.17432722183503963</v>
      </c>
      <c r="T966" t="s">
        <v>1113</v>
      </c>
      <c r="U966" s="1">
        <v>3751</v>
      </c>
      <c r="V966">
        <f t="shared" si="60"/>
        <v>0.39712745157230256</v>
      </c>
      <c r="W966" s="1">
        <f t="shared" si="61"/>
        <v>12.799999999999997</v>
      </c>
      <c r="X966">
        <f t="shared" si="62"/>
        <v>0.1285699079999999</v>
      </c>
      <c r="Y966">
        <f t="shared" si="63"/>
        <v>7.2999999999999972</v>
      </c>
      <c r="Z966" s="1">
        <v>1</v>
      </c>
      <c r="AA966">
        <v>99</v>
      </c>
      <c r="AB966">
        <v>1.01E-2</v>
      </c>
      <c r="AC966">
        <v>2</v>
      </c>
      <c r="AD966">
        <v>88</v>
      </c>
      <c r="AE966">
        <v>2.2700000000000001E-2</v>
      </c>
      <c r="AF966" t="s">
        <v>2589</v>
      </c>
      <c r="AG966" t="s">
        <v>2590</v>
      </c>
    </row>
    <row r="967" spans="1:33">
      <c r="A967" s="2" t="s">
        <v>117</v>
      </c>
      <c r="B967" s="2" t="s">
        <v>81</v>
      </c>
      <c r="C967" s="1">
        <v>0.52788907299999999</v>
      </c>
      <c r="D967">
        <v>0.665074418</v>
      </c>
      <c r="E967">
        <v>0.69056128699999997</v>
      </c>
      <c r="F967" s="1" t="s">
        <v>118</v>
      </c>
      <c r="G967" s="1">
        <v>1.0818253339999999</v>
      </c>
      <c r="H967" s="1">
        <v>58.4</v>
      </c>
      <c r="I967" s="1">
        <v>127.1</v>
      </c>
      <c r="J967" s="1">
        <v>0.62784159266666661</v>
      </c>
      <c r="K967" s="1">
        <v>0.50183280699999999</v>
      </c>
      <c r="L967" s="1">
        <v>0.68550824600000004</v>
      </c>
      <c r="M967" s="3">
        <v>0.66941488999999998</v>
      </c>
      <c r="N967" s="1" t="s">
        <v>82</v>
      </c>
      <c r="O967" s="1">
        <v>1.4359576970000001</v>
      </c>
      <c r="P967" s="1">
        <v>51</v>
      </c>
      <c r="Q967" s="1">
        <v>85.1</v>
      </c>
      <c r="R967" s="1">
        <v>0.61891864766666671</v>
      </c>
      <c r="S967" s="1">
        <v>3.9289189743209899E-2</v>
      </c>
      <c r="T967" t="s">
        <v>1114</v>
      </c>
      <c r="U967" s="1">
        <v>22483</v>
      </c>
      <c r="V967">
        <f t="shared" si="60"/>
        <v>0.48353936227541694</v>
      </c>
      <c r="W967" s="1">
        <f t="shared" si="61"/>
        <v>7.3999999999999986</v>
      </c>
      <c r="X967">
        <f t="shared" si="62"/>
        <v>0.35413236300000017</v>
      </c>
      <c r="Y967">
        <f t="shared" si="63"/>
        <v>42</v>
      </c>
      <c r="Z967" s="1">
        <v>0</v>
      </c>
      <c r="AA967">
        <v>100</v>
      </c>
      <c r="AB967">
        <v>0</v>
      </c>
      <c r="AC967">
        <v>0</v>
      </c>
      <c r="AD967">
        <v>101</v>
      </c>
      <c r="AE967">
        <v>0</v>
      </c>
      <c r="AF967" t="s">
        <v>2589</v>
      </c>
      <c r="AG967" t="s">
        <v>2589</v>
      </c>
    </row>
    <row r="968" spans="1:33">
      <c r="A968" s="2" t="s">
        <v>117</v>
      </c>
      <c r="B968" s="2" t="s">
        <v>83</v>
      </c>
      <c r="C968" s="1">
        <v>0.52788907299999999</v>
      </c>
      <c r="D968">
        <v>0.665074418</v>
      </c>
      <c r="E968">
        <v>0.69056128699999997</v>
      </c>
      <c r="F968" s="1" t="s">
        <v>118</v>
      </c>
      <c r="G968" s="1">
        <v>1.0818253339999999</v>
      </c>
      <c r="H968" s="1">
        <v>58.4</v>
      </c>
      <c r="I968" s="1">
        <v>127.1</v>
      </c>
      <c r="J968" s="1">
        <v>0.62784159266666661</v>
      </c>
      <c r="K968" s="1">
        <v>0.51815179099999997</v>
      </c>
      <c r="L968" s="1">
        <v>0.50115949400000004</v>
      </c>
      <c r="M968" s="3">
        <v>0.68053170600000001</v>
      </c>
      <c r="N968" s="1" t="s">
        <v>84</v>
      </c>
      <c r="O968" s="1">
        <v>1.760323887</v>
      </c>
      <c r="P968" s="1">
        <v>83.4</v>
      </c>
      <c r="Q968" s="1">
        <v>123.5</v>
      </c>
      <c r="R968" s="1">
        <v>0.56661433033333342</v>
      </c>
      <c r="S968" s="1">
        <v>0.16450990689228673</v>
      </c>
      <c r="T968" t="s">
        <v>1115</v>
      </c>
      <c r="U968" s="1">
        <v>27328</v>
      </c>
      <c r="V968">
        <f t="shared" si="60"/>
        <v>0.49295642766765674</v>
      </c>
      <c r="W968" s="1">
        <f t="shared" si="61"/>
        <v>25.000000000000007</v>
      </c>
      <c r="X968">
        <f t="shared" si="62"/>
        <v>0.67849855300000006</v>
      </c>
      <c r="Y968">
        <f t="shared" si="63"/>
        <v>3.5999999999999943</v>
      </c>
      <c r="Z968" s="1">
        <v>5</v>
      </c>
      <c r="AA968">
        <v>95</v>
      </c>
      <c r="AB968">
        <v>5.2600000000000001E-2</v>
      </c>
      <c r="AC968">
        <v>6</v>
      </c>
      <c r="AD968">
        <v>90</v>
      </c>
      <c r="AE968">
        <v>6.6699999999999995E-2</v>
      </c>
      <c r="AF968" t="s">
        <v>2589</v>
      </c>
      <c r="AG968" t="s">
        <v>2589</v>
      </c>
    </row>
    <row r="969" spans="1:33">
      <c r="A969" s="2" t="s">
        <v>117</v>
      </c>
      <c r="B969" s="2" t="s">
        <v>85</v>
      </c>
      <c r="C969" s="1">
        <v>0.52788907299999999</v>
      </c>
      <c r="D969">
        <v>0.665074418</v>
      </c>
      <c r="E969">
        <v>0.69056128699999997</v>
      </c>
      <c r="F969" s="1" t="s">
        <v>118</v>
      </c>
      <c r="G969" s="1">
        <v>1.0818253339999999</v>
      </c>
      <c r="H969" s="1">
        <v>58.4</v>
      </c>
      <c r="I969" s="1">
        <v>127.1</v>
      </c>
      <c r="J969" s="1">
        <v>0.62784159266666661</v>
      </c>
      <c r="K969" s="1">
        <v>0.522280945</v>
      </c>
      <c r="L969" s="1">
        <v>0.58016629799999997</v>
      </c>
      <c r="M969" s="3">
        <v>0.62446713499999995</v>
      </c>
      <c r="N969" s="1" t="s">
        <v>86</v>
      </c>
      <c r="O969" s="1">
        <v>0.57177615599999998</v>
      </c>
      <c r="P969" s="1">
        <v>19.5</v>
      </c>
      <c r="Q969" s="1">
        <v>82.2</v>
      </c>
      <c r="R969" s="1">
        <v>0.57563812599999997</v>
      </c>
      <c r="S969" s="1">
        <v>0.10774635432439417</v>
      </c>
      <c r="T969" t="s">
        <v>1116</v>
      </c>
      <c r="U969" s="1">
        <v>1019</v>
      </c>
      <c r="V969">
        <f t="shared" si="60"/>
        <v>0.33424157600071402</v>
      </c>
      <c r="W969" s="1">
        <f t="shared" si="61"/>
        <v>38.9</v>
      </c>
      <c r="X969">
        <f t="shared" si="62"/>
        <v>0.51004917799999994</v>
      </c>
      <c r="Y969">
        <f t="shared" si="63"/>
        <v>44.899999999999991</v>
      </c>
      <c r="Z969" s="1">
        <v>1</v>
      </c>
      <c r="AA969">
        <v>99</v>
      </c>
      <c r="AB969">
        <v>1.01E-2</v>
      </c>
      <c r="AC969">
        <v>2</v>
      </c>
      <c r="AD969">
        <v>159</v>
      </c>
      <c r="AE969">
        <v>1.26E-2</v>
      </c>
      <c r="AF969" t="s">
        <v>2589</v>
      </c>
      <c r="AG969" t="s">
        <v>2590</v>
      </c>
    </row>
    <row r="970" spans="1:33">
      <c r="A970" s="2" t="s">
        <v>117</v>
      </c>
      <c r="B970" s="2" t="s">
        <v>87</v>
      </c>
      <c r="C970" s="1">
        <v>0.52788907299999999</v>
      </c>
      <c r="D970">
        <v>0.665074418</v>
      </c>
      <c r="E970">
        <v>0.69056128699999997</v>
      </c>
      <c r="F970" s="1" t="s">
        <v>118</v>
      </c>
      <c r="G970" s="1">
        <v>1.0818253339999999</v>
      </c>
      <c r="H970" s="1">
        <v>58.4</v>
      </c>
      <c r="I970" s="1">
        <v>127.1</v>
      </c>
      <c r="J970" s="1">
        <v>0.62784159266666661</v>
      </c>
      <c r="K970" s="1">
        <v>0.46780425199999998</v>
      </c>
      <c r="L970" s="1">
        <v>0.54149707400000002</v>
      </c>
      <c r="M970" s="3">
        <v>0.61626236400000001</v>
      </c>
      <c r="N970" s="1" t="s">
        <v>88</v>
      </c>
      <c r="O970" s="1">
        <v>1.395454545</v>
      </c>
      <c r="P970" s="1">
        <v>65.2</v>
      </c>
      <c r="Q970" s="1">
        <v>110</v>
      </c>
      <c r="R970" s="1">
        <v>0.54185456333333337</v>
      </c>
      <c r="S970" s="1">
        <v>0.15621099712778322</v>
      </c>
      <c r="T970" t="s">
        <v>1117</v>
      </c>
      <c r="U970" s="1">
        <v>12941</v>
      </c>
      <c r="V970">
        <f t="shared" si="60"/>
        <v>0.45688531524511916</v>
      </c>
      <c r="W970" s="1">
        <f t="shared" si="61"/>
        <v>6.8000000000000043</v>
      </c>
      <c r="X970">
        <f t="shared" si="62"/>
        <v>0.31362921100000007</v>
      </c>
      <c r="Y970">
        <f t="shared" si="63"/>
        <v>17.099999999999994</v>
      </c>
      <c r="Z970" s="1">
        <v>7</v>
      </c>
      <c r="AA970">
        <v>93</v>
      </c>
      <c r="AB970">
        <v>7.5300000000000006E-2</v>
      </c>
      <c r="AC970">
        <v>9</v>
      </c>
      <c r="AD970">
        <v>85</v>
      </c>
      <c r="AE970">
        <v>0.10589999999999999</v>
      </c>
      <c r="AF970" t="s">
        <v>2589</v>
      </c>
      <c r="AG970" t="s">
        <v>2590</v>
      </c>
    </row>
    <row r="971" spans="1:33">
      <c r="A971" s="2" t="s">
        <v>117</v>
      </c>
      <c r="B971" s="2" t="s">
        <v>89</v>
      </c>
      <c r="C971" s="1">
        <v>0.52788907299999999</v>
      </c>
      <c r="D971">
        <v>0.665074418</v>
      </c>
      <c r="E971">
        <v>0.69056128699999997</v>
      </c>
      <c r="F971" s="1" t="s">
        <v>118</v>
      </c>
      <c r="G971" s="1">
        <v>1.0818253339999999</v>
      </c>
      <c r="H971" s="1">
        <v>58.4</v>
      </c>
      <c r="I971" s="1">
        <v>127.1</v>
      </c>
      <c r="J971" s="1">
        <v>0.62784159266666661</v>
      </c>
      <c r="K971" s="1">
        <v>0.51097051500000001</v>
      </c>
      <c r="L971" s="1">
        <v>0.61917891400000002</v>
      </c>
      <c r="M971" s="3">
        <v>0.60984479800000002</v>
      </c>
      <c r="N971" s="1" t="s">
        <v>90</v>
      </c>
      <c r="O971" s="1">
        <v>1.429752066</v>
      </c>
      <c r="P971" s="1">
        <v>59.8</v>
      </c>
      <c r="Q971" s="1">
        <v>108.9</v>
      </c>
      <c r="R971" s="1">
        <v>0.57999807566666661</v>
      </c>
      <c r="S971" s="1">
        <v>9.4381070605818462E-2</v>
      </c>
      <c r="T971" t="s">
        <v>1118</v>
      </c>
      <c r="U971" s="1">
        <v>16706</v>
      </c>
      <c r="V971">
        <f t="shared" si="60"/>
        <v>0.46920805300775992</v>
      </c>
      <c r="W971" s="1">
        <f t="shared" si="61"/>
        <v>1.3999999999999986</v>
      </c>
      <c r="X971">
        <f t="shared" si="62"/>
        <v>0.34792673200000013</v>
      </c>
      <c r="Y971">
        <f t="shared" si="63"/>
        <v>18.199999999999989</v>
      </c>
      <c r="Z971" s="1">
        <v>12</v>
      </c>
      <c r="AA971">
        <v>88</v>
      </c>
      <c r="AB971">
        <v>0.13639999999999999</v>
      </c>
      <c r="AC971">
        <v>15</v>
      </c>
      <c r="AD971">
        <v>88</v>
      </c>
      <c r="AE971">
        <v>0.17050000000000001</v>
      </c>
      <c r="AF971" t="s">
        <v>2589</v>
      </c>
      <c r="AG971" t="s">
        <v>2589</v>
      </c>
    </row>
    <row r="972" spans="1:33">
      <c r="A972" s="2" t="s">
        <v>117</v>
      </c>
      <c r="B972" s="2" t="s">
        <v>91</v>
      </c>
      <c r="C972" s="1">
        <v>0.52788907299999999</v>
      </c>
      <c r="D972">
        <v>0.665074418</v>
      </c>
      <c r="E972">
        <v>0.69056128699999997</v>
      </c>
      <c r="F972" s="1" t="s">
        <v>118</v>
      </c>
      <c r="G972" s="1">
        <v>1.0818253339999999</v>
      </c>
      <c r="H972" s="1">
        <v>58.4</v>
      </c>
      <c r="I972" s="1">
        <v>127.1</v>
      </c>
      <c r="J972" s="1">
        <v>0.62784159266666661</v>
      </c>
      <c r="K972" s="1">
        <v>0.37439919700000002</v>
      </c>
      <c r="L972" s="1">
        <v>0.508839347</v>
      </c>
      <c r="M972" s="3">
        <v>0.52701193599999996</v>
      </c>
      <c r="N972" s="1" t="s">
        <v>92</v>
      </c>
      <c r="O972" s="1">
        <v>1.911504425</v>
      </c>
      <c r="P972" s="1">
        <v>24.6</v>
      </c>
      <c r="Q972" s="1">
        <v>33.9</v>
      </c>
      <c r="R972" s="1">
        <v>0.47008349333333332</v>
      </c>
      <c r="S972" s="1">
        <v>0.27334397680832773</v>
      </c>
      <c r="T972" t="s">
        <v>1119</v>
      </c>
      <c r="U972" s="1">
        <v>717</v>
      </c>
      <c r="V972">
        <f t="shared" si="60"/>
        <v>0.3172799061853111</v>
      </c>
      <c r="W972" s="1">
        <f t="shared" si="61"/>
        <v>33.799999999999997</v>
      </c>
      <c r="X972">
        <f t="shared" si="62"/>
        <v>0.82967909100000004</v>
      </c>
      <c r="Y972">
        <f t="shared" si="63"/>
        <v>93.199999999999989</v>
      </c>
      <c r="Z972" s="1">
        <v>3</v>
      </c>
      <c r="AA972">
        <v>97</v>
      </c>
      <c r="AB972">
        <v>3.09E-2</v>
      </c>
      <c r="AC972">
        <v>4</v>
      </c>
      <c r="AD972">
        <v>106</v>
      </c>
      <c r="AE972">
        <v>3.7699999999999997E-2</v>
      </c>
      <c r="AF972" t="s">
        <v>2589</v>
      </c>
      <c r="AG972" t="s">
        <v>2590</v>
      </c>
    </row>
    <row r="973" spans="1:33">
      <c r="A973" s="2" t="s">
        <v>117</v>
      </c>
      <c r="B973" s="2" t="s">
        <v>93</v>
      </c>
      <c r="C973" s="1">
        <v>0.52788907299999999</v>
      </c>
      <c r="D973">
        <v>0.665074418</v>
      </c>
      <c r="E973">
        <v>0.69056128699999997</v>
      </c>
      <c r="F973" s="1" t="s">
        <v>118</v>
      </c>
      <c r="G973" s="1">
        <v>1.0818253339999999</v>
      </c>
      <c r="H973" s="1">
        <v>58.4</v>
      </c>
      <c r="I973" s="1">
        <v>127.1</v>
      </c>
      <c r="J973" s="1">
        <v>0.62784159266666661</v>
      </c>
      <c r="K973" s="1">
        <v>0.54134617200000001</v>
      </c>
      <c r="L973" s="1">
        <v>0.674899633</v>
      </c>
      <c r="M973" s="3">
        <v>0.719840174</v>
      </c>
      <c r="N973" s="1" t="s">
        <v>94</v>
      </c>
      <c r="O973" s="1">
        <v>1.175388967</v>
      </c>
      <c r="P973" s="1">
        <v>36.6</v>
      </c>
      <c r="Q973" s="1">
        <v>70.7</v>
      </c>
      <c r="R973" s="1">
        <v>0.64536199299999997</v>
      </c>
      <c r="S973" s="1">
        <v>3.3688003610347669E-2</v>
      </c>
      <c r="T973" t="s">
        <v>1120</v>
      </c>
      <c r="U973" s="1">
        <v>40910</v>
      </c>
      <c r="V973">
        <f t="shared" si="60"/>
        <v>0.51242549772204149</v>
      </c>
      <c r="W973" s="1">
        <f t="shared" si="61"/>
        <v>21.799999999999997</v>
      </c>
      <c r="X973">
        <f t="shared" si="62"/>
        <v>9.3563633000000035E-2</v>
      </c>
      <c r="Y973">
        <f t="shared" si="63"/>
        <v>56.399999999999991</v>
      </c>
      <c r="Z973" s="1">
        <v>10</v>
      </c>
      <c r="AA973">
        <v>90</v>
      </c>
      <c r="AB973">
        <v>0.1111</v>
      </c>
      <c r="AC973">
        <v>11</v>
      </c>
      <c r="AD973">
        <v>90</v>
      </c>
      <c r="AE973">
        <v>0.1222</v>
      </c>
      <c r="AF973" t="s">
        <v>2589</v>
      </c>
      <c r="AG973" t="s">
        <v>2589</v>
      </c>
    </row>
    <row r="974" spans="1:33">
      <c r="A974" s="2" t="s">
        <v>117</v>
      </c>
      <c r="B974" s="2" t="s">
        <v>95</v>
      </c>
      <c r="C974" s="1">
        <v>0.52788907299999999</v>
      </c>
      <c r="D974">
        <v>0.665074418</v>
      </c>
      <c r="E974">
        <v>0.69056128699999997</v>
      </c>
      <c r="F974" s="1" t="s">
        <v>118</v>
      </c>
      <c r="G974" s="1">
        <v>1.0818253339999999</v>
      </c>
      <c r="H974" s="1">
        <v>58.4</v>
      </c>
      <c r="I974" s="1">
        <v>127.1</v>
      </c>
      <c r="J974" s="1">
        <v>0.62784159266666661</v>
      </c>
      <c r="K974" s="1">
        <v>0.59462093100000002</v>
      </c>
      <c r="L974" s="1">
        <v>0.68038960500000001</v>
      </c>
      <c r="M974" s="3">
        <v>0.72533004899999998</v>
      </c>
      <c r="N974" s="1" t="s">
        <v>96</v>
      </c>
      <c r="O974" s="1">
        <v>1.9717647060000001</v>
      </c>
      <c r="P974" s="1">
        <v>34.6</v>
      </c>
      <c r="Q974" s="1">
        <v>42.5</v>
      </c>
      <c r="R974" s="1">
        <v>0.66678019499999996</v>
      </c>
      <c r="S974" s="1">
        <v>7.6789078884889492E-2</v>
      </c>
      <c r="T974" t="s">
        <v>1121</v>
      </c>
      <c r="U974" s="1">
        <v>1388</v>
      </c>
      <c r="V974">
        <f t="shared" si="60"/>
        <v>0.34915438512431513</v>
      </c>
      <c r="W974" s="1">
        <f t="shared" si="61"/>
        <v>23.799999999999997</v>
      </c>
      <c r="X974">
        <f t="shared" si="62"/>
        <v>0.88993937200000017</v>
      </c>
      <c r="Y974">
        <f t="shared" si="63"/>
        <v>84.6</v>
      </c>
      <c r="Z974" s="1">
        <v>0</v>
      </c>
      <c r="AA974">
        <v>100</v>
      </c>
      <c r="AB974">
        <v>0</v>
      </c>
      <c r="AC974">
        <v>0</v>
      </c>
      <c r="AD974">
        <v>107</v>
      </c>
      <c r="AE974">
        <v>0</v>
      </c>
      <c r="AF974" t="s">
        <v>2589</v>
      </c>
      <c r="AG974" t="s">
        <v>2593</v>
      </c>
    </row>
    <row r="975" spans="1:33">
      <c r="A975" s="2" t="s">
        <v>117</v>
      </c>
      <c r="B975" s="2" t="s">
        <v>97</v>
      </c>
      <c r="C975" s="1">
        <v>0.52788907299999999</v>
      </c>
      <c r="D975">
        <v>0.665074418</v>
      </c>
      <c r="E975">
        <v>0.69056128699999997</v>
      </c>
      <c r="F975" s="1" t="s">
        <v>118</v>
      </c>
      <c r="G975" s="1">
        <v>1.0818253339999999</v>
      </c>
      <c r="H975" s="1">
        <v>58.4</v>
      </c>
      <c r="I975" s="1">
        <v>127.1</v>
      </c>
      <c r="J975" s="1">
        <v>0.62784159266666661</v>
      </c>
      <c r="K975" s="1">
        <v>0.63674842300000001</v>
      </c>
      <c r="L975" s="1">
        <v>0.68532635500000005</v>
      </c>
      <c r="M975" s="3">
        <v>0.727031494</v>
      </c>
      <c r="N975" s="1" t="s">
        <v>98</v>
      </c>
      <c r="O975" s="1">
        <v>2.360103627</v>
      </c>
      <c r="P975" s="1">
        <v>36.799999999999997</v>
      </c>
      <c r="Q975" s="1">
        <v>38.6</v>
      </c>
      <c r="R975" s="1">
        <v>0.68303542400000017</v>
      </c>
      <c r="S975" s="1">
        <v>0.11657862168209628</v>
      </c>
      <c r="T975" t="s">
        <v>1122</v>
      </c>
      <c r="U975" s="1">
        <v>649</v>
      </c>
      <c r="V975">
        <f t="shared" si="60"/>
        <v>0.31247163297781877</v>
      </c>
      <c r="W975" s="1">
        <f t="shared" si="61"/>
        <v>21.6</v>
      </c>
      <c r="X975">
        <f t="shared" si="62"/>
        <v>1.2782782930000001</v>
      </c>
      <c r="Y975">
        <f t="shared" si="63"/>
        <v>88.5</v>
      </c>
      <c r="Z975" s="1">
        <v>0</v>
      </c>
      <c r="AA975">
        <v>100</v>
      </c>
      <c r="AB975">
        <v>0</v>
      </c>
      <c r="AC975">
        <v>0</v>
      </c>
      <c r="AD975">
        <v>107</v>
      </c>
      <c r="AE975">
        <v>0</v>
      </c>
      <c r="AF975" t="s">
        <v>2589</v>
      </c>
      <c r="AG975" t="s">
        <v>2593</v>
      </c>
    </row>
    <row r="976" spans="1:33">
      <c r="A976" s="2" t="s">
        <v>117</v>
      </c>
      <c r="B976" s="2" t="s">
        <v>99</v>
      </c>
      <c r="C976" s="1">
        <v>0.52788907299999999</v>
      </c>
      <c r="D976">
        <v>0.665074418</v>
      </c>
      <c r="E976">
        <v>0.69056128699999997</v>
      </c>
      <c r="F976" s="1" t="s">
        <v>118</v>
      </c>
      <c r="G976" s="1">
        <v>1.0818253339999999</v>
      </c>
      <c r="H976" s="1">
        <v>58.4</v>
      </c>
      <c r="I976" s="1">
        <v>127.1</v>
      </c>
      <c r="J976" s="1">
        <v>0.62784159266666661</v>
      </c>
      <c r="K976" s="1">
        <v>0.52525630099999998</v>
      </c>
      <c r="L976" s="1">
        <v>0.68706170200000005</v>
      </c>
      <c r="M976" s="3">
        <v>0.71473597300000002</v>
      </c>
      <c r="N976" s="1" t="s">
        <v>100</v>
      </c>
      <c r="O976" s="1">
        <v>1.72605042</v>
      </c>
      <c r="P976" s="1">
        <v>46.5</v>
      </c>
      <c r="Q976" s="1">
        <v>59.5</v>
      </c>
      <c r="R976" s="1">
        <v>0.64235132533333339</v>
      </c>
      <c r="S976" s="1">
        <v>3.2783953228664189E-2</v>
      </c>
      <c r="T976" t="s">
        <v>1123</v>
      </c>
      <c r="U976" s="1">
        <v>53667</v>
      </c>
      <c r="V976">
        <f t="shared" si="60"/>
        <v>0.52552303542056267</v>
      </c>
      <c r="W976" s="1">
        <f t="shared" si="61"/>
        <v>11.899999999999999</v>
      </c>
      <c r="X976">
        <f t="shared" si="62"/>
        <v>0.64422508600000006</v>
      </c>
      <c r="Y976">
        <f t="shared" si="63"/>
        <v>67.599999999999994</v>
      </c>
      <c r="Z976" s="1">
        <v>0</v>
      </c>
      <c r="AA976">
        <v>100</v>
      </c>
      <c r="AB976">
        <v>0</v>
      </c>
      <c r="AC976">
        <v>0</v>
      </c>
      <c r="AD976">
        <v>109</v>
      </c>
      <c r="AE976">
        <v>0</v>
      </c>
      <c r="AF976" t="s">
        <v>2589</v>
      </c>
      <c r="AG976" t="s">
        <v>2589</v>
      </c>
    </row>
    <row r="977" spans="1:33">
      <c r="A977" s="2" t="s">
        <v>117</v>
      </c>
      <c r="B977" s="2" t="s">
        <v>148</v>
      </c>
      <c r="C977" s="1">
        <v>0.52788907299999999</v>
      </c>
      <c r="D977">
        <v>0.665074418</v>
      </c>
      <c r="E977">
        <v>0.69056128699999997</v>
      </c>
      <c r="F977" s="1" t="s">
        <v>118</v>
      </c>
      <c r="G977" s="1">
        <v>1.0818253339999999</v>
      </c>
      <c r="H977" s="1">
        <v>58.4</v>
      </c>
      <c r="I977" s="1">
        <v>127.1</v>
      </c>
      <c r="J977" s="1">
        <v>0.62784159266666661</v>
      </c>
      <c r="K977" s="1">
        <v>0.52246277500000005</v>
      </c>
      <c r="L977" s="1">
        <v>0.64036274199999998</v>
      </c>
      <c r="M977" s="3">
        <v>0.62317592099999997</v>
      </c>
      <c r="N977" s="1" t="s">
        <v>149</v>
      </c>
      <c r="O977" s="1">
        <v>1.201000834</v>
      </c>
      <c r="P977" s="1">
        <v>59.2</v>
      </c>
      <c r="Q977" s="1">
        <v>119.9</v>
      </c>
      <c r="R977" s="1">
        <v>0.59533381266666663</v>
      </c>
      <c r="S977" s="1">
        <v>7.1978463387792166E-2</v>
      </c>
      <c r="T977" t="s">
        <v>1132</v>
      </c>
      <c r="U977" s="1">
        <v>12492</v>
      </c>
      <c r="V977">
        <f t="shared" si="60"/>
        <v>0.45518133061757343</v>
      </c>
      <c r="W977" s="1">
        <f t="shared" si="61"/>
        <v>0.80000000000000426</v>
      </c>
      <c r="X977">
        <f t="shared" si="62"/>
        <v>0.1191755000000001</v>
      </c>
      <c r="Y977">
        <f t="shared" si="63"/>
        <v>7.1999999999999886</v>
      </c>
      <c r="Z977" s="1">
        <v>13</v>
      </c>
      <c r="AA977">
        <v>87</v>
      </c>
      <c r="AB977">
        <v>0.14940000000000001</v>
      </c>
      <c r="AC977">
        <v>15</v>
      </c>
      <c r="AD977">
        <v>89</v>
      </c>
      <c r="AE977">
        <v>0.16850000000000001</v>
      </c>
      <c r="AF977" t="s">
        <v>2589</v>
      </c>
      <c r="AG977" t="s">
        <v>2589</v>
      </c>
    </row>
    <row r="978" spans="1:33">
      <c r="A978" s="2" t="s">
        <v>117</v>
      </c>
      <c r="B978" s="2" t="s">
        <v>101</v>
      </c>
      <c r="C978" s="1">
        <v>0.52788907299999999</v>
      </c>
      <c r="D978">
        <v>0.665074418</v>
      </c>
      <c r="E978">
        <v>0.69056128699999997</v>
      </c>
      <c r="F978" s="1" t="s">
        <v>118</v>
      </c>
      <c r="G978" s="1">
        <v>1.0818253339999999</v>
      </c>
      <c r="H978" s="1">
        <v>58.4</v>
      </c>
      <c r="I978" s="1">
        <v>127.1</v>
      </c>
      <c r="J978" s="1">
        <v>0.62784159266666661</v>
      </c>
      <c r="K978" s="1">
        <v>0.57277697599999999</v>
      </c>
      <c r="L978" s="1">
        <v>0.64568820599999999</v>
      </c>
      <c r="M978" s="3">
        <v>0.70909993500000001</v>
      </c>
      <c r="N978" s="1" t="s">
        <v>102</v>
      </c>
      <c r="O978" s="1">
        <v>1.2818181820000001</v>
      </c>
      <c r="P978" s="1">
        <v>58</v>
      </c>
      <c r="Q978" s="1">
        <v>110</v>
      </c>
      <c r="R978" s="1">
        <v>0.64252170566666666</v>
      </c>
      <c r="S978" s="1">
        <v>5.2291782539078353E-2</v>
      </c>
      <c r="T978" t="s">
        <v>1124</v>
      </c>
      <c r="U978" s="1">
        <v>11102</v>
      </c>
      <c r="V978">
        <f t="shared" si="60"/>
        <v>0.44948902477731578</v>
      </c>
      <c r="W978" s="1">
        <f t="shared" si="61"/>
        <v>0.39999999999999858</v>
      </c>
      <c r="X978">
        <f t="shared" si="62"/>
        <v>0.19999284800000017</v>
      </c>
      <c r="Y978">
        <f t="shared" si="63"/>
        <v>17.099999999999994</v>
      </c>
      <c r="Z978" s="1">
        <v>6</v>
      </c>
      <c r="AA978">
        <v>94</v>
      </c>
      <c r="AB978">
        <v>6.3799999999999996E-2</v>
      </c>
      <c r="AC978">
        <v>8</v>
      </c>
      <c r="AD978">
        <v>94</v>
      </c>
      <c r="AE978">
        <v>8.5099999999999995E-2</v>
      </c>
      <c r="AF978" t="s">
        <v>2589</v>
      </c>
      <c r="AG978" t="s">
        <v>2589</v>
      </c>
    </row>
    <row r="979" spans="1:33">
      <c r="A979" s="2" t="s">
        <v>117</v>
      </c>
      <c r="B979" s="2" t="s">
        <v>103</v>
      </c>
      <c r="C979" s="1">
        <v>0.52788907299999999</v>
      </c>
      <c r="D979">
        <v>0.665074418</v>
      </c>
      <c r="E979">
        <v>0.69056128699999997</v>
      </c>
      <c r="F979" s="1" t="s">
        <v>118</v>
      </c>
      <c r="G979" s="1">
        <v>1.0818253339999999</v>
      </c>
      <c r="H979" s="1">
        <v>58.4</v>
      </c>
      <c r="I979" s="1">
        <v>127.1</v>
      </c>
      <c r="J979" s="1">
        <v>0.62784159266666661</v>
      </c>
      <c r="K979" s="1">
        <v>0.58538445800000005</v>
      </c>
      <c r="L979" s="1">
        <v>0.70461059999999998</v>
      </c>
      <c r="M979" s="3">
        <v>0.67846608399999997</v>
      </c>
      <c r="N979" s="1" t="s">
        <v>104</v>
      </c>
      <c r="O979" s="1">
        <v>1.1020080320000001</v>
      </c>
      <c r="P979" s="1">
        <v>58.7</v>
      </c>
      <c r="Q979" s="1">
        <v>124.5</v>
      </c>
      <c r="R979" s="1">
        <v>0.65615371400000011</v>
      </c>
      <c r="S979" s="1">
        <v>7.0817532568189373E-2</v>
      </c>
      <c r="T979" t="s">
        <v>1125</v>
      </c>
      <c r="U979" s="1">
        <v>12215</v>
      </c>
      <c r="V979">
        <f t="shared" si="60"/>
        <v>0.45409927458993948</v>
      </c>
      <c r="W979" s="1">
        <f t="shared" si="61"/>
        <v>0.30000000000000426</v>
      </c>
      <c r="X979">
        <f t="shared" si="62"/>
        <v>2.0182698000000165E-2</v>
      </c>
      <c r="Y979">
        <f t="shared" si="63"/>
        <v>2.5999999999999943</v>
      </c>
      <c r="Z979" s="1">
        <v>3</v>
      </c>
      <c r="AA979">
        <v>97</v>
      </c>
      <c r="AB979">
        <v>3.09E-2</v>
      </c>
      <c r="AC979">
        <v>3</v>
      </c>
      <c r="AD979">
        <v>100</v>
      </c>
      <c r="AE979">
        <v>0.03</v>
      </c>
      <c r="AF979" t="s">
        <v>2589</v>
      </c>
      <c r="AG979" t="s">
        <v>2589</v>
      </c>
    </row>
    <row r="980" spans="1:33">
      <c r="A980" s="2" t="s">
        <v>117</v>
      </c>
      <c r="B980" s="2" t="s">
        <v>105</v>
      </c>
      <c r="C980" s="1">
        <v>0.52788907299999999</v>
      </c>
      <c r="D980">
        <v>0.665074418</v>
      </c>
      <c r="E980">
        <v>0.69056128699999997</v>
      </c>
      <c r="F980" s="1" t="s">
        <v>118</v>
      </c>
      <c r="G980" s="1">
        <v>1.0818253339999999</v>
      </c>
      <c r="H980" s="1">
        <v>58.4</v>
      </c>
      <c r="I980" s="1">
        <v>127.1</v>
      </c>
      <c r="J980" s="1">
        <v>0.62784159266666661</v>
      </c>
      <c r="K980" s="1">
        <v>0.56210716000000005</v>
      </c>
      <c r="L980" s="1">
        <v>0.68032504299999996</v>
      </c>
      <c r="M980" s="3">
        <v>0.71115907899999997</v>
      </c>
      <c r="N980" s="1" t="s">
        <v>106</v>
      </c>
      <c r="O980" s="1">
        <v>1.0978593270000001</v>
      </c>
      <c r="P980" s="1">
        <v>43.5</v>
      </c>
      <c r="Q980" s="1">
        <v>98.1</v>
      </c>
      <c r="R980" s="1">
        <v>0.65119709399999992</v>
      </c>
      <c r="S980" s="1">
        <v>4.2751936518776096E-2</v>
      </c>
      <c r="T980" t="s">
        <v>1126</v>
      </c>
      <c r="U980" s="1">
        <v>12962</v>
      </c>
      <c r="V980">
        <f t="shared" si="60"/>
        <v>0.45696355745745915</v>
      </c>
      <c r="W980" s="1">
        <f t="shared" si="61"/>
        <v>14.899999999999999</v>
      </c>
      <c r="X980">
        <f t="shared" si="62"/>
        <v>1.6033993000000191E-2</v>
      </c>
      <c r="Y980">
        <f t="shared" si="63"/>
        <v>29</v>
      </c>
      <c r="Z980" s="1">
        <v>0</v>
      </c>
      <c r="AA980">
        <v>100</v>
      </c>
      <c r="AB980">
        <v>0</v>
      </c>
      <c r="AC980">
        <v>0</v>
      </c>
      <c r="AD980">
        <v>121</v>
      </c>
      <c r="AE980">
        <v>0</v>
      </c>
      <c r="AF980" t="s">
        <v>2589</v>
      </c>
      <c r="AG980" t="s">
        <v>2589</v>
      </c>
    </row>
    <row r="981" spans="1:33">
      <c r="A981" s="2" t="s">
        <v>117</v>
      </c>
      <c r="B981" s="2" t="s">
        <v>107</v>
      </c>
      <c r="C981" s="1">
        <v>0.52788907299999999</v>
      </c>
      <c r="D981">
        <v>0.665074418</v>
      </c>
      <c r="E981">
        <v>0.69056128699999997</v>
      </c>
      <c r="F981" s="1" t="s">
        <v>118</v>
      </c>
      <c r="G981" s="1">
        <v>1.0818253339999999</v>
      </c>
      <c r="H981" s="1">
        <v>58.4</v>
      </c>
      <c r="I981" s="1">
        <v>127.1</v>
      </c>
      <c r="J981" s="1">
        <v>0.62784159266666661</v>
      </c>
      <c r="K981" s="1">
        <v>0.61734740899999996</v>
      </c>
      <c r="L981" s="1">
        <v>0.68293216999999995</v>
      </c>
      <c r="M981" s="3">
        <v>0.69981194099999999</v>
      </c>
      <c r="N981" s="1" t="s">
        <v>108</v>
      </c>
      <c r="O981" s="1">
        <v>2</v>
      </c>
      <c r="P981" s="1">
        <v>19</v>
      </c>
      <c r="Q981" s="1">
        <v>21.1</v>
      </c>
      <c r="R981" s="1">
        <v>0.66669717333333323</v>
      </c>
      <c r="S981" s="1">
        <v>9.1691154348770787E-2</v>
      </c>
      <c r="T981" t="s">
        <v>1127</v>
      </c>
      <c r="U981" s="1">
        <v>3604</v>
      </c>
      <c r="V981">
        <f t="shared" si="60"/>
        <v>0.39519830914522502</v>
      </c>
      <c r="W981" s="1">
        <f t="shared" si="61"/>
        <v>39.4</v>
      </c>
      <c r="X981">
        <f t="shared" si="62"/>
        <v>0.91817466600000008</v>
      </c>
      <c r="Y981">
        <f t="shared" si="63"/>
        <v>106</v>
      </c>
      <c r="Z981" s="1">
        <v>0</v>
      </c>
      <c r="AA981">
        <v>100</v>
      </c>
      <c r="AB981">
        <v>0</v>
      </c>
      <c r="AC981">
        <v>1</v>
      </c>
      <c r="AD981">
        <v>96</v>
      </c>
      <c r="AE981">
        <v>1.04E-2</v>
      </c>
      <c r="AF981" t="s">
        <v>2589</v>
      </c>
      <c r="AG981" t="s">
        <v>2588</v>
      </c>
    </row>
    <row r="982" spans="1:33">
      <c r="A982" s="2" t="s">
        <v>117</v>
      </c>
      <c r="B982" s="2" t="s">
        <v>109</v>
      </c>
      <c r="C982" s="1">
        <v>0.52788907299999999</v>
      </c>
      <c r="D982">
        <v>0.665074418</v>
      </c>
      <c r="E982">
        <v>0.69056128699999997</v>
      </c>
      <c r="F982" s="1" t="s">
        <v>118</v>
      </c>
      <c r="G982" s="1">
        <v>1.0818253339999999</v>
      </c>
      <c r="H982" s="1">
        <v>58.4</v>
      </c>
      <c r="I982" s="1">
        <v>127.1</v>
      </c>
      <c r="J982" s="1">
        <v>0.62784159266666661</v>
      </c>
      <c r="K982" s="1">
        <v>0.51638908800000005</v>
      </c>
      <c r="L982" s="1">
        <v>0.68684605300000001</v>
      </c>
      <c r="M982" s="3">
        <v>0.66065444600000001</v>
      </c>
      <c r="N982" s="1" t="s">
        <v>110</v>
      </c>
      <c r="O982" s="1">
        <v>1.2897862229999999</v>
      </c>
      <c r="P982" s="1">
        <v>49.4</v>
      </c>
      <c r="Q982" s="1">
        <v>84.2</v>
      </c>
      <c r="R982" s="1">
        <v>0.62129652899999999</v>
      </c>
      <c r="S982" s="1">
        <v>3.8738519385396332E-2</v>
      </c>
      <c r="T982" t="s">
        <v>1128</v>
      </c>
      <c r="U982" s="1">
        <v>12728</v>
      </c>
      <c r="V982">
        <f t="shared" si="60"/>
        <v>0.45608446295983612</v>
      </c>
      <c r="W982" s="1">
        <f t="shared" si="61"/>
        <v>9</v>
      </c>
      <c r="X982">
        <f t="shared" si="62"/>
        <v>0.20796088899999998</v>
      </c>
      <c r="Y982">
        <f t="shared" si="63"/>
        <v>42.899999999999991</v>
      </c>
      <c r="Z982" s="1">
        <v>14</v>
      </c>
      <c r="AA982">
        <v>86</v>
      </c>
      <c r="AB982">
        <v>0.1628</v>
      </c>
      <c r="AC982">
        <v>19</v>
      </c>
      <c r="AD982">
        <v>99</v>
      </c>
      <c r="AE982">
        <v>0.19189999999999999</v>
      </c>
      <c r="AF982" t="s">
        <v>2589</v>
      </c>
      <c r="AG982" t="s">
        <v>2589</v>
      </c>
    </row>
    <row r="983" spans="1:33">
      <c r="A983" s="2" t="s">
        <v>117</v>
      </c>
      <c r="B983" s="2" t="s">
        <v>111</v>
      </c>
      <c r="C983" s="1">
        <v>0.52788907299999999</v>
      </c>
      <c r="D983">
        <v>0.665074418</v>
      </c>
      <c r="E983">
        <v>0.69056128699999997</v>
      </c>
      <c r="F983" s="1" t="s">
        <v>118</v>
      </c>
      <c r="G983" s="1">
        <v>1.0818253339999999</v>
      </c>
      <c r="H983" s="1">
        <v>58.4</v>
      </c>
      <c r="I983" s="1">
        <v>127.1</v>
      </c>
      <c r="J983" s="1">
        <v>0.62784159266666661</v>
      </c>
      <c r="K983" s="1">
        <v>0.60132418300000001</v>
      </c>
      <c r="L983" s="1">
        <v>0.67605095299999995</v>
      </c>
      <c r="M983" s="3">
        <v>0.74222981799999999</v>
      </c>
      <c r="N983" s="1" t="s">
        <v>112</v>
      </c>
      <c r="O983" s="1">
        <v>1.561403509</v>
      </c>
      <c r="P983" s="1">
        <v>30</v>
      </c>
      <c r="Q983" s="1">
        <v>45.6</v>
      </c>
      <c r="R983" s="1">
        <v>0.67320165133333332</v>
      </c>
      <c r="S983" s="1">
        <v>9.0459033805454114E-2</v>
      </c>
      <c r="T983" t="s">
        <v>1129</v>
      </c>
      <c r="U983" s="1">
        <v>1956</v>
      </c>
      <c r="V983">
        <f t="shared" si="60"/>
        <v>0.36570765005017586</v>
      </c>
      <c r="W983" s="1">
        <f t="shared" si="61"/>
        <v>28.4</v>
      </c>
      <c r="X983">
        <f t="shared" si="62"/>
        <v>0.47957817500000011</v>
      </c>
      <c r="Y983">
        <f t="shared" si="63"/>
        <v>81.5</v>
      </c>
      <c r="Z983" s="1">
        <v>1</v>
      </c>
      <c r="AA983">
        <v>99</v>
      </c>
      <c r="AB983">
        <v>1.01E-2</v>
      </c>
      <c r="AC983">
        <v>2</v>
      </c>
      <c r="AD983">
        <v>111</v>
      </c>
      <c r="AE983">
        <v>1.7999999999999999E-2</v>
      </c>
      <c r="AF983" t="s">
        <v>2589</v>
      </c>
      <c r="AG983" t="s">
        <v>2591</v>
      </c>
    </row>
    <row r="984" spans="1:33">
      <c r="A984" s="2" t="s">
        <v>117</v>
      </c>
      <c r="B984" s="2" t="s">
        <v>113</v>
      </c>
      <c r="C984" s="1">
        <v>0.52788907299999999</v>
      </c>
      <c r="D984">
        <v>0.665074418</v>
      </c>
      <c r="E984">
        <v>0.69056128699999997</v>
      </c>
      <c r="F984" s="1" t="s">
        <v>118</v>
      </c>
      <c r="G984" s="1">
        <v>1.0818253339999999</v>
      </c>
      <c r="H984" s="1">
        <v>58.4</v>
      </c>
      <c r="I984" s="1">
        <v>127.1</v>
      </c>
      <c r="J984" s="1">
        <v>0.62784159266666661</v>
      </c>
      <c r="K984" s="1">
        <v>0.57440698499999998</v>
      </c>
      <c r="L984" s="1">
        <v>0.66920790399999996</v>
      </c>
      <c r="M984" s="3">
        <v>0.71602402300000001</v>
      </c>
      <c r="N984" s="1" t="s">
        <v>114</v>
      </c>
      <c r="O984" s="1">
        <v>2.5573248409999998</v>
      </c>
      <c r="P984" s="1">
        <v>34.299999999999997</v>
      </c>
      <c r="Q984" s="1">
        <v>31.4</v>
      </c>
      <c r="R984" s="1">
        <v>0.65321297066666661</v>
      </c>
      <c r="S984" s="1">
        <v>5.3191660699376905E-2</v>
      </c>
      <c r="T984" t="s">
        <v>1130</v>
      </c>
      <c r="U984" s="1">
        <v>3514</v>
      </c>
      <c r="V984">
        <f t="shared" si="60"/>
        <v>0.39397797301769732</v>
      </c>
      <c r="W984" s="1">
        <f t="shared" si="61"/>
        <v>24.1</v>
      </c>
      <c r="X984">
        <f t="shared" si="62"/>
        <v>1.4754995069999999</v>
      </c>
      <c r="Y984">
        <f t="shared" si="63"/>
        <v>95.699999999999989</v>
      </c>
      <c r="Z984" s="1">
        <v>0</v>
      </c>
      <c r="AA984">
        <v>100</v>
      </c>
      <c r="AB984">
        <v>0</v>
      </c>
      <c r="AC984">
        <v>0</v>
      </c>
      <c r="AD984">
        <v>107</v>
      </c>
      <c r="AE984">
        <v>0</v>
      </c>
      <c r="AF984" t="s">
        <v>2589</v>
      </c>
      <c r="AG984" t="s">
        <v>2593</v>
      </c>
    </row>
    <row r="985" spans="1:33">
      <c r="A985" s="2" t="s">
        <v>117</v>
      </c>
      <c r="B985" s="2" t="s">
        <v>115</v>
      </c>
      <c r="C985" s="1">
        <v>0.52788907299999999</v>
      </c>
      <c r="D985">
        <v>0.665074418</v>
      </c>
      <c r="E985">
        <v>0.69056128699999997</v>
      </c>
      <c r="F985" s="1" t="s">
        <v>118</v>
      </c>
      <c r="G985" s="1">
        <v>1.0818253339999999</v>
      </c>
      <c r="H985" s="1">
        <v>58.4</v>
      </c>
      <c r="I985" s="1">
        <v>127.1</v>
      </c>
      <c r="J985" s="1">
        <v>0.62784159266666661</v>
      </c>
      <c r="K985" s="1">
        <v>0.55237211100000005</v>
      </c>
      <c r="L985" s="1">
        <v>0.65961031000000003</v>
      </c>
      <c r="M985" s="3">
        <v>0.69215541599999997</v>
      </c>
      <c r="N985" s="1" t="s">
        <v>116</v>
      </c>
      <c r="O985" s="1">
        <v>1.149700599</v>
      </c>
      <c r="P985" s="1">
        <v>66.900000000000006</v>
      </c>
      <c r="Q985" s="1">
        <v>133.6</v>
      </c>
      <c r="R985" s="1">
        <v>0.63471261233333331</v>
      </c>
      <c r="S985" s="1">
        <v>2.5135967719858172E-2</v>
      </c>
      <c r="T985" t="s">
        <v>1131</v>
      </c>
      <c r="U985" s="1">
        <v>19603</v>
      </c>
      <c r="V985">
        <f t="shared" si="60"/>
        <v>0.47692472665721286</v>
      </c>
      <c r="W985" s="1">
        <f t="shared" si="61"/>
        <v>8.5000000000000071</v>
      </c>
      <c r="X985">
        <f t="shared" si="62"/>
        <v>6.7875265000000073E-2</v>
      </c>
      <c r="Y985">
        <f t="shared" si="63"/>
        <v>6.5</v>
      </c>
      <c r="Z985" s="1">
        <v>9</v>
      </c>
      <c r="AA985">
        <v>91</v>
      </c>
      <c r="AB985">
        <v>9.8900000000000002E-2</v>
      </c>
      <c r="AC985">
        <v>11</v>
      </c>
      <c r="AD985">
        <v>101</v>
      </c>
      <c r="AE985">
        <v>0.1089</v>
      </c>
      <c r="AF985" t="s">
        <v>2589</v>
      </c>
      <c r="AG985" t="s">
        <v>2589</v>
      </c>
    </row>
    <row r="986" spans="1:33">
      <c r="A986" s="2" t="s">
        <v>115</v>
      </c>
      <c r="B986" s="2" t="s">
        <v>10</v>
      </c>
      <c r="C986" s="1">
        <v>0.55237211100000005</v>
      </c>
      <c r="D986">
        <v>0.65961031000000003</v>
      </c>
      <c r="E986">
        <v>0.69215541599999997</v>
      </c>
      <c r="F986" s="1" t="s">
        <v>116</v>
      </c>
      <c r="G986" s="1">
        <v>1.149700599</v>
      </c>
      <c r="H986" s="1">
        <v>66.900000000000006</v>
      </c>
      <c r="I986" s="1">
        <v>133.6</v>
      </c>
      <c r="J986" s="1">
        <v>0.63471261233333331</v>
      </c>
      <c r="K986" s="1">
        <v>0.52456325500000001</v>
      </c>
      <c r="L986" s="1">
        <v>0.61925627999999999</v>
      </c>
      <c r="M986" s="3">
        <v>0.72111139899999999</v>
      </c>
      <c r="N986" s="1" t="s">
        <v>12</v>
      </c>
      <c r="O986" s="1">
        <v>0.61690647499999995</v>
      </c>
      <c r="P986" s="1">
        <v>30</v>
      </c>
      <c r="Q986" s="1">
        <v>111.2</v>
      </c>
      <c r="R986" s="1">
        <v>0.62164364466666666</v>
      </c>
      <c r="S986" s="1">
        <v>5.6923010819579213E-2</v>
      </c>
      <c r="T986" t="s">
        <v>1133</v>
      </c>
      <c r="U986" s="1">
        <v>1000</v>
      </c>
      <c r="V986">
        <f t="shared" si="60"/>
        <v>0.33333333333333331</v>
      </c>
      <c r="W986" s="1">
        <f t="shared" si="61"/>
        <v>36.900000000000006</v>
      </c>
      <c r="X986">
        <f t="shared" si="62"/>
        <v>0.53279412400000004</v>
      </c>
      <c r="Y986">
        <f t="shared" si="63"/>
        <v>22.399999999999991</v>
      </c>
      <c r="Z986" s="1">
        <v>4</v>
      </c>
      <c r="AA986">
        <v>96</v>
      </c>
      <c r="AB986">
        <v>4.1700000000000001E-2</v>
      </c>
      <c r="AC986">
        <v>5</v>
      </c>
      <c r="AD986">
        <v>152</v>
      </c>
      <c r="AE986">
        <v>3.2899999999999999E-2</v>
      </c>
      <c r="AF986" t="s">
        <v>2589</v>
      </c>
      <c r="AG986" t="s">
        <v>2588</v>
      </c>
    </row>
    <row r="987" spans="1:33">
      <c r="A987" s="2" t="s">
        <v>115</v>
      </c>
      <c r="B987" s="2" t="s">
        <v>13</v>
      </c>
      <c r="C987" s="1">
        <v>0.55237211100000005</v>
      </c>
      <c r="D987">
        <v>0.65961031000000003</v>
      </c>
      <c r="E987">
        <v>0.69215541599999997</v>
      </c>
      <c r="F987" s="1" t="s">
        <v>116</v>
      </c>
      <c r="G987" s="1">
        <v>1.149700599</v>
      </c>
      <c r="H987" s="1">
        <v>66.900000000000006</v>
      </c>
      <c r="I987" s="1">
        <v>133.6</v>
      </c>
      <c r="J987" s="1">
        <v>0.63471261233333331</v>
      </c>
      <c r="K987" s="1">
        <v>0.48695497399999998</v>
      </c>
      <c r="L987" s="1">
        <v>0.54991327199999995</v>
      </c>
      <c r="M987" s="3">
        <v>0.67282609299999996</v>
      </c>
      <c r="N987" s="1" t="s">
        <v>14</v>
      </c>
      <c r="O987" s="1">
        <v>1.6052009460000001</v>
      </c>
      <c r="P987" s="1">
        <v>26.6</v>
      </c>
      <c r="Q987" s="1">
        <v>42.3</v>
      </c>
      <c r="R987" s="1">
        <v>0.56989811299999993</v>
      </c>
      <c r="S987" s="1">
        <v>0.12917609951879089</v>
      </c>
      <c r="T987" t="s">
        <v>1134</v>
      </c>
      <c r="U987" s="1">
        <v>1056</v>
      </c>
      <c r="V987">
        <f t="shared" si="60"/>
        <v>0.33596265757753258</v>
      </c>
      <c r="W987" s="1">
        <f t="shared" si="61"/>
        <v>40.300000000000004</v>
      </c>
      <c r="X987">
        <f t="shared" si="62"/>
        <v>0.45550034700000008</v>
      </c>
      <c r="Y987">
        <f t="shared" si="63"/>
        <v>91.3</v>
      </c>
      <c r="Z987" s="1">
        <v>1</v>
      </c>
      <c r="AA987">
        <v>99</v>
      </c>
      <c r="AB987">
        <v>1.01E-2</v>
      </c>
      <c r="AC987">
        <v>2</v>
      </c>
      <c r="AD987">
        <v>102</v>
      </c>
      <c r="AE987">
        <v>1.9599999999999999E-2</v>
      </c>
      <c r="AF987" t="s">
        <v>2589</v>
      </c>
      <c r="AG987" t="s">
        <v>2590</v>
      </c>
    </row>
    <row r="988" spans="1:33">
      <c r="A988" s="2" t="s">
        <v>115</v>
      </c>
      <c r="B988" s="2" t="s">
        <v>15</v>
      </c>
      <c r="C988" s="1">
        <v>0.55237211100000005</v>
      </c>
      <c r="D988">
        <v>0.65961031000000003</v>
      </c>
      <c r="E988">
        <v>0.69215541599999997</v>
      </c>
      <c r="F988" s="1" t="s">
        <v>116</v>
      </c>
      <c r="G988" s="1">
        <v>1.149700599</v>
      </c>
      <c r="H988" s="1">
        <v>66.900000000000006</v>
      </c>
      <c r="I988" s="1">
        <v>133.6</v>
      </c>
      <c r="J988" s="1">
        <v>0.63471261233333331</v>
      </c>
      <c r="K988" s="1">
        <v>0.54560998800000005</v>
      </c>
      <c r="L988" s="1">
        <v>0.66721428400000005</v>
      </c>
      <c r="M988" s="3">
        <v>0.72650398400000005</v>
      </c>
      <c r="N988" s="1" t="s">
        <v>16</v>
      </c>
      <c r="O988" s="1">
        <v>5.1392405060000002</v>
      </c>
      <c r="P988" s="1">
        <v>35.9</v>
      </c>
      <c r="Q988" s="1">
        <v>15.8</v>
      </c>
      <c r="R988" s="1">
        <v>0.64644275200000012</v>
      </c>
      <c r="S988" s="1">
        <v>3.5824165750376308E-2</v>
      </c>
      <c r="T988" t="s">
        <v>1135</v>
      </c>
      <c r="U988" s="1">
        <v>485</v>
      </c>
      <c r="V988">
        <f t="shared" si="60"/>
        <v>0.29841574873358484</v>
      </c>
      <c r="W988" s="1">
        <f t="shared" si="61"/>
        <v>31.000000000000007</v>
      </c>
      <c r="X988">
        <f t="shared" si="62"/>
        <v>3.9895399070000002</v>
      </c>
      <c r="Y988">
        <f t="shared" si="63"/>
        <v>117.8</v>
      </c>
      <c r="Z988" s="1">
        <v>0</v>
      </c>
      <c r="AA988">
        <v>100</v>
      </c>
      <c r="AB988">
        <v>0</v>
      </c>
      <c r="AC988">
        <v>0</v>
      </c>
      <c r="AD988">
        <v>100</v>
      </c>
      <c r="AE988">
        <v>0</v>
      </c>
      <c r="AF988" t="s">
        <v>2589</v>
      </c>
      <c r="AG988" t="s">
        <v>2591</v>
      </c>
    </row>
    <row r="989" spans="1:33">
      <c r="A989" s="2" t="s">
        <v>115</v>
      </c>
      <c r="B989" s="2" t="s">
        <v>17</v>
      </c>
      <c r="C989" s="1">
        <v>0.55237211100000005</v>
      </c>
      <c r="D989">
        <v>0.65961031000000003</v>
      </c>
      <c r="E989">
        <v>0.69215541599999997</v>
      </c>
      <c r="F989" s="1" t="s">
        <v>116</v>
      </c>
      <c r="G989" s="1">
        <v>1.149700599</v>
      </c>
      <c r="H989" s="1">
        <v>66.900000000000006</v>
      </c>
      <c r="I989" s="1">
        <v>133.6</v>
      </c>
      <c r="J989" s="1">
        <v>0.63471261233333331</v>
      </c>
      <c r="K989" s="1">
        <v>0.659112378</v>
      </c>
      <c r="L989" s="1">
        <v>0.68333493499999998</v>
      </c>
      <c r="M989" s="3">
        <v>0.70345495199999997</v>
      </c>
      <c r="N989" s="1" t="s">
        <v>18</v>
      </c>
      <c r="O989" s="1">
        <v>1.9463955639999999</v>
      </c>
      <c r="P989" s="1">
        <v>46.3</v>
      </c>
      <c r="Q989" s="1">
        <v>54.1</v>
      </c>
      <c r="R989" s="1">
        <v>0.68196742166666668</v>
      </c>
      <c r="S989" s="1">
        <v>0.10992734848270104</v>
      </c>
      <c r="T989" t="s">
        <v>1136</v>
      </c>
      <c r="U989" s="1">
        <v>1496</v>
      </c>
      <c r="V989">
        <f t="shared" si="60"/>
        <v>0.35277017705871583</v>
      </c>
      <c r="W989" s="1">
        <f t="shared" si="61"/>
        <v>20.600000000000009</v>
      </c>
      <c r="X989">
        <f t="shared" si="62"/>
        <v>0.79669496499999992</v>
      </c>
      <c r="Y989">
        <f t="shared" si="63"/>
        <v>79.5</v>
      </c>
      <c r="Z989" s="1">
        <v>0</v>
      </c>
      <c r="AA989">
        <v>100</v>
      </c>
      <c r="AB989">
        <v>0</v>
      </c>
      <c r="AC989">
        <v>0</v>
      </c>
      <c r="AD989">
        <v>114</v>
      </c>
      <c r="AE989">
        <v>0</v>
      </c>
      <c r="AF989" t="s">
        <v>2589</v>
      </c>
      <c r="AG989" t="s">
        <v>2591</v>
      </c>
    </row>
    <row r="990" spans="1:33">
      <c r="A990" s="2" t="s">
        <v>115</v>
      </c>
      <c r="B990" s="2" t="s">
        <v>19</v>
      </c>
      <c r="C990" s="1">
        <v>0.55237211100000005</v>
      </c>
      <c r="D990">
        <v>0.65961031000000003</v>
      </c>
      <c r="E990">
        <v>0.69215541599999997</v>
      </c>
      <c r="F990" s="1" t="s">
        <v>116</v>
      </c>
      <c r="G990" s="1">
        <v>1.149700599</v>
      </c>
      <c r="H990" s="1">
        <v>66.900000000000006</v>
      </c>
      <c r="I990" s="1">
        <v>133.6</v>
      </c>
      <c r="J990" s="1">
        <v>0.63471261233333331</v>
      </c>
      <c r="K990" s="1">
        <v>0.49391595300000002</v>
      </c>
      <c r="L990" s="1">
        <v>0.603599314</v>
      </c>
      <c r="M990" s="3">
        <v>0.63481471599999995</v>
      </c>
      <c r="N990" s="1" t="s">
        <v>20</v>
      </c>
      <c r="O990" s="1">
        <v>1.2140902870000001</v>
      </c>
      <c r="P990" s="1">
        <v>64.900000000000006</v>
      </c>
      <c r="Q990" s="1">
        <v>146.19999999999999</v>
      </c>
      <c r="R990" s="1">
        <v>0.57744332766666662</v>
      </c>
      <c r="S990" s="1">
        <v>9.9208416767545438E-2</v>
      </c>
      <c r="T990" t="s">
        <v>1137</v>
      </c>
      <c r="U990" s="1">
        <v>3804</v>
      </c>
      <c r="V990">
        <f t="shared" si="60"/>
        <v>0.39780450091837516</v>
      </c>
      <c r="W990" s="1">
        <f t="shared" si="61"/>
        <v>2</v>
      </c>
      <c r="X990">
        <f t="shared" si="62"/>
        <v>6.4389688000000112E-2</v>
      </c>
      <c r="Y990">
        <f t="shared" si="63"/>
        <v>12.599999999999994</v>
      </c>
      <c r="Z990" s="1">
        <v>7</v>
      </c>
      <c r="AA990">
        <v>93</v>
      </c>
      <c r="AB990">
        <v>7.5300000000000006E-2</v>
      </c>
      <c r="AC990">
        <v>9</v>
      </c>
      <c r="AD990">
        <v>85</v>
      </c>
      <c r="AE990">
        <v>0.10589999999999999</v>
      </c>
      <c r="AF990" t="s">
        <v>2589</v>
      </c>
      <c r="AG990" t="s">
        <v>2593</v>
      </c>
    </row>
    <row r="991" spans="1:33">
      <c r="A991" s="2" t="s">
        <v>115</v>
      </c>
      <c r="B991" s="2" t="s">
        <v>21</v>
      </c>
      <c r="C991" s="1">
        <v>0.55237211100000005</v>
      </c>
      <c r="D991">
        <v>0.65961031000000003</v>
      </c>
      <c r="E991">
        <v>0.69215541599999997</v>
      </c>
      <c r="F991" s="1" t="s">
        <v>116</v>
      </c>
      <c r="G991" s="1">
        <v>1.149700599</v>
      </c>
      <c r="H991" s="1">
        <v>66.900000000000006</v>
      </c>
      <c r="I991" s="1">
        <v>133.6</v>
      </c>
      <c r="J991" s="1">
        <v>0.63471261233333331</v>
      </c>
      <c r="K991" s="1">
        <v>0.53276376800000003</v>
      </c>
      <c r="L991" s="1">
        <v>0.65428149899999999</v>
      </c>
      <c r="M991" s="3">
        <v>0.70160154799999996</v>
      </c>
      <c r="N991" s="1" t="s">
        <v>22</v>
      </c>
      <c r="O991" s="1">
        <v>1.2440604749999999</v>
      </c>
      <c r="P991" s="1">
        <v>24.6</v>
      </c>
      <c r="Q991" s="1">
        <v>46.3</v>
      </c>
      <c r="R991" s="1">
        <v>0.62954893833333336</v>
      </c>
      <c r="S991" s="1">
        <v>2.240787253714184E-2</v>
      </c>
      <c r="T991" t="s">
        <v>1138</v>
      </c>
      <c r="U991" s="1">
        <v>15760</v>
      </c>
      <c r="V991">
        <f t="shared" si="60"/>
        <v>0.46639513479483735</v>
      </c>
      <c r="W991" s="1">
        <f t="shared" si="61"/>
        <v>42.300000000000004</v>
      </c>
      <c r="X991">
        <f t="shared" si="62"/>
        <v>9.4359875999999954E-2</v>
      </c>
      <c r="Y991">
        <f t="shared" si="63"/>
        <v>87.3</v>
      </c>
      <c r="Z991" s="1">
        <v>1</v>
      </c>
      <c r="AA991">
        <v>99</v>
      </c>
      <c r="AB991">
        <v>1.01E-2</v>
      </c>
      <c r="AC991">
        <v>2</v>
      </c>
      <c r="AD991">
        <v>98</v>
      </c>
      <c r="AE991">
        <v>2.0400000000000001E-2</v>
      </c>
      <c r="AF991" t="s">
        <v>2589</v>
      </c>
      <c r="AG991" t="s">
        <v>2589</v>
      </c>
    </row>
    <row r="992" spans="1:33">
      <c r="A992" s="2" t="s">
        <v>115</v>
      </c>
      <c r="B992" s="2" t="s">
        <v>23</v>
      </c>
      <c r="C992" s="1">
        <v>0.55237211100000005</v>
      </c>
      <c r="D992">
        <v>0.65961031000000003</v>
      </c>
      <c r="E992">
        <v>0.69215541599999997</v>
      </c>
      <c r="F992" s="1" t="s">
        <v>116</v>
      </c>
      <c r="G992" s="1">
        <v>1.149700599</v>
      </c>
      <c r="H992" s="1">
        <v>66.900000000000006</v>
      </c>
      <c r="I992" s="1">
        <v>133.6</v>
      </c>
      <c r="J992" s="1">
        <v>0.63471261233333331</v>
      </c>
      <c r="K992" s="1">
        <v>0.49415677200000002</v>
      </c>
      <c r="L992" s="1">
        <v>0.62090818999999997</v>
      </c>
      <c r="M992" s="3">
        <v>0.63381026900000004</v>
      </c>
      <c r="N992" s="1" t="s">
        <v>24</v>
      </c>
      <c r="O992" s="1">
        <v>1.141304348</v>
      </c>
      <c r="P992" s="1">
        <v>44.4</v>
      </c>
      <c r="Q992" s="1">
        <v>101.2</v>
      </c>
      <c r="R992" s="1">
        <v>0.58295841033333329</v>
      </c>
      <c r="S992" s="1">
        <v>9.1055125972297299E-2</v>
      </c>
      <c r="T992" t="s">
        <v>1139</v>
      </c>
      <c r="U992" s="1">
        <v>1043</v>
      </c>
      <c r="V992">
        <f t="shared" si="60"/>
        <v>0.33536492315850341</v>
      </c>
      <c r="W992" s="1">
        <f t="shared" si="61"/>
        <v>22.500000000000007</v>
      </c>
      <c r="X992">
        <f t="shared" si="62"/>
        <v>8.3962509999999657E-3</v>
      </c>
      <c r="Y992">
        <f t="shared" si="63"/>
        <v>32.399999999999991</v>
      </c>
      <c r="Z992" s="1">
        <v>3</v>
      </c>
      <c r="AA992">
        <v>97</v>
      </c>
      <c r="AB992">
        <v>3.09E-2</v>
      </c>
      <c r="AC992">
        <v>5</v>
      </c>
      <c r="AD992">
        <v>91</v>
      </c>
      <c r="AE992">
        <v>5.4899999999999997E-2</v>
      </c>
      <c r="AF992" t="s">
        <v>2589</v>
      </c>
      <c r="AG992" t="s">
        <v>2590</v>
      </c>
    </row>
    <row r="993" spans="1:33">
      <c r="A993" s="2" t="s">
        <v>115</v>
      </c>
      <c r="B993" s="2" t="s">
        <v>25</v>
      </c>
      <c r="C993" s="1">
        <v>0.55237211100000005</v>
      </c>
      <c r="D993">
        <v>0.65961031000000003</v>
      </c>
      <c r="E993">
        <v>0.69215541599999997</v>
      </c>
      <c r="F993" s="1" t="s">
        <v>116</v>
      </c>
      <c r="G993" s="1">
        <v>1.149700599</v>
      </c>
      <c r="H993" s="1">
        <v>66.900000000000006</v>
      </c>
      <c r="I993" s="1">
        <v>133.6</v>
      </c>
      <c r="J993" s="1">
        <v>0.63471261233333331</v>
      </c>
      <c r="K993" s="1">
        <v>0.53959274199999996</v>
      </c>
      <c r="L993" s="1">
        <v>0.64971567399999997</v>
      </c>
      <c r="M993" s="3">
        <v>0.65028459999999999</v>
      </c>
      <c r="N993" s="1" t="s">
        <v>26</v>
      </c>
      <c r="O993" s="1">
        <v>1.623046875</v>
      </c>
      <c r="P993" s="1">
        <v>34.700000000000003</v>
      </c>
      <c r="Q993" s="1">
        <v>51.2</v>
      </c>
      <c r="R993" s="1">
        <v>0.61319767199999997</v>
      </c>
      <c r="S993" s="1">
        <v>4.4881859655282942E-2</v>
      </c>
      <c r="T993" t="s">
        <v>1140</v>
      </c>
      <c r="U993" s="1">
        <v>5942</v>
      </c>
      <c r="V993">
        <f t="shared" si="60"/>
        <v>0.41932584971862724</v>
      </c>
      <c r="W993" s="1">
        <f t="shared" si="61"/>
        <v>32.200000000000003</v>
      </c>
      <c r="X993">
        <f t="shared" si="62"/>
        <v>0.47334627600000001</v>
      </c>
      <c r="Y993">
        <f t="shared" si="63"/>
        <v>82.399999999999991</v>
      </c>
      <c r="Z993" s="1">
        <v>0</v>
      </c>
      <c r="AA993">
        <v>100</v>
      </c>
      <c r="AB993">
        <v>0</v>
      </c>
      <c r="AC993">
        <v>0</v>
      </c>
      <c r="AD993">
        <v>98</v>
      </c>
      <c r="AE993">
        <v>0</v>
      </c>
      <c r="AF993" t="s">
        <v>2589</v>
      </c>
      <c r="AG993" t="s">
        <v>2594</v>
      </c>
    </row>
    <row r="994" spans="1:33">
      <c r="A994" s="2" t="s">
        <v>115</v>
      </c>
      <c r="B994" s="2" t="s">
        <v>27</v>
      </c>
      <c r="C994" s="1">
        <v>0.55237211100000005</v>
      </c>
      <c r="D994">
        <v>0.65961031000000003</v>
      </c>
      <c r="E994">
        <v>0.69215541599999997</v>
      </c>
      <c r="F994" s="1" t="s">
        <v>116</v>
      </c>
      <c r="G994" s="1">
        <v>1.149700599</v>
      </c>
      <c r="H994" s="1">
        <v>66.900000000000006</v>
      </c>
      <c r="I994" s="1">
        <v>133.6</v>
      </c>
      <c r="J994" s="1">
        <v>0.63471261233333331</v>
      </c>
      <c r="K994" s="1">
        <v>0.518608662</v>
      </c>
      <c r="L994" s="1">
        <v>0.64320369700000002</v>
      </c>
      <c r="M994" s="3">
        <v>0.62228994199999998</v>
      </c>
      <c r="N994" s="1" t="s">
        <v>28</v>
      </c>
      <c r="O994" s="1">
        <v>1.8717391299999999</v>
      </c>
      <c r="P994" s="1">
        <v>33.700000000000003</v>
      </c>
      <c r="Q994" s="1">
        <v>46</v>
      </c>
      <c r="R994" s="1">
        <v>0.59470076699999996</v>
      </c>
      <c r="S994" s="1">
        <v>7.931161261601008E-2</v>
      </c>
      <c r="T994" t="s">
        <v>1141</v>
      </c>
      <c r="U994" s="1">
        <v>3222</v>
      </c>
      <c r="V994">
        <f t="shared" si="60"/>
        <v>0.38979172623146657</v>
      </c>
      <c r="W994" s="1">
        <f t="shared" si="61"/>
        <v>33.200000000000003</v>
      </c>
      <c r="X994">
        <f t="shared" si="62"/>
        <v>0.72203853099999993</v>
      </c>
      <c r="Y994">
        <f t="shared" si="63"/>
        <v>87.6</v>
      </c>
      <c r="Z994" s="1">
        <v>2</v>
      </c>
      <c r="AA994">
        <v>98</v>
      </c>
      <c r="AB994">
        <v>2.0400000000000001E-2</v>
      </c>
      <c r="AC994">
        <v>3</v>
      </c>
      <c r="AD994">
        <v>102</v>
      </c>
      <c r="AE994">
        <v>2.9399999999999999E-2</v>
      </c>
      <c r="AF994" t="s">
        <v>2589</v>
      </c>
      <c r="AG994" t="s">
        <v>2590</v>
      </c>
    </row>
    <row r="995" spans="1:33">
      <c r="A995" s="2" t="s">
        <v>115</v>
      </c>
      <c r="B995" s="2" t="s">
        <v>29</v>
      </c>
      <c r="C995" s="1">
        <v>0.55237211100000005</v>
      </c>
      <c r="D995">
        <v>0.65961031000000003</v>
      </c>
      <c r="E995">
        <v>0.69215541599999997</v>
      </c>
      <c r="F995" s="1" t="s">
        <v>116</v>
      </c>
      <c r="G995" s="1">
        <v>1.149700599</v>
      </c>
      <c r="H995" s="1">
        <v>66.900000000000006</v>
      </c>
      <c r="I995" s="1">
        <v>133.6</v>
      </c>
      <c r="J995" s="1">
        <v>0.63471261233333331</v>
      </c>
      <c r="K995" s="1">
        <v>0.59351545100000003</v>
      </c>
      <c r="L995" s="1">
        <v>0.68136602400000001</v>
      </c>
      <c r="M995" s="3">
        <v>0.73518087600000004</v>
      </c>
      <c r="N995" s="1" t="s">
        <v>30</v>
      </c>
      <c r="O995" s="1">
        <v>2.849112426</v>
      </c>
      <c r="P995" s="1">
        <v>37.9</v>
      </c>
      <c r="Q995" s="1">
        <v>33.799999999999997</v>
      </c>
      <c r="R995" s="1">
        <v>0.67002078366666673</v>
      </c>
      <c r="S995" s="1">
        <v>6.3381982662401776E-2</v>
      </c>
      <c r="T995" t="s">
        <v>1142</v>
      </c>
      <c r="U995" s="1">
        <v>316</v>
      </c>
      <c r="V995">
        <f t="shared" si="60"/>
        <v>0.27774300917982264</v>
      </c>
      <c r="W995" s="1">
        <f t="shared" si="61"/>
        <v>29.000000000000007</v>
      </c>
      <c r="X995">
        <f t="shared" si="62"/>
        <v>1.699411827</v>
      </c>
      <c r="Y995">
        <f t="shared" si="63"/>
        <v>99.8</v>
      </c>
      <c r="Z995" s="1">
        <v>0</v>
      </c>
      <c r="AA995">
        <v>100</v>
      </c>
      <c r="AB995">
        <v>0</v>
      </c>
      <c r="AC995">
        <v>0</v>
      </c>
      <c r="AD995">
        <v>94</v>
      </c>
      <c r="AE995">
        <v>0</v>
      </c>
      <c r="AF995" t="s">
        <v>2589</v>
      </c>
      <c r="AG995" t="s">
        <v>2593</v>
      </c>
    </row>
    <row r="996" spans="1:33">
      <c r="A996" s="2" t="s">
        <v>115</v>
      </c>
      <c r="B996" s="2" t="s">
        <v>31</v>
      </c>
      <c r="C996" s="1">
        <v>0.55237211100000005</v>
      </c>
      <c r="D996">
        <v>0.65961031000000003</v>
      </c>
      <c r="E996">
        <v>0.69215541599999997</v>
      </c>
      <c r="F996" s="1" t="s">
        <v>116</v>
      </c>
      <c r="G996" s="1">
        <v>1.149700599</v>
      </c>
      <c r="H996" s="1">
        <v>66.900000000000006</v>
      </c>
      <c r="I996" s="1">
        <v>133.6</v>
      </c>
      <c r="J996" s="1">
        <v>0.63471261233333331</v>
      </c>
      <c r="K996" s="1">
        <v>0.47727961800000002</v>
      </c>
      <c r="L996" s="1">
        <v>0.66941086400000005</v>
      </c>
      <c r="M996" s="3">
        <v>0.69294815300000001</v>
      </c>
      <c r="N996" s="1" t="s">
        <v>32</v>
      </c>
      <c r="O996" s="1">
        <v>1.341891892</v>
      </c>
      <c r="P996" s="1">
        <v>42.1</v>
      </c>
      <c r="Q996" s="1">
        <v>74</v>
      </c>
      <c r="R996" s="1">
        <v>0.61321287833333338</v>
      </c>
      <c r="S996" s="1">
        <v>7.5733491901622638E-2</v>
      </c>
      <c r="T996" t="s">
        <v>1143</v>
      </c>
      <c r="U996" s="1">
        <v>9960</v>
      </c>
      <c r="V996">
        <f t="shared" si="60"/>
        <v>0.44425103760263318</v>
      </c>
      <c r="W996" s="1">
        <f t="shared" si="61"/>
        <v>24.800000000000004</v>
      </c>
      <c r="X996">
        <f t="shared" si="62"/>
        <v>0.19219129300000004</v>
      </c>
      <c r="Y996">
        <f t="shared" si="63"/>
        <v>59.599999999999994</v>
      </c>
      <c r="Z996" s="1">
        <v>9</v>
      </c>
      <c r="AA996">
        <v>91</v>
      </c>
      <c r="AB996">
        <v>9.8900000000000002E-2</v>
      </c>
      <c r="AC996">
        <v>11</v>
      </c>
      <c r="AD996">
        <v>91</v>
      </c>
      <c r="AE996">
        <v>0.12089999999999999</v>
      </c>
      <c r="AF996" t="s">
        <v>2589</v>
      </c>
      <c r="AG996" t="s">
        <v>2589</v>
      </c>
    </row>
    <row r="997" spans="1:33">
      <c r="A997" s="2" t="s">
        <v>115</v>
      </c>
      <c r="B997" s="2" t="s">
        <v>33</v>
      </c>
      <c r="C997" s="1">
        <v>0.55237211100000005</v>
      </c>
      <c r="D997">
        <v>0.65961031000000003</v>
      </c>
      <c r="E997">
        <v>0.69215541599999997</v>
      </c>
      <c r="F997" s="1" t="s">
        <v>116</v>
      </c>
      <c r="G997" s="1">
        <v>1.149700599</v>
      </c>
      <c r="H997" s="1">
        <v>66.900000000000006</v>
      </c>
      <c r="I997" s="1">
        <v>133.6</v>
      </c>
      <c r="J997" s="1">
        <v>0.63471261233333331</v>
      </c>
      <c r="K997" s="1">
        <v>0.51347926600000005</v>
      </c>
      <c r="L997" s="1">
        <v>0.63144379399999995</v>
      </c>
      <c r="M997" s="3">
        <v>0.64189093500000005</v>
      </c>
      <c r="N997" s="1" t="s">
        <v>34</v>
      </c>
      <c r="O997" s="1">
        <v>2.3123667380000001</v>
      </c>
      <c r="P997" s="1">
        <v>79.099999999999994</v>
      </c>
      <c r="Q997" s="1">
        <v>93.8</v>
      </c>
      <c r="R997" s="1">
        <v>0.59560466500000009</v>
      </c>
      <c r="S997" s="1">
        <v>6.95163582617188E-2</v>
      </c>
      <c r="T997" t="s">
        <v>1144</v>
      </c>
      <c r="U997" s="1">
        <v>6663</v>
      </c>
      <c r="V997">
        <f t="shared" si="60"/>
        <v>0.42485220147423741</v>
      </c>
      <c r="W997" s="1">
        <f t="shared" si="61"/>
        <v>12.199999999999989</v>
      </c>
      <c r="X997">
        <f t="shared" si="62"/>
        <v>1.1626661390000002</v>
      </c>
      <c r="Y997">
        <f t="shared" si="63"/>
        <v>39.799999999999997</v>
      </c>
      <c r="Z997" s="1">
        <v>6</v>
      </c>
      <c r="AA997">
        <v>94</v>
      </c>
      <c r="AB997">
        <v>6.3799999999999996E-2</v>
      </c>
      <c r="AC997">
        <v>7</v>
      </c>
      <c r="AD997">
        <v>89</v>
      </c>
      <c r="AE997">
        <v>7.8700000000000006E-2</v>
      </c>
      <c r="AF997" t="s">
        <v>2589</v>
      </c>
      <c r="AG997" t="s">
        <v>2590</v>
      </c>
    </row>
    <row r="998" spans="1:33">
      <c r="A998" s="2" t="s">
        <v>115</v>
      </c>
      <c r="B998" s="2" t="s">
        <v>35</v>
      </c>
      <c r="C998" s="1">
        <v>0.55237211100000005</v>
      </c>
      <c r="D998">
        <v>0.65961031000000003</v>
      </c>
      <c r="E998">
        <v>0.69215541599999997</v>
      </c>
      <c r="F998" s="1" t="s">
        <v>116</v>
      </c>
      <c r="G998" s="1">
        <v>1.149700599</v>
      </c>
      <c r="H998" s="1">
        <v>66.900000000000006</v>
      </c>
      <c r="I998" s="1">
        <v>133.6</v>
      </c>
      <c r="J998" s="1">
        <v>0.63471261233333331</v>
      </c>
      <c r="K998" s="1">
        <v>0.52542897600000005</v>
      </c>
      <c r="L998" s="1">
        <v>0.60774736299999998</v>
      </c>
      <c r="M998" s="3">
        <v>0.62585751700000003</v>
      </c>
      <c r="N998" s="1" t="s">
        <v>36</v>
      </c>
      <c r="O998" s="1">
        <v>0.98848810399999998</v>
      </c>
      <c r="P998" s="1">
        <v>54.2</v>
      </c>
      <c r="Q998" s="1">
        <v>130.30000000000001</v>
      </c>
      <c r="R998" s="1">
        <v>0.58634461866666665</v>
      </c>
      <c r="S998" s="1">
        <v>8.8380479784663041E-2</v>
      </c>
      <c r="T998" t="s">
        <v>1145</v>
      </c>
      <c r="U998" s="1">
        <v>89116</v>
      </c>
      <c r="V998">
        <f t="shared" si="60"/>
        <v>0.54999507609124376</v>
      </c>
      <c r="W998" s="1">
        <f t="shared" si="61"/>
        <v>12.700000000000003</v>
      </c>
      <c r="X998">
        <f t="shared" si="62"/>
        <v>0.16121249500000001</v>
      </c>
      <c r="Y998">
        <f t="shared" si="63"/>
        <v>3.2999999999999829</v>
      </c>
      <c r="Z998" s="1">
        <v>10</v>
      </c>
      <c r="AA998">
        <v>90</v>
      </c>
      <c r="AB998">
        <v>0.1111</v>
      </c>
      <c r="AC998">
        <v>12</v>
      </c>
      <c r="AD998">
        <v>83</v>
      </c>
      <c r="AE998">
        <v>0.14460000000000001</v>
      </c>
      <c r="AF998" t="s">
        <v>2589</v>
      </c>
      <c r="AG998" t="s">
        <v>2589</v>
      </c>
    </row>
    <row r="999" spans="1:33">
      <c r="A999" s="2" t="s">
        <v>115</v>
      </c>
      <c r="B999" s="2" t="s">
        <v>37</v>
      </c>
      <c r="C999" s="1">
        <v>0.55237211100000005</v>
      </c>
      <c r="D999">
        <v>0.65961031000000003</v>
      </c>
      <c r="E999">
        <v>0.69215541599999997</v>
      </c>
      <c r="F999" s="1" t="s">
        <v>116</v>
      </c>
      <c r="G999" s="1">
        <v>1.149700599</v>
      </c>
      <c r="H999" s="1">
        <v>66.900000000000006</v>
      </c>
      <c r="I999" s="1">
        <v>133.6</v>
      </c>
      <c r="J999" s="1">
        <v>0.63471261233333331</v>
      </c>
      <c r="K999" s="1">
        <v>0.50856695500000004</v>
      </c>
      <c r="L999" s="1">
        <v>0.654733224</v>
      </c>
      <c r="M999" s="3">
        <v>0.61418267199999999</v>
      </c>
      <c r="N999" s="1" t="s">
        <v>38</v>
      </c>
      <c r="O999" s="1">
        <v>0.64065708399999999</v>
      </c>
      <c r="P999" s="1">
        <v>41.9</v>
      </c>
      <c r="Q999" s="1">
        <v>146.1</v>
      </c>
      <c r="R999" s="1">
        <v>0.59249428366666679</v>
      </c>
      <c r="S999" s="1">
        <v>8.9567999123153733E-2</v>
      </c>
      <c r="T999" t="s">
        <v>1146</v>
      </c>
      <c r="U999" s="1">
        <v>1702</v>
      </c>
      <c r="V999">
        <f t="shared" si="60"/>
        <v>0.35899550619428544</v>
      </c>
      <c r="W999" s="1">
        <f t="shared" si="61"/>
        <v>25.000000000000007</v>
      </c>
      <c r="X999">
        <f t="shared" si="62"/>
        <v>0.509043515</v>
      </c>
      <c r="Y999">
        <f t="shared" si="63"/>
        <v>12.5</v>
      </c>
      <c r="Z999" s="1">
        <v>4</v>
      </c>
      <c r="AA999">
        <v>96</v>
      </c>
      <c r="AB999">
        <v>4.1700000000000001E-2</v>
      </c>
      <c r="AC999">
        <v>5</v>
      </c>
      <c r="AD999">
        <v>89</v>
      </c>
      <c r="AE999">
        <v>5.62E-2</v>
      </c>
      <c r="AF999" t="s">
        <v>2589</v>
      </c>
      <c r="AG999" t="s">
        <v>2590</v>
      </c>
    </row>
    <row r="1000" spans="1:33">
      <c r="A1000" s="2" t="s">
        <v>115</v>
      </c>
      <c r="B1000" s="2" t="s">
        <v>39</v>
      </c>
      <c r="C1000" s="1">
        <v>0.55237211100000005</v>
      </c>
      <c r="D1000">
        <v>0.65961031000000003</v>
      </c>
      <c r="E1000">
        <v>0.69215541599999997</v>
      </c>
      <c r="F1000" s="1" t="s">
        <v>116</v>
      </c>
      <c r="G1000" s="1">
        <v>1.149700599</v>
      </c>
      <c r="H1000" s="1">
        <v>66.900000000000006</v>
      </c>
      <c r="I1000" s="1">
        <v>133.6</v>
      </c>
      <c r="J1000" s="1">
        <v>0.63471261233333331</v>
      </c>
      <c r="K1000" s="1">
        <v>0.60811616199999996</v>
      </c>
      <c r="L1000" s="1">
        <v>0.721105683</v>
      </c>
      <c r="M1000" s="3">
        <v>0.741016169</v>
      </c>
      <c r="N1000" s="1" t="s">
        <v>40</v>
      </c>
      <c r="O1000" s="1">
        <v>1.0601915180000001</v>
      </c>
      <c r="P1000" s="1">
        <v>34</v>
      </c>
      <c r="Q1000" s="1">
        <v>73.099999999999994</v>
      </c>
      <c r="R1000" s="1">
        <v>0.69007933799999999</v>
      </c>
      <c r="S1000" s="1">
        <v>9.6314346314693572E-2</v>
      </c>
      <c r="T1000" t="s">
        <v>1147</v>
      </c>
      <c r="U1000" s="1">
        <v>35055</v>
      </c>
      <c r="V1000">
        <f t="shared" si="60"/>
        <v>0.50497221904976763</v>
      </c>
      <c r="W1000" s="1">
        <f t="shared" si="61"/>
        <v>32.900000000000006</v>
      </c>
      <c r="X1000">
        <f t="shared" si="62"/>
        <v>8.9509080999999879E-2</v>
      </c>
      <c r="Y1000">
        <f t="shared" si="63"/>
        <v>60.5</v>
      </c>
      <c r="Z1000" s="1">
        <v>2</v>
      </c>
      <c r="AA1000">
        <v>98</v>
      </c>
      <c r="AB1000">
        <v>2.0400000000000001E-2</v>
      </c>
      <c r="AC1000">
        <v>4</v>
      </c>
      <c r="AD1000">
        <v>93</v>
      </c>
      <c r="AE1000">
        <v>4.2999999999999997E-2</v>
      </c>
      <c r="AF1000" t="s">
        <v>2589</v>
      </c>
      <c r="AG1000" t="s">
        <v>2589</v>
      </c>
    </row>
    <row r="1001" spans="1:33">
      <c r="A1001" s="2" t="s">
        <v>115</v>
      </c>
      <c r="B1001" s="2" t="s">
        <v>41</v>
      </c>
      <c r="C1001" s="1">
        <v>0.55237211100000005</v>
      </c>
      <c r="D1001">
        <v>0.65961031000000003</v>
      </c>
      <c r="E1001">
        <v>0.69215541599999997</v>
      </c>
      <c r="F1001" s="1" t="s">
        <v>116</v>
      </c>
      <c r="G1001" s="1">
        <v>1.149700599</v>
      </c>
      <c r="H1001" s="1">
        <v>66.900000000000006</v>
      </c>
      <c r="I1001" s="1">
        <v>133.6</v>
      </c>
      <c r="J1001" s="1">
        <v>0.63471261233333331</v>
      </c>
      <c r="K1001" s="1">
        <v>0.60402244999999999</v>
      </c>
      <c r="L1001" s="1">
        <v>0.669189213</v>
      </c>
      <c r="M1001" s="3">
        <v>0.69821693799999995</v>
      </c>
      <c r="N1001" s="1" t="s">
        <v>42</v>
      </c>
      <c r="O1001" s="1">
        <v>1.3243902439999999</v>
      </c>
      <c r="P1001" s="1">
        <v>23</v>
      </c>
      <c r="Q1001" s="1">
        <v>41</v>
      </c>
      <c r="R1001" s="1">
        <v>0.65714286700000002</v>
      </c>
      <c r="S1001" s="1">
        <v>5.2879626988612607E-2</v>
      </c>
      <c r="T1001" t="s">
        <v>1148</v>
      </c>
      <c r="U1001" s="1">
        <v>693</v>
      </c>
      <c r="V1001">
        <f t="shared" si="60"/>
        <v>0.3156370260679785</v>
      </c>
      <c r="W1001" s="1">
        <f t="shared" si="61"/>
        <v>43.900000000000006</v>
      </c>
      <c r="X1001">
        <f t="shared" si="62"/>
        <v>0.17468964499999995</v>
      </c>
      <c r="Y1001">
        <f t="shared" si="63"/>
        <v>92.6</v>
      </c>
      <c r="Z1001" s="1">
        <v>0</v>
      </c>
      <c r="AA1001">
        <v>100</v>
      </c>
      <c r="AB1001">
        <v>0</v>
      </c>
      <c r="AC1001">
        <v>0</v>
      </c>
      <c r="AD1001">
        <v>111</v>
      </c>
      <c r="AE1001">
        <v>0</v>
      </c>
      <c r="AF1001" t="s">
        <v>2589</v>
      </c>
      <c r="AG1001" t="s">
        <v>2591</v>
      </c>
    </row>
    <row r="1002" spans="1:33">
      <c r="A1002" s="2" t="s">
        <v>115</v>
      </c>
      <c r="B1002" s="2" t="s">
        <v>43</v>
      </c>
      <c r="C1002" s="1">
        <v>0.55237211100000005</v>
      </c>
      <c r="D1002">
        <v>0.65961031000000003</v>
      </c>
      <c r="E1002">
        <v>0.69215541599999997</v>
      </c>
      <c r="F1002" s="1" t="s">
        <v>116</v>
      </c>
      <c r="G1002" s="1">
        <v>1.149700599</v>
      </c>
      <c r="H1002" s="1">
        <v>66.900000000000006</v>
      </c>
      <c r="I1002" s="1">
        <v>133.6</v>
      </c>
      <c r="J1002" s="1">
        <v>0.63471261233333331</v>
      </c>
      <c r="K1002" s="1">
        <v>0.54180634699999997</v>
      </c>
      <c r="L1002" s="1">
        <v>0.59470779900000004</v>
      </c>
      <c r="M1002" s="3">
        <v>0.69518155599999998</v>
      </c>
      <c r="N1002" s="1" t="s">
        <v>44</v>
      </c>
      <c r="O1002" s="1">
        <v>1.7403685090000001</v>
      </c>
      <c r="P1002" s="1">
        <v>41.2</v>
      </c>
      <c r="Q1002" s="1">
        <v>59.7</v>
      </c>
      <c r="R1002" s="1">
        <v>0.61056523400000007</v>
      </c>
      <c r="S1002" s="1">
        <v>6.58265054997485E-2</v>
      </c>
      <c r="T1002" t="s">
        <v>1149</v>
      </c>
      <c r="U1002" s="1">
        <v>13207</v>
      </c>
      <c r="V1002">
        <f t="shared" si="60"/>
        <v>0.45786713087119973</v>
      </c>
      <c r="W1002" s="1">
        <f t="shared" si="61"/>
        <v>25.700000000000003</v>
      </c>
      <c r="X1002">
        <f t="shared" si="62"/>
        <v>0.59066791000000007</v>
      </c>
      <c r="Y1002">
        <f t="shared" si="63"/>
        <v>73.899999999999991</v>
      </c>
      <c r="Z1002" s="1">
        <v>7</v>
      </c>
      <c r="AA1002">
        <v>93</v>
      </c>
      <c r="AB1002">
        <v>7.5300000000000006E-2</v>
      </c>
      <c r="AC1002">
        <v>10</v>
      </c>
      <c r="AD1002">
        <v>123</v>
      </c>
      <c r="AE1002">
        <v>8.1299999999999997E-2</v>
      </c>
      <c r="AF1002" t="s">
        <v>2589</v>
      </c>
      <c r="AG1002" t="s">
        <v>2589</v>
      </c>
    </row>
    <row r="1003" spans="1:33">
      <c r="A1003" s="2" t="s">
        <v>115</v>
      </c>
      <c r="B1003" s="2" t="s">
        <v>45</v>
      </c>
      <c r="C1003" s="1">
        <v>0.55237211100000005</v>
      </c>
      <c r="D1003">
        <v>0.65961031000000003</v>
      </c>
      <c r="E1003">
        <v>0.69215541599999997</v>
      </c>
      <c r="F1003" s="1" t="s">
        <v>116</v>
      </c>
      <c r="G1003" s="1">
        <v>1.149700599</v>
      </c>
      <c r="H1003" s="1">
        <v>66.900000000000006</v>
      </c>
      <c r="I1003" s="1">
        <v>133.6</v>
      </c>
      <c r="J1003" s="1">
        <v>0.63471261233333331</v>
      </c>
      <c r="K1003" s="1">
        <v>0.50907007599999998</v>
      </c>
      <c r="L1003" s="1">
        <v>0.68428041399999995</v>
      </c>
      <c r="M1003" s="3">
        <v>0.67454742099999998</v>
      </c>
      <c r="N1003" s="1" t="s">
        <v>46</v>
      </c>
      <c r="O1003" s="1">
        <v>0.98140043799999999</v>
      </c>
      <c r="P1003" s="1">
        <v>38.9</v>
      </c>
      <c r="Q1003" s="1">
        <v>91.4</v>
      </c>
      <c r="R1003" s="1">
        <v>0.62263263699999993</v>
      </c>
      <c r="S1003" s="1">
        <v>5.2855669085085544E-2</v>
      </c>
      <c r="T1003" t="s">
        <v>1150</v>
      </c>
      <c r="U1003" s="1">
        <v>18044</v>
      </c>
      <c r="V1003">
        <f t="shared" si="60"/>
        <v>0.47292586871396364</v>
      </c>
      <c r="W1003" s="1">
        <f t="shared" si="61"/>
        <v>28.000000000000007</v>
      </c>
      <c r="X1003">
        <f t="shared" si="62"/>
        <v>0.168300161</v>
      </c>
      <c r="Y1003">
        <f t="shared" si="63"/>
        <v>42.199999999999989</v>
      </c>
      <c r="Z1003" s="1">
        <v>9</v>
      </c>
      <c r="AA1003">
        <v>91</v>
      </c>
      <c r="AB1003">
        <v>9.8900000000000002E-2</v>
      </c>
      <c r="AC1003">
        <v>11</v>
      </c>
      <c r="AD1003">
        <v>102</v>
      </c>
      <c r="AE1003">
        <v>0.10780000000000001</v>
      </c>
      <c r="AF1003" t="s">
        <v>2589</v>
      </c>
      <c r="AG1003" t="s">
        <v>2589</v>
      </c>
    </row>
    <row r="1004" spans="1:33">
      <c r="A1004" s="2" t="s">
        <v>115</v>
      </c>
      <c r="B1004" s="2" t="s">
        <v>47</v>
      </c>
      <c r="C1004" s="1">
        <v>0.55237211100000005</v>
      </c>
      <c r="D1004">
        <v>0.65961031000000003</v>
      </c>
      <c r="E1004">
        <v>0.69215541599999997</v>
      </c>
      <c r="F1004" s="1" t="s">
        <v>116</v>
      </c>
      <c r="G1004" s="1">
        <v>1.149700599</v>
      </c>
      <c r="H1004" s="1">
        <v>66.900000000000006</v>
      </c>
      <c r="I1004" s="1">
        <v>133.6</v>
      </c>
      <c r="J1004" s="1">
        <v>0.63471261233333331</v>
      </c>
      <c r="K1004" s="1">
        <v>0.50612154099999995</v>
      </c>
      <c r="L1004" s="1">
        <v>0.55940039100000005</v>
      </c>
      <c r="M1004" s="3">
        <v>0.66789001699999995</v>
      </c>
      <c r="N1004" s="1" t="s">
        <v>48</v>
      </c>
      <c r="O1004" s="1">
        <v>1.242622951</v>
      </c>
      <c r="P1004" s="1">
        <v>17.8</v>
      </c>
      <c r="Q1004" s="1">
        <v>30.5</v>
      </c>
      <c r="R1004" s="1">
        <v>0.57780398300000002</v>
      </c>
      <c r="S1004" s="1">
        <v>0.11300421531934403</v>
      </c>
      <c r="T1004" t="s">
        <v>1151</v>
      </c>
      <c r="U1004" s="1">
        <v>1557</v>
      </c>
      <c r="V1004">
        <f t="shared" si="60"/>
        <v>0.35469873472979113</v>
      </c>
      <c r="W1004" s="1">
        <f t="shared" si="61"/>
        <v>49.100000000000009</v>
      </c>
      <c r="X1004">
        <f t="shared" si="62"/>
        <v>9.2922351999999986E-2</v>
      </c>
      <c r="Y1004">
        <f t="shared" si="63"/>
        <v>103.1</v>
      </c>
      <c r="Z1004" s="1">
        <v>1</v>
      </c>
      <c r="AA1004">
        <v>99</v>
      </c>
      <c r="AB1004">
        <v>1.01E-2</v>
      </c>
      <c r="AC1004">
        <v>2</v>
      </c>
      <c r="AD1004">
        <v>118</v>
      </c>
      <c r="AE1004">
        <v>1.6899999999999998E-2</v>
      </c>
      <c r="AF1004" t="s">
        <v>2589</v>
      </c>
      <c r="AG1004" t="s">
        <v>2590</v>
      </c>
    </row>
    <row r="1005" spans="1:33">
      <c r="A1005" s="2" t="s">
        <v>115</v>
      </c>
      <c r="B1005" s="2" t="s">
        <v>49</v>
      </c>
      <c r="C1005" s="1">
        <v>0.55237211100000005</v>
      </c>
      <c r="D1005">
        <v>0.65961031000000003</v>
      </c>
      <c r="E1005">
        <v>0.69215541599999997</v>
      </c>
      <c r="F1005" s="1" t="s">
        <v>116</v>
      </c>
      <c r="G1005" s="1">
        <v>1.149700599</v>
      </c>
      <c r="H1005" s="1">
        <v>66.900000000000006</v>
      </c>
      <c r="I1005" s="1">
        <v>133.6</v>
      </c>
      <c r="J1005" s="1">
        <v>0.63471261233333331</v>
      </c>
      <c r="K1005" s="1">
        <v>0.50647110500000003</v>
      </c>
      <c r="L1005" s="1">
        <v>0.55713136799999996</v>
      </c>
      <c r="M1005" s="3">
        <v>0.63402682300000002</v>
      </c>
      <c r="N1005" s="1" t="s">
        <v>50</v>
      </c>
      <c r="O1005" s="1">
        <v>1.876675603</v>
      </c>
      <c r="P1005" s="1">
        <v>28.8</v>
      </c>
      <c r="Q1005" s="1">
        <v>37.299999999999997</v>
      </c>
      <c r="R1005" s="1">
        <v>0.56587643200000004</v>
      </c>
      <c r="S1005" s="1">
        <v>0.12644275079818162</v>
      </c>
      <c r="T1005" t="s">
        <v>1152</v>
      </c>
      <c r="U1005" s="1">
        <v>2576</v>
      </c>
      <c r="V1005">
        <f t="shared" si="60"/>
        <v>0.37899398429864162</v>
      </c>
      <c r="W1005" s="1">
        <f t="shared" si="61"/>
        <v>38.100000000000009</v>
      </c>
      <c r="X1005">
        <f t="shared" si="62"/>
        <v>0.72697500400000004</v>
      </c>
      <c r="Y1005">
        <f t="shared" si="63"/>
        <v>96.3</v>
      </c>
      <c r="Z1005" s="1">
        <v>2</v>
      </c>
      <c r="AA1005">
        <v>98</v>
      </c>
      <c r="AB1005">
        <v>2.0400000000000001E-2</v>
      </c>
      <c r="AC1005">
        <v>3</v>
      </c>
      <c r="AD1005">
        <v>91</v>
      </c>
      <c r="AE1005">
        <v>3.3000000000000002E-2</v>
      </c>
      <c r="AF1005" t="s">
        <v>2589</v>
      </c>
      <c r="AG1005" t="s">
        <v>2590</v>
      </c>
    </row>
    <row r="1006" spans="1:33">
      <c r="A1006" s="2" t="s">
        <v>115</v>
      </c>
      <c r="B1006" s="2" t="s">
        <v>51</v>
      </c>
      <c r="C1006" s="1">
        <v>0.55237211100000005</v>
      </c>
      <c r="D1006">
        <v>0.65961031000000003</v>
      </c>
      <c r="E1006">
        <v>0.69215541599999997</v>
      </c>
      <c r="F1006" s="1" t="s">
        <v>116</v>
      </c>
      <c r="G1006" s="1">
        <v>1.149700599</v>
      </c>
      <c r="H1006" s="1">
        <v>66.900000000000006</v>
      </c>
      <c r="I1006" s="1">
        <v>133.6</v>
      </c>
      <c r="J1006" s="1">
        <v>0.63471261233333331</v>
      </c>
      <c r="K1006" s="1">
        <v>0.60067161999999996</v>
      </c>
      <c r="L1006" s="1">
        <v>0.68094129999999997</v>
      </c>
      <c r="M1006" s="3">
        <v>0.73595931299999995</v>
      </c>
      <c r="N1006" s="1" t="s">
        <v>52</v>
      </c>
      <c r="O1006" s="1">
        <v>1.858638743</v>
      </c>
      <c r="P1006" s="1">
        <v>29.4</v>
      </c>
      <c r="Q1006" s="1">
        <v>38.200000000000003</v>
      </c>
      <c r="R1006" s="1">
        <v>0.67252407766666666</v>
      </c>
      <c r="S1006" s="1">
        <v>6.8604920351296797E-2</v>
      </c>
      <c r="T1006" t="s">
        <v>1153</v>
      </c>
      <c r="U1006" s="1">
        <v>642</v>
      </c>
      <c r="V1006">
        <f t="shared" si="60"/>
        <v>0.3119483364520948</v>
      </c>
      <c r="W1006" s="1">
        <f t="shared" si="61"/>
        <v>37.500000000000007</v>
      </c>
      <c r="X1006">
        <f t="shared" si="62"/>
        <v>0.70893814399999999</v>
      </c>
      <c r="Y1006">
        <f t="shared" si="63"/>
        <v>95.399999999999991</v>
      </c>
      <c r="Z1006" s="1">
        <v>3</v>
      </c>
      <c r="AA1006">
        <v>97</v>
      </c>
      <c r="AB1006">
        <v>3.09E-2</v>
      </c>
      <c r="AC1006">
        <v>4</v>
      </c>
      <c r="AD1006">
        <v>99</v>
      </c>
      <c r="AE1006">
        <v>4.0399999999999998E-2</v>
      </c>
      <c r="AF1006" t="s">
        <v>2589</v>
      </c>
      <c r="AG1006" t="s">
        <v>2591</v>
      </c>
    </row>
    <row r="1007" spans="1:33">
      <c r="A1007" s="2" t="s">
        <v>115</v>
      </c>
      <c r="B1007" s="2" t="s">
        <v>53</v>
      </c>
      <c r="C1007" s="1">
        <v>0.55237211100000005</v>
      </c>
      <c r="D1007">
        <v>0.65961031000000003</v>
      </c>
      <c r="E1007">
        <v>0.69215541599999997</v>
      </c>
      <c r="F1007" s="1" t="s">
        <v>116</v>
      </c>
      <c r="G1007" s="1">
        <v>1.149700599</v>
      </c>
      <c r="H1007" s="1">
        <v>66.900000000000006</v>
      </c>
      <c r="I1007" s="1">
        <v>133.6</v>
      </c>
      <c r="J1007" s="1">
        <v>0.63471261233333331</v>
      </c>
      <c r="K1007" s="1">
        <v>0.54695832700000002</v>
      </c>
      <c r="L1007" s="1">
        <v>0.659790137</v>
      </c>
      <c r="M1007" s="3">
        <v>0.70662085500000005</v>
      </c>
      <c r="N1007" s="1" t="s">
        <v>54</v>
      </c>
      <c r="O1007" s="1">
        <v>2.5053995680000001</v>
      </c>
      <c r="P1007" s="1">
        <v>43.9</v>
      </c>
      <c r="Q1007" s="1">
        <v>46.3</v>
      </c>
      <c r="R1007" s="1">
        <v>0.63778977300000006</v>
      </c>
      <c r="S1007" s="1">
        <v>1.5446369165966112E-2</v>
      </c>
      <c r="T1007" t="s">
        <v>1154</v>
      </c>
      <c r="U1007" s="1">
        <v>1843</v>
      </c>
      <c r="V1007">
        <f t="shared" si="60"/>
        <v>0.36283614835767486</v>
      </c>
      <c r="W1007" s="1">
        <f t="shared" si="61"/>
        <v>23.000000000000007</v>
      </c>
      <c r="X1007">
        <f t="shared" si="62"/>
        <v>1.3556989690000001</v>
      </c>
      <c r="Y1007">
        <f t="shared" si="63"/>
        <v>87.3</v>
      </c>
      <c r="Z1007" s="1">
        <v>1</v>
      </c>
      <c r="AA1007">
        <v>99</v>
      </c>
      <c r="AB1007">
        <v>1.01E-2</v>
      </c>
      <c r="AC1007">
        <v>2</v>
      </c>
      <c r="AD1007">
        <v>101</v>
      </c>
      <c r="AE1007">
        <v>1.9800000000000002E-2</v>
      </c>
      <c r="AF1007" t="s">
        <v>2589</v>
      </c>
      <c r="AG1007" t="s">
        <v>2593</v>
      </c>
    </row>
    <row r="1008" spans="1:33">
      <c r="A1008" s="2" t="s">
        <v>115</v>
      </c>
      <c r="B1008" s="2" t="s">
        <v>55</v>
      </c>
      <c r="C1008" s="1">
        <v>0.55237211100000005</v>
      </c>
      <c r="D1008">
        <v>0.65961031000000003</v>
      </c>
      <c r="E1008">
        <v>0.69215541599999997</v>
      </c>
      <c r="F1008" s="1" t="s">
        <v>116</v>
      </c>
      <c r="G1008" s="1">
        <v>1.149700599</v>
      </c>
      <c r="H1008" s="1">
        <v>66.900000000000006</v>
      </c>
      <c r="I1008" s="1">
        <v>133.6</v>
      </c>
      <c r="J1008" s="1">
        <v>0.63471261233333331</v>
      </c>
      <c r="K1008" s="1">
        <v>0.52971861799999997</v>
      </c>
      <c r="L1008" s="1">
        <v>0.62258244500000004</v>
      </c>
      <c r="M1008" s="3">
        <v>0.63939760400000001</v>
      </c>
      <c r="N1008" s="1" t="s">
        <v>56</v>
      </c>
      <c r="O1008" s="1">
        <v>1.0796934869999999</v>
      </c>
      <c r="P1008" s="1">
        <v>55.3</v>
      </c>
      <c r="Q1008" s="1">
        <v>130.5</v>
      </c>
      <c r="R1008" s="1">
        <v>0.59723288899999993</v>
      </c>
      <c r="S1008" s="1">
        <v>6.8320057513051147E-2</v>
      </c>
      <c r="T1008" t="s">
        <v>1155</v>
      </c>
      <c r="U1008" s="1">
        <v>10532</v>
      </c>
      <c r="V1008">
        <f t="shared" si="60"/>
        <v>0.44694565004822562</v>
      </c>
      <c r="W1008" s="1">
        <f t="shared" si="61"/>
        <v>11.600000000000009</v>
      </c>
      <c r="X1008">
        <f t="shared" si="62"/>
        <v>7.0007112000000093E-2</v>
      </c>
      <c r="Y1008">
        <f t="shared" si="63"/>
        <v>3.0999999999999943</v>
      </c>
      <c r="Z1008" s="1">
        <v>9</v>
      </c>
      <c r="AA1008">
        <v>91</v>
      </c>
      <c r="AB1008">
        <v>9.8900000000000002E-2</v>
      </c>
      <c r="AC1008">
        <v>10</v>
      </c>
      <c r="AD1008">
        <v>85</v>
      </c>
      <c r="AE1008">
        <v>0.1176</v>
      </c>
      <c r="AF1008" t="s">
        <v>2589</v>
      </c>
      <c r="AG1008" t="s">
        <v>2592</v>
      </c>
    </row>
    <row r="1009" spans="1:33">
      <c r="A1009" s="2" t="s">
        <v>115</v>
      </c>
      <c r="B1009" s="2" t="s">
        <v>57</v>
      </c>
      <c r="C1009" s="1">
        <v>0.55237211100000005</v>
      </c>
      <c r="D1009">
        <v>0.65961031000000003</v>
      </c>
      <c r="E1009">
        <v>0.69215541599999997</v>
      </c>
      <c r="F1009" s="1" t="s">
        <v>116</v>
      </c>
      <c r="G1009" s="1">
        <v>1.149700599</v>
      </c>
      <c r="H1009" s="1">
        <v>66.900000000000006</v>
      </c>
      <c r="I1009" s="1">
        <v>133.6</v>
      </c>
      <c r="J1009" s="1">
        <v>0.63471261233333331</v>
      </c>
      <c r="K1009" s="1">
        <v>0.528732855</v>
      </c>
      <c r="L1009" s="1">
        <v>0.63387497599999998</v>
      </c>
      <c r="M1009" s="3">
        <v>0.63337360200000004</v>
      </c>
      <c r="N1009" s="1" t="s">
        <v>58</v>
      </c>
      <c r="O1009" s="1">
        <v>1.386610879</v>
      </c>
      <c r="P1009" s="1">
        <v>69</v>
      </c>
      <c r="Q1009" s="1">
        <v>119.5</v>
      </c>
      <c r="R1009" s="1">
        <v>0.59866047766666663</v>
      </c>
      <c r="S1009" s="1">
        <v>6.8384380507947026E-2</v>
      </c>
      <c r="T1009" t="s">
        <v>1156</v>
      </c>
      <c r="U1009" s="1">
        <v>134714</v>
      </c>
      <c r="V1009">
        <f t="shared" si="60"/>
        <v>0.56993474795899279</v>
      </c>
      <c r="W1009" s="1">
        <f t="shared" si="61"/>
        <v>2.0999999999999943</v>
      </c>
      <c r="X1009">
        <f t="shared" si="62"/>
        <v>0.23691028000000003</v>
      </c>
      <c r="Y1009">
        <f t="shared" si="63"/>
        <v>14.099999999999994</v>
      </c>
      <c r="Z1009" s="1">
        <v>11</v>
      </c>
      <c r="AA1009">
        <v>89</v>
      </c>
      <c r="AB1009">
        <v>0.1236</v>
      </c>
      <c r="AC1009">
        <v>14</v>
      </c>
      <c r="AD1009">
        <v>87</v>
      </c>
      <c r="AE1009">
        <v>0.16089999999999999</v>
      </c>
      <c r="AF1009" t="s">
        <v>2589</v>
      </c>
      <c r="AG1009" t="s">
        <v>2589</v>
      </c>
    </row>
    <row r="1010" spans="1:33">
      <c r="A1010" s="2" t="s">
        <v>115</v>
      </c>
      <c r="B1010" s="2" t="s">
        <v>59</v>
      </c>
      <c r="C1010" s="1">
        <v>0.55237211100000005</v>
      </c>
      <c r="D1010">
        <v>0.65961031000000003</v>
      </c>
      <c r="E1010">
        <v>0.69215541599999997</v>
      </c>
      <c r="F1010" s="1" t="s">
        <v>116</v>
      </c>
      <c r="G1010" s="1">
        <v>1.149700599</v>
      </c>
      <c r="H1010" s="1">
        <v>66.900000000000006</v>
      </c>
      <c r="I1010" s="1">
        <v>133.6</v>
      </c>
      <c r="J1010" s="1">
        <v>0.63471261233333331</v>
      </c>
      <c r="K1010" s="1">
        <v>0.56225432799999997</v>
      </c>
      <c r="L1010" s="1">
        <v>0.68100706499999997</v>
      </c>
      <c r="M1010" s="3">
        <v>0.67505263699999996</v>
      </c>
      <c r="N1010" s="1" t="s">
        <v>60</v>
      </c>
      <c r="O1010" s="1">
        <v>1.1501154730000001</v>
      </c>
      <c r="P1010" s="1">
        <v>60.5</v>
      </c>
      <c r="Q1010" s="1">
        <v>129.9</v>
      </c>
      <c r="R1010" s="1">
        <v>0.63943801</v>
      </c>
      <c r="S1010" s="1">
        <v>2.9120171477653611E-2</v>
      </c>
      <c r="T1010" t="s">
        <v>1157</v>
      </c>
      <c r="U1010" s="1">
        <v>19705</v>
      </c>
      <c r="V1010">
        <f t="shared" si="60"/>
        <v>0.47717515991129134</v>
      </c>
      <c r="W1010" s="1">
        <f t="shared" si="61"/>
        <v>6.4000000000000057</v>
      </c>
      <c r="X1010">
        <f t="shared" si="62"/>
        <v>4.1487400000006502E-4</v>
      </c>
      <c r="Y1010">
        <f t="shared" si="63"/>
        <v>3.6999999999999886</v>
      </c>
      <c r="Z1010" s="1">
        <v>10</v>
      </c>
      <c r="AA1010">
        <v>90</v>
      </c>
      <c r="AB1010">
        <v>0.1111</v>
      </c>
      <c r="AC1010">
        <v>12</v>
      </c>
      <c r="AD1010">
        <v>108</v>
      </c>
      <c r="AE1010">
        <v>0.1111</v>
      </c>
      <c r="AF1010" t="s">
        <v>2589</v>
      </c>
      <c r="AG1010" t="s">
        <v>2589</v>
      </c>
    </row>
    <row r="1011" spans="1:33">
      <c r="A1011" s="2" t="s">
        <v>115</v>
      </c>
      <c r="B1011" s="2" t="s">
        <v>61</v>
      </c>
      <c r="C1011" s="1">
        <v>0.55237211100000005</v>
      </c>
      <c r="D1011">
        <v>0.65961031000000003</v>
      </c>
      <c r="E1011">
        <v>0.69215541599999997</v>
      </c>
      <c r="F1011" s="1" t="s">
        <v>116</v>
      </c>
      <c r="G1011" s="1">
        <v>1.149700599</v>
      </c>
      <c r="H1011" s="1">
        <v>66.900000000000006</v>
      </c>
      <c r="I1011" s="1">
        <v>133.6</v>
      </c>
      <c r="J1011" s="1">
        <v>0.63471261233333331</v>
      </c>
      <c r="K1011" s="1">
        <v>0.62063455999999995</v>
      </c>
      <c r="L1011" s="1">
        <v>0.67798104299999995</v>
      </c>
      <c r="M1011" s="3">
        <v>0.72175371600000005</v>
      </c>
      <c r="N1011" s="1" t="s">
        <v>62</v>
      </c>
      <c r="O1011" s="1">
        <v>7.5471698109999998</v>
      </c>
      <c r="P1011" s="1">
        <v>26.4</v>
      </c>
      <c r="Q1011" s="1">
        <v>10.6</v>
      </c>
      <c r="R1011" s="1">
        <v>0.6734564396666668</v>
      </c>
      <c r="S1011" s="1">
        <v>7.6637491721251394E-2</v>
      </c>
      <c r="T1011" t="s">
        <v>1158</v>
      </c>
      <c r="U1011" s="1">
        <v>786</v>
      </c>
      <c r="V1011">
        <f t="shared" si="60"/>
        <v>0.32171361622660088</v>
      </c>
      <c r="W1011" s="1">
        <f t="shared" si="61"/>
        <v>40.500000000000007</v>
      </c>
      <c r="X1011">
        <f t="shared" si="62"/>
        <v>6.3974692119999998</v>
      </c>
      <c r="Y1011">
        <f t="shared" si="63"/>
        <v>123</v>
      </c>
      <c r="Z1011" s="1">
        <v>0</v>
      </c>
      <c r="AA1011">
        <v>100</v>
      </c>
      <c r="AB1011">
        <v>0</v>
      </c>
      <c r="AC1011">
        <v>0</v>
      </c>
      <c r="AD1011">
        <v>95</v>
      </c>
      <c r="AE1011">
        <v>0</v>
      </c>
      <c r="AF1011" t="s">
        <v>2589</v>
      </c>
      <c r="AG1011" t="s">
        <v>2588</v>
      </c>
    </row>
    <row r="1012" spans="1:33">
      <c r="A1012" s="2" t="s">
        <v>115</v>
      </c>
      <c r="B1012" s="2" t="s">
        <v>63</v>
      </c>
      <c r="C1012" s="1">
        <v>0.55237211100000005</v>
      </c>
      <c r="D1012">
        <v>0.65961031000000003</v>
      </c>
      <c r="E1012">
        <v>0.69215541599999997</v>
      </c>
      <c r="F1012" s="1" t="s">
        <v>116</v>
      </c>
      <c r="G1012" s="1">
        <v>1.149700599</v>
      </c>
      <c r="H1012" s="1">
        <v>66.900000000000006</v>
      </c>
      <c r="I1012" s="1">
        <v>133.6</v>
      </c>
      <c r="J1012" s="1">
        <v>0.63471261233333331</v>
      </c>
      <c r="K1012" s="1">
        <v>0.44311141399999998</v>
      </c>
      <c r="L1012" s="1">
        <v>0.57053969199999999</v>
      </c>
      <c r="M1012" s="3">
        <v>0.59266330599999995</v>
      </c>
      <c r="N1012" s="1" t="s">
        <v>64</v>
      </c>
      <c r="O1012" s="1">
        <v>0.89618138400000003</v>
      </c>
      <c r="P1012" s="1">
        <v>29.7</v>
      </c>
      <c r="Q1012" s="1">
        <v>83.8</v>
      </c>
      <c r="R1012" s="1">
        <v>0.53543813733333334</v>
      </c>
      <c r="S1012" s="1">
        <v>0.17254029921174896</v>
      </c>
      <c r="T1012" t="s">
        <v>1159</v>
      </c>
      <c r="U1012" s="1">
        <v>1083</v>
      </c>
      <c r="V1012">
        <f t="shared" si="60"/>
        <v>0.33718093962503559</v>
      </c>
      <c r="W1012" s="1">
        <f t="shared" si="61"/>
        <v>37.200000000000003</v>
      </c>
      <c r="X1012">
        <f t="shared" si="62"/>
        <v>0.25351921499999996</v>
      </c>
      <c r="Y1012">
        <f t="shared" si="63"/>
        <v>49.8</v>
      </c>
      <c r="Z1012" s="1">
        <v>4</v>
      </c>
      <c r="AA1012">
        <v>96</v>
      </c>
      <c r="AB1012">
        <v>4.1700000000000001E-2</v>
      </c>
      <c r="AC1012">
        <v>6</v>
      </c>
      <c r="AD1012">
        <v>96</v>
      </c>
      <c r="AE1012">
        <v>6.25E-2</v>
      </c>
      <c r="AF1012" t="s">
        <v>2589</v>
      </c>
      <c r="AG1012" t="s">
        <v>2590</v>
      </c>
    </row>
    <row r="1013" spans="1:33">
      <c r="A1013" s="2" t="s">
        <v>115</v>
      </c>
      <c r="B1013" s="2" t="s">
        <v>65</v>
      </c>
      <c r="C1013" s="1">
        <v>0.55237211100000005</v>
      </c>
      <c r="D1013">
        <v>0.65961031000000003</v>
      </c>
      <c r="E1013">
        <v>0.69215541599999997</v>
      </c>
      <c r="F1013" s="1" t="s">
        <v>116</v>
      </c>
      <c r="G1013" s="1">
        <v>1.149700599</v>
      </c>
      <c r="H1013" s="1">
        <v>66.900000000000006</v>
      </c>
      <c r="I1013" s="1">
        <v>133.6</v>
      </c>
      <c r="J1013" s="1">
        <v>0.63471261233333331</v>
      </c>
      <c r="K1013" s="1">
        <v>0.67377447499999998</v>
      </c>
      <c r="L1013" s="1">
        <v>0.69144672900000004</v>
      </c>
      <c r="M1013" s="3">
        <v>0.73046409700000003</v>
      </c>
      <c r="N1013" s="1" t="s">
        <v>66</v>
      </c>
      <c r="O1013" s="1">
        <v>1.8507462690000001</v>
      </c>
      <c r="P1013" s="1">
        <v>34.5</v>
      </c>
      <c r="Q1013" s="1">
        <v>46.9</v>
      </c>
      <c r="R1013" s="1">
        <v>0.69856176700000006</v>
      </c>
      <c r="S1013" s="1">
        <v>0.13122365106752595</v>
      </c>
      <c r="T1013" t="s">
        <v>1160</v>
      </c>
      <c r="U1013" s="1">
        <v>573</v>
      </c>
      <c r="V1013">
        <f t="shared" si="60"/>
        <v>0.30646162466304333</v>
      </c>
      <c r="W1013" s="1">
        <f t="shared" si="61"/>
        <v>32.400000000000006</v>
      </c>
      <c r="X1013">
        <f t="shared" si="62"/>
        <v>0.70104567000000007</v>
      </c>
      <c r="Y1013">
        <f t="shared" si="63"/>
        <v>86.699999999999989</v>
      </c>
      <c r="Z1013" s="1">
        <v>0</v>
      </c>
      <c r="AA1013">
        <v>100</v>
      </c>
      <c r="AB1013">
        <v>0</v>
      </c>
      <c r="AC1013">
        <v>0</v>
      </c>
      <c r="AD1013">
        <v>84</v>
      </c>
      <c r="AE1013">
        <v>0</v>
      </c>
      <c r="AF1013" t="s">
        <v>2589</v>
      </c>
      <c r="AG1013" t="s">
        <v>2593</v>
      </c>
    </row>
    <row r="1014" spans="1:33">
      <c r="A1014" s="2" t="s">
        <v>115</v>
      </c>
      <c r="B1014" s="2" t="s">
        <v>67</v>
      </c>
      <c r="C1014" s="1">
        <v>0.55237211100000005</v>
      </c>
      <c r="D1014">
        <v>0.65961031000000003</v>
      </c>
      <c r="E1014">
        <v>0.69215541599999997</v>
      </c>
      <c r="F1014" s="1" t="s">
        <v>116</v>
      </c>
      <c r="G1014" s="1">
        <v>1.149700599</v>
      </c>
      <c r="H1014" s="1">
        <v>66.900000000000006</v>
      </c>
      <c r="I1014" s="1">
        <v>133.6</v>
      </c>
      <c r="J1014" s="1">
        <v>0.63471261233333331</v>
      </c>
      <c r="K1014" s="1">
        <v>0.53971122199999999</v>
      </c>
      <c r="L1014" s="1">
        <v>0.621203065</v>
      </c>
      <c r="M1014" s="3">
        <v>0.67806811499999997</v>
      </c>
      <c r="N1014" s="1" t="s">
        <v>68</v>
      </c>
      <c r="O1014" s="1">
        <v>1.5131894480000001</v>
      </c>
      <c r="P1014" s="1">
        <v>27.2</v>
      </c>
      <c r="Q1014" s="1">
        <v>41.7</v>
      </c>
      <c r="R1014" s="1">
        <v>0.61299413400000002</v>
      </c>
      <c r="S1014" s="1">
        <v>4.2823669018720839E-2</v>
      </c>
      <c r="T1014" t="s">
        <v>1161</v>
      </c>
      <c r="U1014" s="1">
        <v>1371</v>
      </c>
      <c r="V1014">
        <f t="shared" si="60"/>
        <v>0.34855971719883472</v>
      </c>
      <c r="W1014" s="1">
        <f t="shared" si="61"/>
        <v>39.700000000000003</v>
      </c>
      <c r="X1014">
        <f t="shared" si="62"/>
        <v>0.36348884900000011</v>
      </c>
      <c r="Y1014">
        <f t="shared" si="63"/>
        <v>91.899999999999991</v>
      </c>
      <c r="Z1014" s="1">
        <v>1</v>
      </c>
      <c r="AA1014">
        <v>99</v>
      </c>
      <c r="AB1014">
        <v>1.01E-2</v>
      </c>
      <c r="AC1014">
        <v>2</v>
      </c>
      <c r="AD1014">
        <v>93</v>
      </c>
      <c r="AE1014">
        <v>2.1499999999999998E-2</v>
      </c>
      <c r="AF1014" t="s">
        <v>2589</v>
      </c>
      <c r="AG1014" t="s">
        <v>2588</v>
      </c>
    </row>
    <row r="1015" spans="1:33">
      <c r="A1015" s="2" t="s">
        <v>115</v>
      </c>
      <c r="B1015" s="2" t="s">
        <v>69</v>
      </c>
      <c r="C1015" s="1">
        <v>0.55237211100000005</v>
      </c>
      <c r="D1015">
        <v>0.65961031000000003</v>
      </c>
      <c r="E1015">
        <v>0.69215541599999997</v>
      </c>
      <c r="F1015" s="1" t="s">
        <v>116</v>
      </c>
      <c r="G1015" s="1">
        <v>1.149700599</v>
      </c>
      <c r="H1015" s="1">
        <v>66.900000000000006</v>
      </c>
      <c r="I1015" s="1">
        <v>133.6</v>
      </c>
      <c r="J1015" s="1">
        <v>0.63471261233333331</v>
      </c>
      <c r="K1015" s="1">
        <v>0.50188385300000005</v>
      </c>
      <c r="L1015" s="1">
        <v>0.64580031500000001</v>
      </c>
      <c r="M1015" s="3">
        <v>0.66006355800000005</v>
      </c>
      <c r="N1015" s="1" t="s">
        <v>70</v>
      </c>
      <c r="O1015" s="1">
        <v>1.2401055409999999</v>
      </c>
      <c r="P1015" s="1">
        <v>43.4</v>
      </c>
      <c r="Q1015" s="1">
        <v>75.8</v>
      </c>
      <c r="R1015" s="1">
        <v>0.60258257533333337</v>
      </c>
      <c r="S1015" s="1">
        <v>6.1397618094407774E-2</v>
      </c>
      <c r="T1015" t="s">
        <v>1162</v>
      </c>
      <c r="U1015" s="1">
        <v>40906</v>
      </c>
      <c r="V1015">
        <f t="shared" si="60"/>
        <v>0.51242077933517616</v>
      </c>
      <c r="W1015" s="1">
        <f t="shared" si="61"/>
        <v>23.500000000000007</v>
      </c>
      <c r="X1015">
        <f t="shared" si="62"/>
        <v>9.0404941999999933E-2</v>
      </c>
      <c r="Y1015">
        <f t="shared" si="63"/>
        <v>57.8</v>
      </c>
      <c r="Z1015" s="1">
        <v>10</v>
      </c>
      <c r="AA1015">
        <v>90</v>
      </c>
      <c r="AB1015">
        <v>0.1111</v>
      </c>
      <c r="AC1015">
        <v>12</v>
      </c>
      <c r="AD1015">
        <v>90</v>
      </c>
      <c r="AE1015">
        <v>0.1333</v>
      </c>
      <c r="AF1015" t="s">
        <v>2589</v>
      </c>
      <c r="AG1015" t="s">
        <v>2589</v>
      </c>
    </row>
    <row r="1016" spans="1:33">
      <c r="A1016" s="2" t="s">
        <v>115</v>
      </c>
      <c r="B1016" s="2" t="s">
        <v>71</v>
      </c>
      <c r="C1016" s="1">
        <v>0.55237211100000005</v>
      </c>
      <c r="D1016">
        <v>0.65961031000000003</v>
      </c>
      <c r="E1016">
        <v>0.69215541599999997</v>
      </c>
      <c r="F1016" s="1" t="s">
        <v>116</v>
      </c>
      <c r="G1016" s="1">
        <v>1.149700599</v>
      </c>
      <c r="H1016" s="1">
        <v>66.900000000000006</v>
      </c>
      <c r="I1016" s="1">
        <v>133.6</v>
      </c>
      <c r="J1016" s="1">
        <v>0.63471261233333331</v>
      </c>
      <c r="K1016" s="1">
        <v>0.53267569100000001</v>
      </c>
      <c r="L1016" s="1">
        <v>0.64507433599999997</v>
      </c>
      <c r="M1016" s="3">
        <v>0.66598465100000004</v>
      </c>
      <c r="N1016" s="1" t="s">
        <v>72</v>
      </c>
      <c r="O1016" s="1">
        <v>0.97289666900000005</v>
      </c>
      <c r="P1016" s="1">
        <v>64.8</v>
      </c>
      <c r="Q1016" s="1">
        <v>177.1</v>
      </c>
      <c r="R1016" s="1">
        <v>0.61457822600000001</v>
      </c>
      <c r="S1016" s="1">
        <v>3.5835072786730891E-2</v>
      </c>
      <c r="T1016" t="s">
        <v>1163</v>
      </c>
      <c r="U1016" s="1">
        <v>31874</v>
      </c>
      <c r="V1016">
        <f t="shared" si="60"/>
        <v>0.50038184092259563</v>
      </c>
      <c r="W1016" s="1">
        <f t="shared" si="61"/>
        <v>2.1000000000000085</v>
      </c>
      <c r="X1016">
        <f t="shared" si="62"/>
        <v>0.17680392999999994</v>
      </c>
      <c r="Y1016">
        <f t="shared" si="63"/>
        <v>43.5</v>
      </c>
      <c r="Z1016" s="1">
        <v>10</v>
      </c>
      <c r="AA1016">
        <v>90</v>
      </c>
      <c r="AB1016">
        <v>0.1111</v>
      </c>
      <c r="AC1016">
        <v>12</v>
      </c>
      <c r="AD1016">
        <v>101</v>
      </c>
      <c r="AE1016">
        <v>0.1188</v>
      </c>
      <c r="AF1016" t="s">
        <v>2589</v>
      </c>
      <c r="AG1016" t="s">
        <v>2589</v>
      </c>
    </row>
    <row r="1017" spans="1:33">
      <c r="A1017" s="2" t="s">
        <v>115</v>
      </c>
      <c r="B1017" s="2" t="s">
        <v>73</v>
      </c>
      <c r="C1017" s="1">
        <v>0.55237211100000005</v>
      </c>
      <c r="D1017">
        <v>0.65961031000000003</v>
      </c>
      <c r="E1017">
        <v>0.69215541599999997</v>
      </c>
      <c r="F1017" s="1" t="s">
        <v>116</v>
      </c>
      <c r="G1017" s="1">
        <v>1.149700599</v>
      </c>
      <c r="H1017" s="1">
        <v>66.900000000000006</v>
      </c>
      <c r="I1017" s="1">
        <v>133.6</v>
      </c>
      <c r="J1017" s="1">
        <v>0.63471261233333331</v>
      </c>
      <c r="K1017" s="1">
        <v>0.55697925299999995</v>
      </c>
      <c r="L1017" s="1">
        <v>0.64461978399999997</v>
      </c>
      <c r="M1017" s="3">
        <v>0.69570690000000002</v>
      </c>
      <c r="N1017" s="1" t="s">
        <v>74</v>
      </c>
      <c r="O1017" s="1">
        <v>1.23433584</v>
      </c>
      <c r="P1017" s="1">
        <v>44</v>
      </c>
      <c r="Q1017" s="1">
        <v>79.8</v>
      </c>
      <c r="R1017" s="1">
        <v>0.63243531233333328</v>
      </c>
      <c r="S1017" s="1">
        <v>1.6079635125434196E-2</v>
      </c>
      <c r="T1017" t="s">
        <v>1164</v>
      </c>
      <c r="U1017" s="1">
        <v>50205</v>
      </c>
      <c r="V1017">
        <f t="shared" si="60"/>
        <v>0.52230521904593985</v>
      </c>
      <c r="W1017" s="1">
        <f t="shared" si="61"/>
        <v>22.900000000000006</v>
      </c>
      <c r="X1017">
        <f t="shared" si="62"/>
        <v>8.4635240999999972E-2</v>
      </c>
      <c r="Y1017">
        <f t="shared" si="63"/>
        <v>53.8</v>
      </c>
      <c r="Z1017" s="1">
        <v>9</v>
      </c>
      <c r="AA1017">
        <v>91</v>
      </c>
      <c r="AB1017">
        <v>9.8900000000000002E-2</v>
      </c>
      <c r="AC1017">
        <v>11</v>
      </c>
      <c r="AD1017">
        <v>87</v>
      </c>
      <c r="AE1017">
        <v>0.12640000000000001</v>
      </c>
      <c r="AF1017" t="s">
        <v>2589</v>
      </c>
      <c r="AG1017" t="s">
        <v>2589</v>
      </c>
    </row>
    <row r="1018" spans="1:33">
      <c r="A1018" s="2" t="s">
        <v>115</v>
      </c>
      <c r="B1018" s="2" t="s">
        <v>75</v>
      </c>
      <c r="C1018" s="1">
        <v>0.55237211100000005</v>
      </c>
      <c r="D1018">
        <v>0.65961031000000003</v>
      </c>
      <c r="E1018">
        <v>0.69215541599999997</v>
      </c>
      <c r="F1018" s="1" t="s">
        <v>116</v>
      </c>
      <c r="G1018" s="1">
        <v>1.149700599</v>
      </c>
      <c r="H1018" s="1">
        <v>66.900000000000006</v>
      </c>
      <c r="I1018" s="1">
        <v>133.6</v>
      </c>
      <c r="J1018" s="1">
        <v>0.63471261233333331</v>
      </c>
      <c r="K1018" s="1">
        <v>0.50354843500000002</v>
      </c>
      <c r="L1018" s="1">
        <v>0.59724402499999996</v>
      </c>
      <c r="M1018" s="3">
        <v>0.70308254199999998</v>
      </c>
      <c r="N1018" s="1" t="s">
        <v>76</v>
      </c>
      <c r="O1018" s="1">
        <v>1.2696850390000001</v>
      </c>
      <c r="P1018" s="1">
        <v>26.6</v>
      </c>
      <c r="Q1018" s="1">
        <v>50.8</v>
      </c>
      <c r="R1018" s="1">
        <v>0.60129166733333339</v>
      </c>
      <c r="S1018" s="1">
        <v>7.9954405291228894E-2</v>
      </c>
      <c r="T1018" t="s">
        <v>1165</v>
      </c>
      <c r="U1018" s="1">
        <v>1287</v>
      </c>
      <c r="V1018">
        <f t="shared" si="60"/>
        <v>0.34550872743382072</v>
      </c>
      <c r="W1018" s="1">
        <f t="shared" si="61"/>
        <v>40.300000000000004</v>
      </c>
      <c r="X1018">
        <f t="shared" si="62"/>
        <v>0.11998444000000008</v>
      </c>
      <c r="Y1018">
        <f t="shared" si="63"/>
        <v>82.8</v>
      </c>
      <c r="Z1018" s="1">
        <v>2</v>
      </c>
      <c r="AA1018">
        <v>98</v>
      </c>
      <c r="AB1018">
        <v>2.0400000000000001E-2</v>
      </c>
      <c r="AC1018">
        <v>3</v>
      </c>
      <c r="AD1018">
        <v>95</v>
      </c>
      <c r="AE1018">
        <v>3.1600000000000003E-2</v>
      </c>
      <c r="AF1018" t="s">
        <v>2589</v>
      </c>
      <c r="AG1018" t="s">
        <v>2594</v>
      </c>
    </row>
    <row r="1019" spans="1:33">
      <c r="A1019" s="2" t="s">
        <v>115</v>
      </c>
      <c r="B1019" s="2" t="s">
        <v>77</v>
      </c>
      <c r="C1019" s="1">
        <v>0.55237211100000005</v>
      </c>
      <c r="D1019">
        <v>0.65961031000000003</v>
      </c>
      <c r="E1019">
        <v>0.69215541599999997</v>
      </c>
      <c r="F1019" s="1" t="s">
        <v>116</v>
      </c>
      <c r="G1019" s="1">
        <v>1.149700599</v>
      </c>
      <c r="H1019" s="1">
        <v>66.900000000000006</v>
      </c>
      <c r="I1019" s="1">
        <v>133.6</v>
      </c>
      <c r="J1019" s="1">
        <v>0.63471261233333331</v>
      </c>
      <c r="K1019" s="1">
        <v>0.54630843299999998</v>
      </c>
      <c r="L1019" s="1">
        <v>0.68935555900000001</v>
      </c>
      <c r="M1019" s="3">
        <v>0.65478744899999997</v>
      </c>
      <c r="N1019" s="1" t="s">
        <v>78</v>
      </c>
      <c r="O1019" s="1">
        <v>1.3914285710000001</v>
      </c>
      <c r="P1019" s="1">
        <v>56.5</v>
      </c>
      <c r="Q1019" s="1">
        <v>105</v>
      </c>
      <c r="R1019" s="1">
        <v>0.63015048033333343</v>
      </c>
      <c r="S1019" s="1">
        <v>4.814470881283605E-2</v>
      </c>
      <c r="T1019" t="s">
        <v>1166</v>
      </c>
      <c r="U1019" s="1">
        <v>2357</v>
      </c>
      <c r="V1019">
        <f t="shared" si="60"/>
        <v>0.37470662028048041</v>
      </c>
      <c r="W1019" s="1">
        <f t="shared" si="61"/>
        <v>10.400000000000006</v>
      </c>
      <c r="X1019">
        <f t="shared" si="62"/>
        <v>0.24172797200000007</v>
      </c>
      <c r="Y1019">
        <f t="shared" si="63"/>
        <v>28.599999999999994</v>
      </c>
      <c r="Z1019" s="1">
        <v>2</v>
      </c>
      <c r="AA1019">
        <v>98</v>
      </c>
      <c r="AB1019">
        <v>2.0400000000000001E-2</v>
      </c>
      <c r="AC1019">
        <v>3</v>
      </c>
      <c r="AD1019">
        <v>84</v>
      </c>
      <c r="AE1019">
        <v>3.5700000000000003E-2</v>
      </c>
      <c r="AF1019" t="s">
        <v>2589</v>
      </c>
      <c r="AG1019" t="s">
        <v>2590</v>
      </c>
    </row>
    <row r="1020" spans="1:33">
      <c r="A1020" s="2" t="s">
        <v>115</v>
      </c>
      <c r="B1020" s="2" t="s">
        <v>79</v>
      </c>
      <c r="C1020" s="1">
        <v>0.55237211100000005</v>
      </c>
      <c r="D1020">
        <v>0.65961031000000003</v>
      </c>
      <c r="E1020">
        <v>0.69215541599999997</v>
      </c>
      <c r="F1020" s="1" t="s">
        <v>116</v>
      </c>
      <c r="G1020" s="1">
        <v>1.149700599</v>
      </c>
      <c r="H1020" s="1">
        <v>66.900000000000006</v>
      </c>
      <c r="I1020" s="1">
        <v>133.6</v>
      </c>
      <c r="J1020" s="1">
        <v>0.63471261233333331</v>
      </c>
      <c r="K1020" s="1">
        <v>0.63652882899999996</v>
      </c>
      <c r="L1020" s="1">
        <v>0.77536518600000004</v>
      </c>
      <c r="M1020" s="3">
        <v>0.610415606</v>
      </c>
      <c r="N1020" s="1" t="s">
        <v>80</v>
      </c>
      <c r="O1020" s="1">
        <v>0.95325542600000002</v>
      </c>
      <c r="P1020" s="1">
        <v>45.6</v>
      </c>
      <c r="Q1020" s="1">
        <v>119.8</v>
      </c>
      <c r="R1020" s="1">
        <v>0.67410320700000004</v>
      </c>
      <c r="S1020" s="1">
        <v>0.16481183525809964</v>
      </c>
      <c r="T1020" t="s">
        <v>1167</v>
      </c>
      <c r="U1020" s="1">
        <v>3502</v>
      </c>
      <c r="V1020">
        <f t="shared" si="60"/>
        <v>0.39381290463860302</v>
      </c>
      <c r="W1020" s="1">
        <f t="shared" si="61"/>
        <v>21.300000000000004</v>
      </c>
      <c r="X1020">
        <f t="shared" si="62"/>
        <v>0.19644517299999997</v>
      </c>
      <c r="Y1020">
        <f t="shared" si="63"/>
        <v>13.799999999999997</v>
      </c>
      <c r="Z1020" s="1">
        <v>1</v>
      </c>
      <c r="AA1020">
        <v>99</v>
      </c>
      <c r="AB1020">
        <v>1.01E-2</v>
      </c>
      <c r="AC1020">
        <v>2</v>
      </c>
      <c r="AD1020">
        <v>76</v>
      </c>
      <c r="AE1020">
        <v>2.63E-2</v>
      </c>
      <c r="AF1020" t="s">
        <v>2589</v>
      </c>
      <c r="AG1020" t="s">
        <v>2590</v>
      </c>
    </row>
    <row r="1021" spans="1:33">
      <c r="A1021" s="2" t="s">
        <v>115</v>
      </c>
      <c r="B1021" s="2" t="s">
        <v>81</v>
      </c>
      <c r="C1021" s="1">
        <v>0.55237211100000005</v>
      </c>
      <c r="D1021">
        <v>0.65961031000000003</v>
      </c>
      <c r="E1021">
        <v>0.69215541599999997</v>
      </c>
      <c r="F1021" s="1" t="s">
        <v>116</v>
      </c>
      <c r="G1021" s="1">
        <v>1.149700599</v>
      </c>
      <c r="H1021" s="1">
        <v>66.900000000000006</v>
      </c>
      <c r="I1021" s="1">
        <v>133.6</v>
      </c>
      <c r="J1021" s="1">
        <v>0.63471261233333331</v>
      </c>
      <c r="K1021" s="1">
        <v>0.50183280699999999</v>
      </c>
      <c r="L1021" s="1">
        <v>0.68550824600000004</v>
      </c>
      <c r="M1021" s="3">
        <v>0.66941488999999998</v>
      </c>
      <c r="N1021" s="1" t="s">
        <v>82</v>
      </c>
      <c r="O1021" s="1">
        <v>1.4359576970000001</v>
      </c>
      <c r="P1021" s="1">
        <v>51</v>
      </c>
      <c r="Q1021" s="1">
        <v>85.1</v>
      </c>
      <c r="R1021" s="1">
        <v>0.61891864766666671</v>
      </c>
      <c r="S1021" s="1">
        <v>6.1172345554353184E-2</v>
      </c>
      <c r="T1021" t="s">
        <v>1168</v>
      </c>
      <c r="U1021" s="1">
        <v>8881</v>
      </c>
      <c r="V1021">
        <f t="shared" si="60"/>
        <v>0.43871798556236485</v>
      </c>
      <c r="W1021" s="1">
        <f t="shared" si="61"/>
        <v>15.900000000000006</v>
      </c>
      <c r="X1021">
        <f t="shared" si="62"/>
        <v>0.2862570980000001</v>
      </c>
      <c r="Y1021">
        <f t="shared" si="63"/>
        <v>48.5</v>
      </c>
      <c r="Z1021" s="1">
        <v>0</v>
      </c>
      <c r="AA1021">
        <v>100</v>
      </c>
      <c r="AB1021">
        <v>0</v>
      </c>
      <c r="AC1021">
        <v>0</v>
      </c>
      <c r="AD1021">
        <v>89</v>
      </c>
      <c r="AE1021">
        <v>0</v>
      </c>
      <c r="AF1021" t="s">
        <v>2589</v>
      </c>
      <c r="AG1021" t="s">
        <v>2589</v>
      </c>
    </row>
    <row r="1022" spans="1:33">
      <c r="A1022" s="2" t="s">
        <v>115</v>
      </c>
      <c r="B1022" s="2" t="s">
        <v>83</v>
      </c>
      <c r="C1022" s="1">
        <v>0.55237211100000005</v>
      </c>
      <c r="D1022">
        <v>0.65961031000000003</v>
      </c>
      <c r="E1022">
        <v>0.69215541599999997</v>
      </c>
      <c r="F1022" s="1" t="s">
        <v>116</v>
      </c>
      <c r="G1022" s="1">
        <v>1.149700599</v>
      </c>
      <c r="H1022" s="1">
        <v>66.900000000000006</v>
      </c>
      <c r="I1022" s="1">
        <v>133.6</v>
      </c>
      <c r="J1022" s="1">
        <v>0.63471261233333331</v>
      </c>
      <c r="K1022" s="1">
        <v>0.51815179099999997</v>
      </c>
      <c r="L1022" s="1">
        <v>0.50115949400000004</v>
      </c>
      <c r="M1022" s="3">
        <v>0.68053170600000001</v>
      </c>
      <c r="N1022" s="1" t="s">
        <v>84</v>
      </c>
      <c r="O1022" s="1">
        <v>1.760323887</v>
      </c>
      <c r="P1022" s="1">
        <v>83.4</v>
      </c>
      <c r="Q1022" s="1">
        <v>123.5</v>
      </c>
      <c r="R1022" s="1">
        <v>0.56661433033333342</v>
      </c>
      <c r="S1022" s="1">
        <v>0.16252015883001211</v>
      </c>
      <c r="T1022" t="s">
        <v>1169</v>
      </c>
      <c r="U1022" s="1">
        <v>470917</v>
      </c>
      <c r="V1022">
        <f t="shared" si="60"/>
        <v>0.6303271520734306</v>
      </c>
      <c r="W1022" s="1">
        <f t="shared" si="61"/>
        <v>16.5</v>
      </c>
      <c r="X1022">
        <f t="shared" si="62"/>
        <v>0.61062328799999999</v>
      </c>
      <c r="Y1022">
        <f t="shared" si="63"/>
        <v>10.099999999999994</v>
      </c>
      <c r="Z1022" s="1">
        <v>5</v>
      </c>
      <c r="AA1022">
        <v>95</v>
      </c>
      <c r="AB1022">
        <v>5.2600000000000001E-2</v>
      </c>
      <c r="AC1022">
        <v>6</v>
      </c>
      <c r="AD1022">
        <v>78</v>
      </c>
      <c r="AE1022">
        <v>7.6899999999999996E-2</v>
      </c>
      <c r="AF1022" t="s">
        <v>2589</v>
      </c>
      <c r="AG1022" t="s">
        <v>2589</v>
      </c>
    </row>
    <row r="1023" spans="1:33">
      <c r="A1023" s="2" t="s">
        <v>115</v>
      </c>
      <c r="B1023" s="2" t="s">
        <v>85</v>
      </c>
      <c r="C1023" s="1">
        <v>0.55237211100000005</v>
      </c>
      <c r="D1023">
        <v>0.65961031000000003</v>
      </c>
      <c r="E1023">
        <v>0.69215541599999997</v>
      </c>
      <c r="F1023" s="1" t="s">
        <v>116</v>
      </c>
      <c r="G1023" s="1">
        <v>1.149700599</v>
      </c>
      <c r="H1023" s="1">
        <v>66.900000000000006</v>
      </c>
      <c r="I1023" s="1">
        <v>133.6</v>
      </c>
      <c r="J1023" s="1">
        <v>0.63471261233333331</v>
      </c>
      <c r="K1023" s="1">
        <v>0.522280945</v>
      </c>
      <c r="L1023" s="1">
        <v>0.58016629799999997</v>
      </c>
      <c r="M1023" s="3">
        <v>0.62446713499999995</v>
      </c>
      <c r="N1023" s="1" t="s">
        <v>86</v>
      </c>
      <c r="O1023" s="1">
        <v>0.57177615599999998</v>
      </c>
      <c r="P1023" s="1">
        <v>19.5</v>
      </c>
      <c r="Q1023" s="1">
        <v>82.2</v>
      </c>
      <c r="R1023" s="1">
        <v>0.57563812599999997</v>
      </c>
      <c r="S1023" s="1">
        <v>0.10862105090004735</v>
      </c>
      <c r="T1023" t="s">
        <v>1170</v>
      </c>
      <c r="U1023" s="1">
        <v>427</v>
      </c>
      <c r="V1023">
        <f t="shared" si="60"/>
        <v>0.29226976389166937</v>
      </c>
      <c r="W1023" s="1">
        <f t="shared" si="61"/>
        <v>47.400000000000006</v>
      </c>
      <c r="X1023">
        <f t="shared" si="62"/>
        <v>0.57792444300000001</v>
      </c>
      <c r="Y1023">
        <f t="shared" si="63"/>
        <v>51.399999999999991</v>
      </c>
      <c r="Z1023" s="1">
        <v>1</v>
      </c>
      <c r="AA1023">
        <v>99</v>
      </c>
      <c r="AB1023">
        <v>1.01E-2</v>
      </c>
      <c r="AC1023">
        <v>2</v>
      </c>
      <c r="AD1023">
        <v>147</v>
      </c>
      <c r="AE1023">
        <v>1.3599999999999999E-2</v>
      </c>
      <c r="AF1023" t="s">
        <v>2589</v>
      </c>
      <c r="AG1023" t="s">
        <v>2590</v>
      </c>
    </row>
    <row r="1024" spans="1:33">
      <c r="A1024" s="2" t="s">
        <v>115</v>
      </c>
      <c r="B1024" s="2" t="s">
        <v>87</v>
      </c>
      <c r="C1024" s="1">
        <v>0.55237211100000005</v>
      </c>
      <c r="D1024">
        <v>0.65961031000000003</v>
      </c>
      <c r="E1024">
        <v>0.69215541599999997</v>
      </c>
      <c r="F1024" s="1" t="s">
        <v>116</v>
      </c>
      <c r="G1024" s="1">
        <v>1.149700599</v>
      </c>
      <c r="H1024" s="1">
        <v>66.900000000000006</v>
      </c>
      <c r="I1024" s="1">
        <v>133.6</v>
      </c>
      <c r="J1024" s="1">
        <v>0.63471261233333331</v>
      </c>
      <c r="K1024" s="1">
        <v>0.46780425199999998</v>
      </c>
      <c r="L1024" s="1">
        <v>0.54149707400000002</v>
      </c>
      <c r="M1024" s="3">
        <v>0.61626236400000001</v>
      </c>
      <c r="N1024" s="1" t="s">
        <v>88</v>
      </c>
      <c r="O1024" s="1">
        <v>1.395454545</v>
      </c>
      <c r="P1024" s="1">
        <v>65.2</v>
      </c>
      <c r="Q1024" s="1">
        <v>110</v>
      </c>
      <c r="R1024" s="1">
        <v>0.54185456333333337</v>
      </c>
      <c r="S1024" s="1">
        <v>0.16389696347434352</v>
      </c>
      <c r="T1024" t="s">
        <v>1171</v>
      </c>
      <c r="U1024" s="1">
        <v>7866</v>
      </c>
      <c r="V1024">
        <f t="shared" si="60"/>
        <v>0.43286154911930308</v>
      </c>
      <c r="W1024" s="1">
        <f t="shared" si="61"/>
        <v>1.7000000000000028</v>
      </c>
      <c r="X1024">
        <f t="shared" si="62"/>
        <v>0.245753946</v>
      </c>
      <c r="Y1024">
        <f t="shared" si="63"/>
        <v>23.599999999999994</v>
      </c>
      <c r="Z1024" s="1">
        <v>7</v>
      </c>
      <c r="AA1024">
        <v>93</v>
      </c>
      <c r="AB1024">
        <v>7.5300000000000006E-2</v>
      </c>
      <c r="AC1024">
        <v>9</v>
      </c>
      <c r="AD1024">
        <v>73</v>
      </c>
      <c r="AE1024">
        <v>0.12330000000000001</v>
      </c>
      <c r="AF1024" t="s">
        <v>2589</v>
      </c>
      <c r="AG1024" t="s">
        <v>2590</v>
      </c>
    </row>
    <row r="1025" spans="1:33">
      <c r="A1025" s="2" t="s">
        <v>115</v>
      </c>
      <c r="B1025" s="2" t="s">
        <v>89</v>
      </c>
      <c r="C1025" s="1">
        <v>0.55237211100000005</v>
      </c>
      <c r="D1025">
        <v>0.65961031000000003</v>
      </c>
      <c r="E1025">
        <v>0.69215541599999997</v>
      </c>
      <c r="F1025" s="1" t="s">
        <v>116</v>
      </c>
      <c r="G1025" s="1">
        <v>1.149700599</v>
      </c>
      <c r="H1025" s="1">
        <v>66.900000000000006</v>
      </c>
      <c r="I1025" s="1">
        <v>133.6</v>
      </c>
      <c r="J1025" s="1">
        <v>0.63471261233333331</v>
      </c>
      <c r="K1025" s="1">
        <v>0.51097051500000001</v>
      </c>
      <c r="L1025" s="1">
        <v>0.61917891400000002</v>
      </c>
      <c r="M1025" s="3">
        <v>0.60984479800000002</v>
      </c>
      <c r="N1025" s="1" t="s">
        <v>90</v>
      </c>
      <c r="O1025" s="1">
        <v>1.429752066</v>
      </c>
      <c r="P1025" s="1">
        <v>59.8</v>
      </c>
      <c r="Q1025" s="1">
        <v>108.9</v>
      </c>
      <c r="R1025" s="1">
        <v>0.57999807566666661</v>
      </c>
      <c r="S1025" s="1">
        <v>0.10061723395819402</v>
      </c>
      <c r="T1025" t="s">
        <v>1172</v>
      </c>
      <c r="U1025" s="1">
        <v>15438</v>
      </c>
      <c r="V1025">
        <f t="shared" si="60"/>
        <v>0.46539900406599888</v>
      </c>
      <c r="W1025" s="1">
        <f t="shared" si="61"/>
        <v>7.1000000000000085</v>
      </c>
      <c r="X1025">
        <f t="shared" si="62"/>
        <v>0.28005146700000005</v>
      </c>
      <c r="Y1025">
        <f t="shared" si="63"/>
        <v>24.699999999999989</v>
      </c>
      <c r="Z1025" s="1">
        <v>10</v>
      </c>
      <c r="AA1025">
        <v>90</v>
      </c>
      <c r="AB1025">
        <v>0.1111</v>
      </c>
      <c r="AC1025">
        <v>12</v>
      </c>
      <c r="AD1025">
        <v>79</v>
      </c>
      <c r="AE1025">
        <v>0.15190000000000001</v>
      </c>
      <c r="AF1025" t="s">
        <v>2589</v>
      </c>
      <c r="AG1025" t="s">
        <v>2589</v>
      </c>
    </row>
    <row r="1026" spans="1:33">
      <c r="A1026" s="2" t="s">
        <v>115</v>
      </c>
      <c r="B1026" s="2" t="s">
        <v>91</v>
      </c>
      <c r="C1026" s="1">
        <v>0.55237211100000005</v>
      </c>
      <c r="D1026">
        <v>0.65961031000000003</v>
      </c>
      <c r="E1026">
        <v>0.69215541599999997</v>
      </c>
      <c r="F1026" s="1" t="s">
        <v>116</v>
      </c>
      <c r="G1026" s="1">
        <v>1.149700599</v>
      </c>
      <c r="H1026" s="1">
        <v>66.900000000000006</v>
      </c>
      <c r="I1026" s="1">
        <v>133.6</v>
      </c>
      <c r="J1026" s="1">
        <v>0.63471261233333331</v>
      </c>
      <c r="K1026" s="1">
        <v>0.37439919700000002</v>
      </c>
      <c r="L1026" s="1">
        <v>0.508839347</v>
      </c>
      <c r="M1026" s="3">
        <v>0.52701193599999996</v>
      </c>
      <c r="N1026" s="1" t="s">
        <v>92</v>
      </c>
      <c r="O1026" s="1">
        <v>1.911504425</v>
      </c>
      <c r="P1026" s="1">
        <v>24.6</v>
      </c>
      <c r="Q1026" s="1">
        <v>33.9</v>
      </c>
      <c r="R1026" s="1">
        <v>0.47008349333333332</v>
      </c>
      <c r="S1026" s="1">
        <v>0.28579469972011234</v>
      </c>
      <c r="T1026" t="s">
        <v>1173</v>
      </c>
      <c r="U1026" s="1">
        <v>318</v>
      </c>
      <c r="V1026">
        <f t="shared" ref="V1026:V1089" si="64">LOG10(U1026) / 9</f>
        <v>0.27804745777604806</v>
      </c>
      <c r="W1026" s="1">
        <f t="shared" ref="W1026:W1089" si="65">ABS(H1026-P1026)</f>
        <v>42.300000000000004</v>
      </c>
      <c r="X1026">
        <f t="shared" ref="X1026:X1089" si="66">ABS(G1026-O1026)</f>
        <v>0.76180382599999996</v>
      </c>
      <c r="Y1026">
        <f t="shared" ref="Y1026:Y1089" si="67">ABS(I1026-Q1026)</f>
        <v>99.699999999999989</v>
      </c>
      <c r="Z1026" s="1">
        <v>3</v>
      </c>
      <c r="AA1026">
        <v>97</v>
      </c>
      <c r="AB1026">
        <v>3.09E-2</v>
      </c>
      <c r="AC1026">
        <v>4</v>
      </c>
      <c r="AD1026">
        <v>94</v>
      </c>
      <c r="AE1026">
        <v>4.2599999999999999E-2</v>
      </c>
      <c r="AF1026" t="s">
        <v>2589</v>
      </c>
      <c r="AG1026" t="s">
        <v>2590</v>
      </c>
    </row>
    <row r="1027" spans="1:33">
      <c r="A1027" s="2" t="s">
        <v>115</v>
      </c>
      <c r="B1027" s="2" t="s">
        <v>93</v>
      </c>
      <c r="C1027" s="1">
        <v>0.55237211100000005</v>
      </c>
      <c r="D1027">
        <v>0.65961031000000003</v>
      </c>
      <c r="E1027">
        <v>0.69215541599999997</v>
      </c>
      <c r="F1027" s="1" t="s">
        <v>116</v>
      </c>
      <c r="G1027" s="1">
        <v>1.149700599</v>
      </c>
      <c r="H1027" s="1">
        <v>66.900000000000006</v>
      </c>
      <c r="I1027" s="1">
        <v>133.6</v>
      </c>
      <c r="J1027" s="1">
        <v>0.63471261233333331</v>
      </c>
      <c r="K1027" s="1">
        <v>0.54134617200000001</v>
      </c>
      <c r="L1027" s="1">
        <v>0.674899633</v>
      </c>
      <c r="M1027" s="3">
        <v>0.719840174</v>
      </c>
      <c r="N1027" s="1" t="s">
        <v>94</v>
      </c>
      <c r="O1027" s="1">
        <v>1.175388967</v>
      </c>
      <c r="P1027" s="1">
        <v>36.6</v>
      </c>
      <c r="Q1027" s="1">
        <v>70.7</v>
      </c>
      <c r="R1027" s="1">
        <v>0.64536199299999997</v>
      </c>
      <c r="S1027" s="1">
        <v>3.3492992612613993E-2</v>
      </c>
      <c r="T1027" t="s">
        <v>1174</v>
      </c>
      <c r="U1027" s="1">
        <v>15346</v>
      </c>
      <c r="V1027">
        <f t="shared" si="64"/>
        <v>0.46511057709607928</v>
      </c>
      <c r="W1027" s="1">
        <f t="shared" si="65"/>
        <v>30.300000000000004</v>
      </c>
      <c r="X1027">
        <f t="shared" si="66"/>
        <v>2.5688367999999961E-2</v>
      </c>
      <c r="Y1027">
        <f t="shared" si="67"/>
        <v>62.899999999999991</v>
      </c>
      <c r="Z1027" s="1">
        <v>8</v>
      </c>
      <c r="AA1027">
        <v>92</v>
      </c>
      <c r="AB1027">
        <v>8.6999999999999994E-2</v>
      </c>
      <c r="AC1027">
        <v>10</v>
      </c>
      <c r="AD1027">
        <v>79</v>
      </c>
      <c r="AE1027">
        <v>0.12659999999999999</v>
      </c>
      <c r="AF1027" t="s">
        <v>2589</v>
      </c>
      <c r="AG1027" t="s">
        <v>2589</v>
      </c>
    </row>
    <row r="1028" spans="1:33">
      <c r="A1028" s="2" t="s">
        <v>115</v>
      </c>
      <c r="B1028" s="2" t="s">
        <v>95</v>
      </c>
      <c r="C1028" s="1">
        <v>0.55237211100000005</v>
      </c>
      <c r="D1028">
        <v>0.65961031000000003</v>
      </c>
      <c r="E1028">
        <v>0.69215541599999997</v>
      </c>
      <c r="F1028" s="1" t="s">
        <v>116</v>
      </c>
      <c r="G1028" s="1">
        <v>1.149700599</v>
      </c>
      <c r="H1028" s="1">
        <v>66.900000000000006</v>
      </c>
      <c r="I1028" s="1">
        <v>133.6</v>
      </c>
      <c r="J1028" s="1">
        <v>0.63471261233333331</v>
      </c>
      <c r="K1028" s="1">
        <v>0.59462093100000002</v>
      </c>
      <c r="L1028" s="1">
        <v>0.68038960500000001</v>
      </c>
      <c r="M1028" s="3">
        <v>0.72533004899999998</v>
      </c>
      <c r="N1028" s="1" t="s">
        <v>96</v>
      </c>
      <c r="O1028" s="1">
        <v>1.9717647060000001</v>
      </c>
      <c r="P1028" s="1">
        <v>34.6</v>
      </c>
      <c r="Q1028" s="1">
        <v>42.5</v>
      </c>
      <c r="R1028" s="1">
        <v>0.66678019499999996</v>
      </c>
      <c r="S1028" s="1">
        <v>5.7595990891503121E-2</v>
      </c>
      <c r="T1028" t="s">
        <v>1175</v>
      </c>
      <c r="U1028" s="1">
        <v>403</v>
      </c>
      <c r="V1028">
        <f t="shared" si="64"/>
        <v>0.28947833846012327</v>
      </c>
      <c r="W1028" s="1">
        <f t="shared" si="65"/>
        <v>32.300000000000004</v>
      </c>
      <c r="X1028">
        <f t="shared" si="66"/>
        <v>0.8220641070000001</v>
      </c>
      <c r="Y1028">
        <f t="shared" si="67"/>
        <v>91.1</v>
      </c>
      <c r="Z1028" s="1">
        <v>0</v>
      </c>
      <c r="AA1028">
        <v>100</v>
      </c>
      <c r="AB1028">
        <v>0</v>
      </c>
      <c r="AC1028">
        <v>0</v>
      </c>
      <c r="AD1028">
        <v>95</v>
      </c>
      <c r="AE1028">
        <v>0</v>
      </c>
      <c r="AF1028" t="s">
        <v>2589</v>
      </c>
      <c r="AG1028" t="s">
        <v>2593</v>
      </c>
    </row>
    <row r="1029" spans="1:33">
      <c r="A1029" s="2" t="s">
        <v>115</v>
      </c>
      <c r="B1029" s="2" t="s">
        <v>97</v>
      </c>
      <c r="C1029" s="1">
        <v>0.55237211100000005</v>
      </c>
      <c r="D1029">
        <v>0.65961031000000003</v>
      </c>
      <c r="E1029">
        <v>0.69215541599999997</v>
      </c>
      <c r="F1029" s="1" t="s">
        <v>116</v>
      </c>
      <c r="G1029" s="1">
        <v>1.149700599</v>
      </c>
      <c r="H1029" s="1">
        <v>66.900000000000006</v>
      </c>
      <c r="I1029" s="1">
        <v>133.6</v>
      </c>
      <c r="J1029" s="1">
        <v>0.63471261233333331</v>
      </c>
      <c r="K1029" s="1">
        <v>0.63674842300000001</v>
      </c>
      <c r="L1029" s="1">
        <v>0.68532635500000005</v>
      </c>
      <c r="M1029" s="3">
        <v>0.727031494</v>
      </c>
      <c r="N1029" s="1" t="s">
        <v>98</v>
      </c>
      <c r="O1029" s="1">
        <v>2.360103627</v>
      </c>
      <c r="P1029" s="1">
        <v>36.799999999999997</v>
      </c>
      <c r="Q1029" s="1">
        <v>38.6</v>
      </c>
      <c r="R1029" s="1">
        <v>0.68303542400000017</v>
      </c>
      <c r="S1029" s="1">
        <v>9.4852611001624232E-2</v>
      </c>
      <c r="T1029" t="s">
        <v>1176</v>
      </c>
      <c r="U1029" s="1">
        <v>411</v>
      </c>
      <c r="V1029">
        <f t="shared" si="64"/>
        <v>0.29042686909734106</v>
      </c>
      <c r="W1029" s="1">
        <f t="shared" si="65"/>
        <v>30.100000000000009</v>
      </c>
      <c r="X1029">
        <f t="shared" si="66"/>
        <v>1.210403028</v>
      </c>
      <c r="Y1029">
        <f t="shared" si="67"/>
        <v>95</v>
      </c>
      <c r="Z1029" s="1">
        <v>0</v>
      </c>
      <c r="AA1029">
        <v>100</v>
      </c>
      <c r="AB1029">
        <v>0</v>
      </c>
      <c r="AC1029">
        <v>0</v>
      </c>
      <c r="AD1029">
        <v>95</v>
      </c>
      <c r="AE1029">
        <v>0</v>
      </c>
      <c r="AF1029" t="s">
        <v>2589</v>
      </c>
      <c r="AG1029" t="s">
        <v>2593</v>
      </c>
    </row>
    <row r="1030" spans="1:33">
      <c r="A1030" s="2" t="s">
        <v>115</v>
      </c>
      <c r="B1030" s="2" t="s">
        <v>99</v>
      </c>
      <c r="C1030" s="1">
        <v>0.55237211100000005</v>
      </c>
      <c r="D1030">
        <v>0.65961031000000003</v>
      </c>
      <c r="E1030">
        <v>0.69215541599999997</v>
      </c>
      <c r="F1030" s="1" t="s">
        <v>116</v>
      </c>
      <c r="G1030" s="1">
        <v>1.149700599</v>
      </c>
      <c r="H1030" s="1">
        <v>66.900000000000006</v>
      </c>
      <c r="I1030" s="1">
        <v>133.6</v>
      </c>
      <c r="J1030" s="1">
        <v>0.63471261233333331</v>
      </c>
      <c r="K1030" s="1">
        <v>0.52525630099999998</v>
      </c>
      <c r="L1030" s="1">
        <v>0.68706170200000005</v>
      </c>
      <c r="M1030" s="3">
        <v>0.71473597300000002</v>
      </c>
      <c r="N1030" s="1" t="s">
        <v>100</v>
      </c>
      <c r="O1030" s="1">
        <v>1.72605042</v>
      </c>
      <c r="P1030" s="1">
        <v>46.5</v>
      </c>
      <c r="Q1030" s="1">
        <v>59.5</v>
      </c>
      <c r="R1030" s="1">
        <v>0.64235132533333339</v>
      </c>
      <c r="S1030" s="1">
        <v>4.4707131747899247E-2</v>
      </c>
      <c r="T1030" t="s">
        <v>1177</v>
      </c>
      <c r="U1030" s="1">
        <v>17733</v>
      </c>
      <c r="V1030">
        <f t="shared" si="64"/>
        <v>0.47208691267428332</v>
      </c>
      <c r="W1030" s="1">
        <f t="shared" si="65"/>
        <v>20.400000000000006</v>
      </c>
      <c r="X1030">
        <f t="shared" si="66"/>
        <v>0.57634982099999998</v>
      </c>
      <c r="Y1030">
        <f t="shared" si="67"/>
        <v>74.099999999999994</v>
      </c>
      <c r="Z1030" s="1">
        <v>0</v>
      </c>
      <c r="AA1030">
        <v>100</v>
      </c>
      <c r="AB1030">
        <v>0</v>
      </c>
      <c r="AC1030">
        <v>0</v>
      </c>
      <c r="AD1030">
        <v>97</v>
      </c>
      <c r="AE1030">
        <v>0</v>
      </c>
      <c r="AF1030" t="s">
        <v>2589</v>
      </c>
      <c r="AG1030" t="s">
        <v>2589</v>
      </c>
    </row>
    <row r="1031" spans="1:33">
      <c r="A1031" s="2" t="s">
        <v>115</v>
      </c>
      <c r="B1031" s="2" t="s">
        <v>148</v>
      </c>
      <c r="C1031" s="1">
        <v>0.55237211100000005</v>
      </c>
      <c r="D1031">
        <v>0.65961031000000003</v>
      </c>
      <c r="E1031">
        <v>0.69215541599999997</v>
      </c>
      <c r="F1031" s="1" t="s">
        <v>116</v>
      </c>
      <c r="G1031" s="1">
        <v>1.149700599</v>
      </c>
      <c r="H1031" s="1">
        <v>66.900000000000006</v>
      </c>
      <c r="I1031" s="1">
        <v>133.6</v>
      </c>
      <c r="J1031" s="1">
        <v>0.63471261233333331</v>
      </c>
      <c r="K1031" s="1">
        <v>0.52246277500000005</v>
      </c>
      <c r="L1031" s="1">
        <v>0.64036274199999998</v>
      </c>
      <c r="M1031" s="3">
        <v>0.62317592099999997</v>
      </c>
      <c r="N1031" s="1" t="s">
        <v>149</v>
      </c>
      <c r="O1031" s="1">
        <v>1.201000834</v>
      </c>
      <c r="P1031" s="1">
        <v>59.2</v>
      </c>
      <c r="Q1031" s="1">
        <v>119.9</v>
      </c>
      <c r="R1031" s="1">
        <v>0.59533381266666663</v>
      </c>
      <c r="S1031" s="1">
        <v>7.7609329235154123E-2</v>
      </c>
      <c r="T1031" t="s">
        <v>1185</v>
      </c>
      <c r="U1031" s="1">
        <v>12994</v>
      </c>
      <c r="V1031">
        <f t="shared" si="64"/>
        <v>0.45708254026992773</v>
      </c>
      <c r="W1031" s="1">
        <f t="shared" si="65"/>
        <v>7.7000000000000028</v>
      </c>
      <c r="X1031">
        <f t="shared" si="66"/>
        <v>5.1300235000000027E-2</v>
      </c>
      <c r="Y1031">
        <f t="shared" si="67"/>
        <v>13.699999999999989</v>
      </c>
      <c r="Z1031" s="1">
        <v>10</v>
      </c>
      <c r="AA1031">
        <v>90</v>
      </c>
      <c r="AB1031">
        <v>0.1111</v>
      </c>
      <c r="AC1031">
        <v>12</v>
      </c>
      <c r="AD1031">
        <v>80</v>
      </c>
      <c r="AE1031">
        <v>0.15</v>
      </c>
      <c r="AF1031" t="s">
        <v>2589</v>
      </c>
      <c r="AG1031" t="s">
        <v>2589</v>
      </c>
    </row>
    <row r="1032" spans="1:33">
      <c r="A1032" s="2" t="s">
        <v>115</v>
      </c>
      <c r="B1032" s="2" t="s">
        <v>101</v>
      </c>
      <c r="C1032" s="1">
        <v>0.55237211100000005</v>
      </c>
      <c r="D1032">
        <v>0.65961031000000003</v>
      </c>
      <c r="E1032">
        <v>0.69215541599999997</v>
      </c>
      <c r="F1032" s="1" t="s">
        <v>116</v>
      </c>
      <c r="G1032" s="1">
        <v>1.149700599</v>
      </c>
      <c r="H1032" s="1">
        <v>66.900000000000006</v>
      </c>
      <c r="I1032" s="1">
        <v>133.6</v>
      </c>
      <c r="J1032" s="1">
        <v>0.63471261233333331</v>
      </c>
      <c r="K1032" s="1">
        <v>0.57277697599999999</v>
      </c>
      <c r="L1032" s="1">
        <v>0.64568820599999999</v>
      </c>
      <c r="M1032" s="3">
        <v>0.70909993500000001</v>
      </c>
      <c r="N1032" s="1" t="s">
        <v>102</v>
      </c>
      <c r="O1032" s="1">
        <v>1.2818181820000001</v>
      </c>
      <c r="P1032" s="1">
        <v>58</v>
      </c>
      <c r="Q1032" s="1">
        <v>110</v>
      </c>
      <c r="R1032" s="1">
        <v>0.64252170566666666</v>
      </c>
      <c r="S1032" s="1">
        <v>2.9954969864721986E-2</v>
      </c>
      <c r="T1032" t="s">
        <v>1178</v>
      </c>
      <c r="U1032" s="1">
        <v>5519</v>
      </c>
      <c r="V1032">
        <f t="shared" si="64"/>
        <v>0.41576226600725152</v>
      </c>
      <c r="W1032" s="1">
        <f t="shared" si="65"/>
        <v>8.9000000000000057</v>
      </c>
      <c r="X1032">
        <f t="shared" si="66"/>
        <v>0.13211758300000009</v>
      </c>
      <c r="Y1032">
        <f t="shared" si="67"/>
        <v>23.599999999999994</v>
      </c>
      <c r="Z1032" s="1">
        <v>6</v>
      </c>
      <c r="AA1032">
        <v>94</v>
      </c>
      <c r="AB1032">
        <v>6.3799999999999996E-2</v>
      </c>
      <c r="AC1032">
        <v>8</v>
      </c>
      <c r="AD1032">
        <v>82</v>
      </c>
      <c r="AE1032">
        <v>9.7600000000000006E-2</v>
      </c>
      <c r="AF1032" t="s">
        <v>2589</v>
      </c>
      <c r="AG1032" t="s">
        <v>2589</v>
      </c>
    </row>
    <row r="1033" spans="1:33">
      <c r="A1033" s="2" t="s">
        <v>115</v>
      </c>
      <c r="B1033" s="2" t="s">
        <v>103</v>
      </c>
      <c r="C1033" s="1">
        <v>0.55237211100000005</v>
      </c>
      <c r="D1033">
        <v>0.65961031000000003</v>
      </c>
      <c r="E1033">
        <v>0.69215541599999997</v>
      </c>
      <c r="F1033" s="1" t="s">
        <v>116</v>
      </c>
      <c r="G1033" s="1">
        <v>1.149700599</v>
      </c>
      <c r="H1033" s="1">
        <v>66.900000000000006</v>
      </c>
      <c r="I1033" s="1">
        <v>133.6</v>
      </c>
      <c r="J1033" s="1">
        <v>0.63471261233333331</v>
      </c>
      <c r="K1033" s="1">
        <v>0.58538445800000005</v>
      </c>
      <c r="L1033" s="1">
        <v>0.70461059999999998</v>
      </c>
      <c r="M1033" s="3">
        <v>0.67846608399999997</v>
      </c>
      <c r="N1033" s="1" t="s">
        <v>104</v>
      </c>
      <c r="O1033" s="1">
        <v>1.1020080320000001</v>
      </c>
      <c r="P1033" s="1">
        <v>58.7</v>
      </c>
      <c r="Q1033" s="1">
        <v>124.5</v>
      </c>
      <c r="R1033" s="1">
        <v>0.65615371400000011</v>
      </c>
      <c r="S1033" s="1">
        <v>5.7465110851182798E-2</v>
      </c>
      <c r="T1033" t="s">
        <v>1179</v>
      </c>
      <c r="U1033" s="1">
        <v>25308</v>
      </c>
      <c r="V1033">
        <f t="shared" si="64"/>
        <v>0.48925086953190128</v>
      </c>
      <c r="W1033" s="1">
        <f t="shared" si="65"/>
        <v>8.2000000000000028</v>
      </c>
      <c r="X1033">
        <f t="shared" si="66"/>
        <v>4.7692566999999908E-2</v>
      </c>
      <c r="Y1033">
        <f t="shared" si="67"/>
        <v>9.0999999999999943</v>
      </c>
      <c r="Z1033" s="1">
        <v>1</v>
      </c>
      <c r="AA1033">
        <v>99</v>
      </c>
      <c r="AB1033">
        <v>1.01E-2</v>
      </c>
      <c r="AC1033">
        <v>2</v>
      </c>
      <c r="AD1033">
        <v>89</v>
      </c>
      <c r="AE1033">
        <v>2.2499999999999999E-2</v>
      </c>
      <c r="AF1033" t="s">
        <v>2589</v>
      </c>
      <c r="AG1033" t="s">
        <v>2589</v>
      </c>
    </row>
    <row r="1034" spans="1:33">
      <c r="A1034" s="2" t="s">
        <v>115</v>
      </c>
      <c r="B1034" s="2" t="s">
        <v>105</v>
      </c>
      <c r="C1034" s="1">
        <v>0.55237211100000005</v>
      </c>
      <c r="D1034">
        <v>0.65961031000000003</v>
      </c>
      <c r="E1034">
        <v>0.69215541599999997</v>
      </c>
      <c r="F1034" s="1" t="s">
        <v>116</v>
      </c>
      <c r="G1034" s="1">
        <v>1.149700599</v>
      </c>
      <c r="H1034" s="1">
        <v>66.900000000000006</v>
      </c>
      <c r="I1034" s="1">
        <v>133.6</v>
      </c>
      <c r="J1034" s="1">
        <v>0.63471261233333331</v>
      </c>
      <c r="K1034" s="1">
        <v>0.56210716000000005</v>
      </c>
      <c r="L1034" s="1">
        <v>0.68032504299999996</v>
      </c>
      <c r="M1034" s="3">
        <v>0.71115907899999997</v>
      </c>
      <c r="N1034" s="1" t="s">
        <v>106</v>
      </c>
      <c r="O1034" s="1">
        <v>1.0978593270000001</v>
      </c>
      <c r="P1034" s="1">
        <v>43.5</v>
      </c>
      <c r="Q1034" s="1">
        <v>98.1</v>
      </c>
      <c r="R1034" s="1">
        <v>0.65119709399999992</v>
      </c>
      <c r="S1034" s="1">
        <v>2.974912687309085E-2</v>
      </c>
      <c r="T1034" t="s">
        <v>1180</v>
      </c>
      <c r="U1034" s="1">
        <v>9068</v>
      </c>
      <c r="V1034">
        <f t="shared" si="64"/>
        <v>0.43972350127271997</v>
      </c>
      <c r="W1034" s="1">
        <f t="shared" si="65"/>
        <v>23.400000000000006</v>
      </c>
      <c r="X1034">
        <f t="shared" si="66"/>
        <v>5.1841271999999883E-2</v>
      </c>
      <c r="Y1034">
        <f t="shared" si="67"/>
        <v>35.5</v>
      </c>
      <c r="Z1034" s="1">
        <v>0</v>
      </c>
      <c r="AA1034">
        <v>100</v>
      </c>
      <c r="AB1034">
        <v>0</v>
      </c>
      <c r="AC1034">
        <v>0</v>
      </c>
      <c r="AD1034">
        <v>109</v>
      </c>
      <c r="AE1034">
        <v>0</v>
      </c>
      <c r="AF1034" t="s">
        <v>2589</v>
      </c>
      <c r="AG1034" t="s">
        <v>2589</v>
      </c>
    </row>
    <row r="1035" spans="1:33">
      <c r="A1035" s="2" t="s">
        <v>115</v>
      </c>
      <c r="B1035" s="2" t="s">
        <v>107</v>
      </c>
      <c r="C1035" s="1">
        <v>0.55237211100000005</v>
      </c>
      <c r="D1035">
        <v>0.65961031000000003</v>
      </c>
      <c r="E1035">
        <v>0.69215541599999997</v>
      </c>
      <c r="F1035" s="1" t="s">
        <v>116</v>
      </c>
      <c r="G1035" s="1">
        <v>1.149700599</v>
      </c>
      <c r="H1035" s="1">
        <v>66.900000000000006</v>
      </c>
      <c r="I1035" s="1">
        <v>133.6</v>
      </c>
      <c r="J1035" s="1">
        <v>0.63471261233333331</v>
      </c>
      <c r="K1035" s="1">
        <v>0.61734740899999996</v>
      </c>
      <c r="L1035" s="1">
        <v>0.68293216999999995</v>
      </c>
      <c r="M1035" s="3">
        <v>0.69981194099999999</v>
      </c>
      <c r="N1035" s="1" t="s">
        <v>108</v>
      </c>
      <c r="O1035" s="1">
        <v>2</v>
      </c>
      <c r="P1035" s="1">
        <v>19</v>
      </c>
      <c r="Q1035" s="1">
        <v>21.1</v>
      </c>
      <c r="R1035" s="1">
        <v>0.66669717333333323</v>
      </c>
      <c r="S1035" s="1">
        <v>6.9457331356193155E-2</v>
      </c>
      <c r="T1035" t="s">
        <v>1181</v>
      </c>
      <c r="U1035" s="1">
        <v>753</v>
      </c>
      <c r="V1035">
        <f t="shared" si="64"/>
        <v>0.31964388624452228</v>
      </c>
      <c r="W1035" s="1">
        <f t="shared" si="65"/>
        <v>47.900000000000006</v>
      </c>
      <c r="X1035">
        <f t="shared" si="66"/>
        <v>0.85029940100000001</v>
      </c>
      <c r="Y1035">
        <f t="shared" si="67"/>
        <v>112.5</v>
      </c>
      <c r="Z1035" s="1">
        <v>0</v>
      </c>
      <c r="AA1035">
        <v>100</v>
      </c>
      <c r="AB1035">
        <v>0</v>
      </c>
      <c r="AC1035">
        <v>1</v>
      </c>
      <c r="AD1035">
        <v>84</v>
      </c>
      <c r="AE1035">
        <v>1.1900000000000001E-2</v>
      </c>
      <c r="AF1035" t="s">
        <v>2589</v>
      </c>
      <c r="AG1035" t="s">
        <v>2588</v>
      </c>
    </row>
    <row r="1036" spans="1:33">
      <c r="A1036" s="2" t="s">
        <v>115</v>
      </c>
      <c r="B1036" s="2" t="s">
        <v>109</v>
      </c>
      <c r="C1036" s="1">
        <v>0.55237211100000005</v>
      </c>
      <c r="D1036">
        <v>0.65961031000000003</v>
      </c>
      <c r="E1036">
        <v>0.69215541599999997</v>
      </c>
      <c r="F1036" s="1" t="s">
        <v>116</v>
      </c>
      <c r="G1036" s="1">
        <v>1.149700599</v>
      </c>
      <c r="H1036" s="1">
        <v>66.900000000000006</v>
      </c>
      <c r="I1036" s="1">
        <v>133.6</v>
      </c>
      <c r="J1036" s="1">
        <v>0.63471261233333331</v>
      </c>
      <c r="K1036" s="1">
        <v>0.51638908800000005</v>
      </c>
      <c r="L1036" s="1">
        <v>0.68684605300000001</v>
      </c>
      <c r="M1036" s="3">
        <v>0.66065444600000001</v>
      </c>
      <c r="N1036" s="1" t="s">
        <v>110</v>
      </c>
      <c r="O1036" s="1">
        <v>1.2897862229999999</v>
      </c>
      <c r="P1036" s="1">
        <v>49.4</v>
      </c>
      <c r="Q1036" s="1">
        <v>84.2</v>
      </c>
      <c r="R1036" s="1">
        <v>0.62129652899999999</v>
      </c>
      <c r="S1036" s="1">
        <v>5.5035213744669645E-2</v>
      </c>
      <c r="T1036" t="s">
        <v>1182</v>
      </c>
      <c r="U1036" s="1">
        <v>23444</v>
      </c>
      <c r="V1036">
        <f t="shared" si="64"/>
        <v>0.48555907918995345</v>
      </c>
      <c r="W1036" s="1">
        <f t="shared" si="65"/>
        <v>17.500000000000007</v>
      </c>
      <c r="X1036">
        <f t="shared" si="66"/>
        <v>0.14008562399999991</v>
      </c>
      <c r="Y1036">
        <f t="shared" si="67"/>
        <v>49.399999999999991</v>
      </c>
      <c r="Z1036" s="1">
        <v>10</v>
      </c>
      <c r="AA1036">
        <v>90</v>
      </c>
      <c r="AB1036">
        <v>0.1111</v>
      </c>
      <c r="AC1036">
        <v>12</v>
      </c>
      <c r="AD1036">
        <v>94</v>
      </c>
      <c r="AE1036">
        <v>0.12770000000000001</v>
      </c>
      <c r="AF1036" t="s">
        <v>2589</v>
      </c>
      <c r="AG1036" t="s">
        <v>2589</v>
      </c>
    </row>
    <row r="1037" spans="1:33">
      <c r="A1037" s="2" t="s">
        <v>115</v>
      </c>
      <c r="B1037" s="2" t="s">
        <v>111</v>
      </c>
      <c r="C1037" s="1">
        <v>0.55237211100000005</v>
      </c>
      <c r="D1037">
        <v>0.65961031000000003</v>
      </c>
      <c r="E1037">
        <v>0.69215541599999997</v>
      </c>
      <c r="F1037" s="1" t="s">
        <v>116</v>
      </c>
      <c r="G1037" s="1">
        <v>1.149700599</v>
      </c>
      <c r="H1037" s="1">
        <v>66.900000000000006</v>
      </c>
      <c r="I1037" s="1">
        <v>133.6</v>
      </c>
      <c r="J1037" s="1">
        <v>0.63471261233333331</v>
      </c>
      <c r="K1037" s="1">
        <v>0.60132418300000001</v>
      </c>
      <c r="L1037" s="1">
        <v>0.67605095299999995</v>
      </c>
      <c r="M1037" s="3">
        <v>0.74222981799999999</v>
      </c>
      <c r="N1037" s="1" t="s">
        <v>112</v>
      </c>
      <c r="O1037" s="1">
        <v>1.561403509</v>
      </c>
      <c r="P1037" s="1">
        <v>30</v>
      </c>
      <c r="Q1037" s="1">
        <v>45.6</v>
      </c>
      <c r="R1037" s="1">
        <v>0.67320165133333332</v>
      </c>
      <c r="S1037" s="1">
        <v>7.1930840610994057E-2</v>
      </c>
      <c r="T1037" t="s">
        <v>1183</v>
      </c>
      <c r="U1037" s="1">
        <v>617</v>
      </c>
      <c r="V1037">
        <f t="shared" si="64"/>
        <v>0.31003168489258237</v>
      </c>
      <c r="W1037" s="1">
        <f t="shared" si="65"/>
        <v>36.900000000000006</v>
      </c>
      <c r="X1037">
        <f t="shared" si="66"/>
        <v>0.41170291000000003</v>
      </c>
      <c r="Y1037">
        <f t="shared" si="67"/>
        <v>88</v>
      </c>
      <c r="Z1037" s="1">
        <v>1</v>
      </c>
      <c r="AA1037">
        <v>99</v>
      </c>
      <c r="AB1037">
        <v>1.01E-2</v>
      </c>
      <c r="AC1037">
        <v>2</v>
      </c>
      <c r="AD1037">
        <v>99</v>
      </c>
      <c r="AE1037">
        <v>2.0199999999999999E-2</v>
      </c>
      <c r="AF1037" t="s">
        <v>2589</v>
      </c>
      <c r="AG1037" t="s">
        <v>2591</v>
      </c>
    </row>
    <row r="1038" spans="1:33">
      <c r="A1038" s="2" t="s">
        <v>115</v>
      </c>
      <c r="B1038" s="2" t="s">
        <v>113</v>
      </c>
      <c r="C1038" s="1">
        <v>0.55237211100000005</v>
      </c>
      <c r="D1038">
        <v>0.65961031000000003</v>
      </c>
      <c r="E1038">
        <v>0.69215541599999997</v>
      </c>
      <c r="F1038" s="1" t="s">
        <v>116</v>
      </c>
      <c r="G1038" s="1">
        <v>1.149700599</v>
      </c>
      <c r="H1038" s="1">
        <v>66.900000000000006</v>
      </c>
      <c r="I1038" s="1">
        <v>133.6</v>
      </c>
      <c r="J1038" s="1">
        <v>0.63471261233333331</v>
      </c>
      <c r="K1038" s="1">
        <v>0.57440698499999998</v>
      </c>
      <c r="L1038" s="1">
        <v>0.66920790399999996</v>
      </c>
      <c r="M1038" s="3">
        <v>0.71602402300000001</v>
      </c>
      <c r="N1038" s="1" t="s">
        <v>114</v>
      </c>
      <c r="O1038" s="1">
        <v>2.5573248409999998</v>
      </c>
      <c r="P1038" s="1">
        <v>34.299999999999997</v>
      </c>
      <c r="Q1038" s="1">
        <v>31.4</v>
      </c>
      <c r="R1038" s="1">
        <v>0.65321297066666661</v>
      </c>
      <c r="S1038" s="1">
        <v>3.3872701145688966E-2</v>
      </c>
      <c r="T1038" t="s">
        <v>1184</v>
      </c>
      <c r="U1038" s="1">
        <v>667</v>
      </c>
      <c r="V1038">
        <f t="shared" si="64"/>
        <v>0.313791759324061</v>
      </c>
      <c r="W1038" s="1">
        <f t="shared" si="65"/>
        <v>32.600000000000009</v>
      </c>
      <c r="X1038">
        <f t="shared" si="66"/>
        <v>1.4076242419999998</v>
      </c>
      <c r="Y1038">
        <f t="shared" si="67"/>
        <v>102.19999999999999</v>
      </c>
      <c r="Z1038" s="1">
        <v>0</v>
      </c>
      <c r="AA1038">
        <v>100</v>
      </c>
      <c r="AB1038">
        <v>0</v>
      </c>
      <c r="AC1038">
        <v>0</v>
      </c>
      <c r="AD1038">
        <v>95</v>
      </c>
      <c r="AE1038">
        <v>0</v>
      </c>
      <c r="AF1038" t="s">
        <v>2589</v>
      </c>
      <c r="AG1038" t="s">
        <v>2593</v>
      </c>
    </row>
    <row r="1039" spans="1:33">
      <c r="A1039" s="2" t="s">
        <v>113</v>
      </c>
      <c r="B1039" s="2" t="s">
        <v>10</v>
      </c>
      <c r="C1039" s="1">
        <v>0.57440698499999998</v>
      </c>
      <c r="D1039">
        <v>0.66920790399999996</v>
      </c>
      <c r="E1039">
        <v>0.71602402300000001</v>
      </c>
      <c r="F1039" s="1" t="s">
        <v>114</v>
      </c>
      <c r="G1039" s="1">
        <v>2.5573248409999998</v>
      </c>
      <c r="H1039" s="1">
        <v>34.299999999999997</v>
      </c>
      <c r="I1039" s="1">
        <v>31.4</v>
      </c>
      <c r="J1039" s="1">
        <v>0.65321297066666661</v>
      </c>
      <c r="K1039" s="1">
        <v>0.52456325500000001</v>
      </c>
      <c r="L1039" s="1">
        <v>0.61925627999999999</v>
      </c>
      <c r="M1039" s="3">
        <v>0.72111139899999999</v>
      </c>
      <c r="N1039" s="1" t="s">
        <v>12</v>
      </c>
      <c r="O1039" s="1">
        <v>0.61690647499999995</v>
      </c>
      <c r="P1039" s="1">
        <v>30</v>
      </c>
      <c r="Q1039" s="1">
        <v>111.2</v>
      </c>
      <c r="R1039" s="1">
        <v>0.62164364466666666</v>
      </c>
      <c r="S1039" s="1">
        <v>7.074915939511682E-2</v>
      </c>
      <c r="T1039" t="s">
        <v>1186</v>
      </c>
      <c r="U1039" s="1">
        <v>1043</v>
      </c>
      <c r="V1039">
        <f t="shared" si="64"/>
        <v>0.33536492315850341</v>
      </c>
      <c r="W1039" s="1">
        <f t="shared" si="65"/>
        <v>4.2999999999999972</v>
      </c>
      <c r="X1039">
        <f t="shared" si="66"/>
        <v>1.9404183659999998</v>
      </c>
      <c r="Y1039">
        <f t="shared" si="67"/>
        <v>79.800000000000011</v>
      </c>
      <c r="Z1039" s="1">
        <v>0</v>
      </c>
      <c r="AA1039">
        <v>100</v>
      </c>
      <c r="AB1039">
        <v>0</v>
      </c>
      <c r="AC1039">
        <v>0</v>
      </c>
      <c r="AD1039">
        <v>152</v>
      </c>
      <c r="AE1039">
        <v>0</v>
      </c>
      <c r="AF1039" t="s">
        <v>2593</v>
      </c>
      <c r="AG1039" t="s">
        <v>2588</v>
      </c>
    </row>
    <row r="1040" spans="1:33">
      <c r="A1040" s="2" t="s">
        <v>113</v>
      </c>
      <c r="B1040" s="2" t="s">
        <v>13</v>
      </c>
      <c r="C1040" s="1">
        <v>0.57440698499999998</v>
      </c>
      <c r="D1040">
        <v>0.66920790399999996</v>
      </c>
      <c r="E1040">
        <v>0.71602402300000001</v>
      </c>
      <c r="F1040" s="1" t="s">
        <v>114</v>
      </c>
      <c r="G1040" s="1">
        <v>2.5573248409999998</v>
      </c>
      <c r="H1040" s="1">
        <v>34.299999999999997</v>
      </c>
      <c r="I1040" s="1">
        <v>31.4</v>
      </c>
      <c r="J1040" s="1">
        <v>0.65321297066666661</v>
      </c>
      <c r="K1040" s="1">
        <v>0.48695497399999998</v>
      </c>
      <c r="L1040" s="1">
        <v>0.54991327199999995</v>
      </c>
      <c r="M1040" s="3">
        <v>0.67282609299999996</v>
      </c>
      <c r="N1040" s="1" t="s">
        <v>14</v>
      </c>
      <c r="O1040" s="1">
        <v>1.6052009460000001</v>
      </c>
      <c r="P1040" s="1">
        <v>26.6</v>
      </c>
      <c r="Q1040" s="1">
        <v>42.3</v>
      </c>
      <c r="R1040" s="1">
        <v>0.56989811299999993</v>
      </c>
      <c r="S1040" s="1">
        <v>0.15409453140278681</v>
      </c>
      <c r="T1040" t="s">
        <v>1187</v>
      </c>
      <c r="U1040" s="1">
        <v>249</v>
      </c>
      <c r="V1040">
        <f t="shared" si="64"/>
        <v>0.26624437189952627</v>
      </c>
      <c r="W1040" s="1">
        <f t="shared" si="65"/>
        <v>7.6999999999999957</v>
      </c>
      <c r="X1040">
        <f t="shared" si="66"/>
        <v>0.95212389499999972</v>
      </c>
      <c r="Y1040">
        <f t="shared" si="67"/>
        <v>10.899999999999999</v>
      </c>
      <c r="Z1040" s="1">
        <v>0</v>
      </c>
      <c r="AA1040">
        <v>100</v>
      </c>
      <c r="AB1040">
        <v>0</v>
      </c>
      <c r="AC1040">
        <v>0</v>
      </c>
      <c r="AD1040">
        <v>99</v>
      </c>
      <c r="AE1040">
        <v>0</v>
      </c>
      <c r="AF1040" t="s">
        <v>2593</v>
      </c>
      <c r="AG1040" t="s">
        <v>2590</v>
      </c>
    </row>
    <row r="1041" spans="1:33">
      <c r="A1041" s="2" t="s">
        <v>113</v>
      </c>
      <c r="B1041" s="2" t="s">
        <v>15</v>
      </c>
      <c r="C1041" s="1">
        <v>0.57440698499999998</v>
      </c>
      <c r="D1041">
        <v>0.66920790399999996</v>
      </c>
      <c r="E1041">
        <v>0.71602402300000001</v>
      </c>
      <c r="F1041" s="1" t="s">
        <v>114</v>
      </c>
      <c r="G1041" s="1">
        <v>2.5573248409999998</v>
      </c>
      <c r="H1041" s="1">
        <v>34.299999999999997</v>
      </c>
      <c r="I1041" s="1">
        <v>31.4</v>
      </c>
      <c r="J1041" s="1">
        <v>0.65321297066666661</v>
      </c>
      <c r="K1041" s="1">
        <v>0.54560998800000005</v>
      </c>
      <c r="L1041" s="1">
        <v>0.66721428400000005</v>
      </c>
      <c r="M1041" s="3">
        <v>0.72650398400000005</v>
      </c>
      <c r="N1041" s="1" t="s">
        <v>16</v>
      </c>
      <c r="O1041" s="1">
        <v>5.1392405060000002</v>
      </c>
      <c r="P1041" s="1">
        <v>35.9</v>
      </c>
      <c r="Q1041" s="1">
        <v>15.8</v>
      </c>
      <c r="R1041" s="1">
        <v>0.64644275200000012</v>
      </c>
      <c r="S1041" s="1">
        <v>3.0709463353890225E-2</v>
      </c>
      <c r="T1041" t="s">
        <v>1188</v>
      </c>
      <c r="U1041" s="1">
        <v>34501</v>
      </c>
      <c r="V1041">
        <f t="shared" si="64"/>
        <v>0.50420352034852134</v>
      </c>
      <c r="W1041" s="1">
        <f t="shared" si="65"/>
        <v>1.6000000000000014</v>
      </c>
      <c r="X1041">
        <f t="shared" si="66"/>
        <v>2.5819156650000004</v>
      </c>
      <c r="Y1041">
        <f t="shared" si="67"/>
        <v>15.599999999999998</v>
      </c>
      <c r="Z1041" s="1">
        <v>23</v>
      </c>
      <c r="AA1041">
        <v>77</v>
      </c>
      <c r="AB1041">
        <v>0.29870000000000002</v>
      </c>
      <c r="AC1041">
        <v>21</v>
      </c>
      <c r="AD1041">
        <v>74</v>
      </c>
      <c r="AE1041">
        <v>0.2838</v>
      </c>
      <c r="AF1041" t="s">
        <v>2593</v>
      </c>
      <c r="AG1041" t="s">
        <v>2591</v>
      </c>
    </row>
    <row r="1042" spans="1:33">
      <c r="A1042" s="2" t="s">
        <v>113</v>
      </c>
      <c r="B1042" s="2" t="s">
        <v>17</v>
      </c>
      <c r="C1042" s="1">
        <v>0.57440698499999998</v>
      </c>
      <c r="D1042">
        <v>0.66920790399999996</v>
      </c>
      <c r="E1042">
        <v>0.71602402300000001</v>
      </c>
      <c r="F1042" s="1" t="s">
        <v>114</v>
      </c>
      <c r="G1042" s="1">
        <v>2.5573248409999998</v>
      </c>
      <c r="H1042" s="1">
        <v>34.299999999999997</v>
      </c>
      <c r="I1042" s="1">
        <v>31.4</v>
      </c>
      <c r="J1042" s="1">
        <v>0.65321297066666661</v>
      </c>
      <c r="K1042" s="1">
        <v>0.659112378</v>
      </c>
      <c r="L1042" s="1">
        <v>0.68333493499999998</v>
      </c>
      <c r="M1042" s="3">
        <v>0.70345495199999997</v>
      </c>
      <c r="N1042" s="1" t="s">
        <v>18</v>
      </c>
      <c r="O1042" s="1">
        <v>1.9463955639999999</v>
      </c>
      <c r="P1042" s="1">
        <v>46.3</v>
      </c>
      <c r="Q1042" s="1">
        <v>54.1</v>
      </c>
      <c r="R1042" s="1">
        <v>0.68196742166666668</v>
      </c>
      <c r="S1042" s="1">
        <v>8.6790311406069146E-2</v>
      </c>
      <c r="T1042" t="s">
        <v>1189</v>
      </c>
      <c r="U1042" s="1">
        <v>19392</v>
      </c>
      <c r="V1042">
        <f t="shared" si="64"/>
        <v>0.47640251138735468</v>
      </c>
      <c r="W1042" s="1">
        <f t="shared" si="65"/>
        <v>12</v>
      </c>
      <c r="X1042">
        <f t="shared" si="66"/>
        <v>0.61092927699999988</v>
      </c>
      <c r="Y1042">
        <f t="shared" si="67"/>
        <v>22.700000000000003</v>
      </c>
      <c r="Z1042" s="1">
        <v>13</v>
      </c>
      <c r="AA1042">
        <v>87</v>
      </c>
      <c r="AB1042">
        <v>0.14940000000000001</v>
      </c>
      <c r="AC1042">
        <v>13</v>
      </c>
      <c r="AD1042">
        <v>96</v>
      </c>
      <c r="AE1042">
        <v>0.13539999999999999</v>
      </c>
      <c r="AF1042" t="s">
        <v>2593</v>
      </c>
      <c r="AG1042" t="s">
        <v>2591</v>
      </c>
    </row>
    <row r="1043" spans="1:33">
      <c r="A1043" s="2" t="s">
        <v>113</v>
      </c>
      <c r="B1043" s="2" t="s">
        <v>19</v>
      </c>
      <c r="C1043" s="1">
        <v>0.57440698499999998</v>
      </c>
      <c r="D1043">
        <v>0.66920790399999996</v>
      </c>
      <c r="E1043">
        <v>0.71602402300000001</v>
      </c>
      <c r="F1043" s="1" t="s">
        <v>114</v>
      </c>
      <c r="G1043" s="1">
        <v>2.5573248409999998</v>
      </c>
      <c r="H1043" s="1">
        <v>34.299999999999997</v>
      </c>
      <c r="I1043" s="1">
        <v>31.4</v>
      </c>
      <c r="J1043" s="1">
        <v>0.65321297066666661</v>
      </c>
      <c r="K1043" s="1">
        <v>0.49391595300000002</v>
      </c>
      <c r="L1043" s="1">
        <v>0.603599314</v>
      </c>
      <c r="M1043" s="3">
        <v>0.63481471599999995</v>
      </c>
      <c r="N1043" s="1" t="s">
        <v>20</v>
      </c>
      <c r="O1043" s="1">
        <v>1.2140902870000001</v>
      </c>
      <c r="P1043" s="1">
        <v>64.900000000000006</v>
      </c>
      <c r="Q1043" s="1">
        <v>146.19999999999999</v>
      </c>
      <c r="R1043" s="1">
        <v>0.57744332766666662</v>
      </c>
      <c r="S1043" s="1">
        <v>0.13182657113660118</v>
      </c>
      <c r="T1043" t="s">
        <v>1190</v>
      </c>
      <c r="U1043" s="1">
        <v>51686</v>
      </c>
      <c r="V1043">
        <f t="shared" si="64"/>
        <v>0.52370810258292311</v>
      </c>
      <c r="W1043" s="1">
        <f t="shared" si="65"/>
        <v>30.600000000000009</v>
      </c>
      <c r="X1043">
        <f t="shared" si="66"/>
        <v>1.3432345539999997</v>
      </c>
      <c r="Y1043">
        <f t="shared" si="67"/>
        <v>114.79999999999998</v>
      </c>
      <c r="Z1043" s="1">
        <v>1</v>
      </c>
      <c r="AA1043">
        <v>99</v>
      </c>
      <c r="AB1043">
        <v>1.01E-2</v>
      </c>
      <c r="AC1043">
        <v>1</v>
      </c>
      <c r="AD1043">
        <v>88</v>
      </c>
      <c r="AE1043">
        <v>1.14E-2</v>
      </c>
      <c r="AF1043" t="s">
        <v>2593</v>
      </c>
      <c r="AG1043" t="s">
        <v>2593</v>
      </c>
    </row>
    <row r="1044" spans="1:33">
      <c r="A1044" s="2" t="s">
        <v>113</v>
      </c>
      <c r="B1044" s="2" t="s">
        <v>21</v>
      </c>
      <c r="C1044" s="1">
        <v>0.57440698499999998</v>
      </c>
      <c r="D1044">
        <v>0.66920790399999996</v>
      </c>
      <c r="E1044">
        <v>0.71602402300000001</v>
      </c>
      <c r="F1044" s="1" t="s">
        <v>114</v>
      </c>
      <c r="G1044" s="1">
        <v>2.5573248409999998</v>
      </c>
      <c r="H1044" s="1">
        <v>34.299999999999997</v>
      </c>
      <c r="I1044" s="1">
        <v>31.4</v>
      </c>
      <c r="J1044" s="1">
        <v>0.65321297066666661</v>
      </c>
      <c r="K1044" s="1">
        <v>0.53276376800000003</v>
      </c>
      <c r="L1044" s="1">
        <v>0.65428149899999999</v>
      </c>
      <c r="M1044" s="3">
        <v>0.70160154799999996</v>
      </c>
      <c r="N1044" s="1" t="s">
        <v>22</v>
      </c>
      <c r="O1044" s="1">
        <v>1.2440604749999999</v>
      </c>
      <c r="P1044" s="1">
        <v>24.6</v>
      </c>
      <c r="Q1044" s="1">
        <v>46.3</v>
      </c>
      <c r="R1044" s="1">
        <v>0.62954893833333336</v>
      </c>
      <c r="S1044" s="1">
        <v>4.6529161538316328E-2</v>
      </c>
      <c r="T1044" t="s">
        <v>1191</v>
      </c>
      <c r="U1044" s="1">
        <v>2036</v>
      </c>
      <c r="V1044">
        <f t="shared" si="64"/>
        <v>0.36764197485163569</v>
      </c>
      <c r="W1044" s="1">
        <f t="shared" si="65"/>
        <v>9.6999999999999957</v>
      </c>
      <c r="X1044">
        <f t="shared" si="66"/>
        <v>1.3132643659999998</v>
      </c>
      <c r="Y1044">
        <f t="shared" si="67"/>
        <v>14.899999999999999</v>
      </c>
      <c r="Z1044" s="1">
        <v>0</v>
      </c>
      <c r="AA1044">
        <v>100</v>
      </c>
      <c r="AB1044">
        <v>0</v>
      </c>
      <c r="AC1044">
        <v>0</v>
      </c>
      <c r="AD1044">
        <v>95</v>
      </c>
      <c r="AE1044">
        <v>0</v>
      </c>
      <c r="AF1044" t="s">
        <v>2593</v>
      </c>
      <c r="AG1044" t="s">
        <v>2589</v>
      </c>
    </row>
    <row r="1045" spans="1:33">
      <c r="A1045" s="2" t="s">
        <v>113</v>
      </c>
      <c r="B1045" s="2" t="s">
        <v>23</v>
      </c>
      <c r="C1045" s="1">
        <v>0.57440698499999998</v>
      </c>
      <c r="D1045">
        <v>0.66920790399999996</v>
      </c>
      <c r="E1045">
        <v>0.71602402300000001</v>
      </c>
      <c r="F1045" s="1" t="s">
        <v>114</v>
      </c>
      <c r="G1045" s="1">
        <v>2.5573248409999998</v>
      </c>
      <c r="H1045" s="1">
        <v>34.299999999999997</v>
      </c>
      <c r="I1045" s="1">
        <v>31.4</v>
      </c>
      <c r="J1045" s="1">
        <v>0.65321297066666661</v>
      </c>
      <c r="K1045" s="1">
        <v>0.49415677200000002</v>
      </c>
      <c r="L1045" s="1">
        <v>0.62090818999999997</v>
      </c>
      <c r="M1045" s="3">
        <v>0.63381026900000004</v>
      </c>
      <c r="N1045" s="1" t="s">
        <v>24</v>
      </c>
      <c r="O1045" s="1">
        <v>1.141304348</v>
      </c>
      <c r="P1045" s="1">
        <v>44.4</v>
      </c>
      <c r="Q1045" s="1">
        <v>101.2</v>
      </c>
      <c r="R1045" s="1">
        <v>0.58295841033333329</v>
      </c>
      <c r="S1045" s="1">
        <v>0.1246276871557828</v>
      </c>
      <c r="T1045" t="s">
        <v>1192</v>
      </c>
      <c r="U1045" s="1">
        <v>211</v>
      </c>
      <c r="V1045">
        <f t="shared" si="64"/>
        <v>0.25825360614418807</v>
      </c>
      <c r="W1045" s="1">
        <f t="shared" si="65"/>
        <v>10.100000000000001</v>
      </c>
      <c r="X1045">
        <f t="shared" si="66"/>
        <v>1.4160204929999998</v>
      </c>
      <c r="Y1045">
        <f t="shared" si="67"/>
        <v>69.800000000000011</v>
      </c>
      <c r="Z1045" s="1">
        <v>0</v>
      </c>
      <c r="AA1045">
        <v>100</v>
      </c>
      <c r="AB1045">
        <v>0</v>
      </c>
      <c r="AC1045">
        <v>0</v>
      </c>
      <c r="AD1045">
        <v>91</v>
      </c>
      <c r="AE1045">
        <v>0</v>
      </c>
      <c r="AF1045" t="s">
        <v>2593</v>
      </c>
      <c r="AG1045" t="s">
        <v>2590</v>
      </c>
    </row>
    <row r="1046" spans="1:33">
      <c r="A1046" s="2" t="s">
        <v>113</v>
      </c>
      <c r="B1046" s="2" t="s">
        <v>25</v>
      </c>
      <c r="C1046" s="1">
        <v>0.57440698499999998</v>
      </c>
      <c r="D1046">
        <v>0.66920790399999996</v>
      </c>
      <c r="E1046">
        <v>0.71602402300000001</v>
      </c>
      <c r="F1046" s="1" t="s">
        <v>114</v>
      </c>
      <c r="G1046" s="1">
        <v>2.5573248409999998</v>
      </c>
      <c r="H1046" s="1">
        <v>34.299999999999997</v>
      </c>
      <c r="I1046" s="1">
        <v>31.4</v>
      </c>
      <c r="J1046" s="1">
        <v>0.65321297066666661</v>
      </c>
      <c r="K1046" s="1">
        <v>0.53959274199999996</v>
      </c>
      <c r="L1046" s="1">
        <v>0.64971567399999997</v>
      </c>
      <c r="M1046" s="3">
        <v>0.65028459999999999</v>
      </c>
      <c r="N1046" s="1" t="s">
        <v>26</v>
      </c>
      <c r="O1046" s="1">
        <v>1.623046875</v>
      </c>
      <c r="P1046" s="1">
        <v>34.700000000000003</v>
      </c>
      <c r="Q1046" s="1">
        <v>51.2</v>
      </c>
      <c r="R1046" s="1">
        <v>0.61319767199999997</v>
      </c>
      <c r="S1046" s="1">
        <v>7.6900261913785975E-2</v>
      </c>
      <c r="T1046" t="s">
        <v>1193</v>
      </c>
      <c r="U1046" s="1">
        <v>783</v>
      </c>
      <c r="V1046">
        <f t="shared" si="64"/>
        <v>0.32152908467310481</v>
      </c>
      <c r="W1046" s="1">
        <f t="shared" si="65"/>
        <v>0.40000000000000568</v>
      </c>
      <c r="X1046">
        <f t="shared" si="66"/>
        <v>0.93427796599999979</v>
      </c>
      <c r="Y1046">
        <f t="shared" si="67"/>
        <v>19.800000000000004</v>
      </c>
      <c r="Z1046" s="1">
        <v>0</v>
      </c>
      <c r="AA1046">
        <v>100</v>
      </c>
      <c r="AB1046">
        <v>0</v>
      </c>
      <c r="AC1046">
        <v>0</v>
      </c>
      <c r="AD1046">
        <v>93</v>
      </c>
      <c r="AE1046">
        <v>0</v>
      </c>
      <c r="AF1046" t="s">
        <v>2593</v>
      </c>
      <c r="AG1046" t="s">
        <v>2594</v>
      </c>
    </row>
    <row r="1047" spans="1:33">
      <c r="A1047" s="2" t="s">
        <v>113</v>
      </c>
      <c r="B1047" s="2" t="s">
        <v>27</v>
      </c>
      <c r="C1047" s="1">
        <v>0.57440698499999998</v>
      </c>
      <c r="D1047">
        <v>0.66920790399999996</v>
      </c>
      <c r="E1047">
        <v>0.71602402300000001</v>
      </c>
      <c r="F1047" s="1" t="s">
        <v>114</v>
      </c>
      <c r="G1047" s="1">
        <v>2.5573248409999998</v>
      </c>
      <c r="H1047" s="1">
        <v>34.299999999999997</v>
      </c>
      <c r="I1047" s="1">
        <v>31.4</v>
      </c>
      <c r="J1047" s="1">
        <v>0.65321297066666661</v>
      </c>
      <c r="K1047" s="1">
        <v>0.518608662</v>
      </c>
      <c r="L1047" s="1">
        <v>0.64320369700000002</v>
      </c>
      <c r="M1047" s="3">
        <v>0.62228994199999998</v>
      </c>
      <c r="N1047" s="1" t="s">
        <v>28</v>
      </c>
      <c r="O1047" s="1">
        <v>1.8717391299999999</v>
      </c>
      <c r="P1047" s="1">
        <v>33.700000000000003</v>
      </c>
      <c r="Q1047" s="1">
        <v>46</v>
      </c>
      <c r="R1047" s="1">
        <v>0.59470076699999996</v>
      </c>
      <c r="S1047" s="1">
        <v>0.11214164958758961</v>
      </c>
      <c r="T1047" t="s">
        <v>1194</v>
      </c>
      <c r="U1047" s="1">
        <v>216</v>
      </c>
      <c r="V1047">
        <f t="shared" si="64"/>
        <v>0.25938375012788117</v>
      </c>
      <c r="W1047" s="1">
        <f t="shared" si="65"/>
        <v>0.59999999999999432</v>
      </c>
      <c r="X1047">
        <f t="shared" si="66"/>
        <v>0.68558571099999988</v>
      </c>
      <c r="Y1047">
        <f t="shared" si="67"/>
        <v>14.600000000000001</v>
      </c>
      <c r="Z1047" s="1">
        <v>0</v>
      </c>
      <c r="AA1047">
        <v>100</v>
      </c>
      <c r="AB1047">
        <v>0</v>
      </c>
      <c r="AC1047">
        <v>0</v>
      </c>
      <c r="AD1047">
        <v>100</v>
      </c>
      <c r="AE1047">
        <v>0</v>
      </c>
      <c r="AF1047" t="s">
        <v>2593</v>
      </c>
      <c r="AG1047" t="s">
        <v>2590</v>
      </c>
    </row>
    <row r="1048" spans="1:33">
      <c r="A1048" s="2" t="s">
        <v>113</v>
      </c>
      <c r="B1048" s="2" t="s">
        <v>29</v>
      </c>
      <c r="C1048" s="1">
        <v>0.57440698499999998</v>
      </c>
      <c r="D1048">
        <v>0.66920790399999996</v>
      </c>
      <c r="E1048">
        <v>0.71602402300000001</v>
      </c>
      <c r="F1048" s="1" t="s">
        <v>114</v>
      </c>
      <c r="G1048" s="1">
        <v>2.5573248409999998</v>
      </c>
      <c r="H1048" s="1">
        <v>34.299999999999997</v>
      </c>
      <c r="I1048" s="1">
        <v>31.4</v>
      </c>
      <c r="J1048" s="1">
        <v>0.65321297066666661</v>
      </c>
      <c r="K1048" s="1">
        <v>0.59351545100000003</v>
      </c>
      <c r="L1048" s="1">
        <v>0.68136602400000001</v>
      </c>
      <c r="M1048" s="3">
        <v>0.73518087600000004</v>
      </c>
      <c r="N1048" s="1" t="s">
        <v>30</v>
      </c>
      <c r="O1048" s="1">
        <v>2.849112426</v>
      </c>
      <c r="P1048" s="1">
        <v>37.9</v>
      </c>
      <c r="Q1048" s="1">
        <v>33.799999999999997</v>
      </c>
      <c r="R1048" s="1">
        <v>0.67002078366666673</v>
      </c>
      <c r="S1048" s="1">
        <v>2.9663755184925072E-2</v>
      </c>
      <c r="T1048" t="s">
        <v>1195</v>
      </c>
      <c r="U1048" s="1">
        <v>11414</v>
      </c>
      <c r="V1048">
        <f t="shared" si="64"/>
        <v>0.45082642980143767</v>
      </c>
      <c r="W1048" s="1">
        <f t="shared" si="65"/>
        <v>3.6000000000000014</v>
      </c>
      <c r="X1048">
        <f t="shared" si="66"/>
        <v>0.29178758500000024</v>
      </c>
      <c r="Y1048">
        <f t="shared" si="67"/>
        <v>2.3999999999999986</v>
      </c>
      <c r="Z1048" s="1">
        <v>16</v>
      </c>
      <c r="AA1048">
        <v>84</v>
      </c>
      <c r="AB1048">
        <v>0.1905</v>
      </c>
      <c r="AC1048">
        <v>14</v>
      </c>
      <c r="AD1048">
        <v>75</v>
      </c>
      <c r="AE1048">
        <v>0.1867</v>
      </c>
      <c r="AF1048" t="s">
        <v>2593</v>
      </c>
      <c r="AG1048" t="s">
        <v>2593</v>
      </c>
    </row>
    <row r="1049" spans="1:33">
      <c r="A1049" s="2" t="s">
        <v>113</v>
      </c>
      <c r="B1049" s="2" t="s">
        <v>31</v>
      </c>
      <c r="C1049" s="1">
        <v>0.57440698499999998</v>
      </c>
      <c r="D1049">
        <v>0.66920790399999996</v>
      </c>
      <c r="E1049">
        <v>0.71602402300000001</v>
      </c>
      <c r="F1049" s="1" t="s">
        <v>114</v>
      </c>
      <c r="G1049" s="1">
        <v>2.5573248409999998</v>
      </c>
      <c r="H1049" s="1">
        <v>34.299999999999997</v>
      </c>
      <c r="I1049" s="1">
        <v>31.4</v>
      </c>
      <c r="J1049" s="1">
        <v>0.65321297066666661</v>
      </c>
      <c r="K1049" s="1">
        <v>0.47727961800000002</v>
      </c>
      <c r="L1049" s="1">
        <v>0.66941086400000005</v>
      </c>
      <c r="M1049" s="3">
        <v>0.69294815300000001</v>
      </c>
      <c r="N1049" s="1" t="s">
        <v>32</v>
      </c>
      <c r="O1049" s="1">
        <v>1.341891892</v>
      </c>
      <c r="P1049" s="1">
        <v>42.1</v>
      </c>
      <c r="Q1049" s="1">
        <v>74</v>
      </c>
      <c r="R1049" s="1">
        <v>0.61321287833333338</v>
      </c>
      <c r="S1049" s="1">
        <v>9.9831169428045777E-2</v>
      </c>
      <c r="T1049" t="s">
        <v>1196</v>
      </c>
      <c r="U1049" s="1">
        <v>428</v>
      </c>
      <c r="V1049">
        <f t="shared" si="64"/>
        <v>0.29238264100146361</v>
      </c>
      <c r="W1049" s="1">
        <f t="shared" si="65"/>
        <v>7.8000000000000043</v>
      </c>
      <c r="X1049">
        <f t="shared" si="66"/>
        <v>1.2154329489999998</v>
      </c>
      <c r="Y1049">
        <f t="shared" si="67"/>
        <v>42.6</v>
      </c>
      <c r="Z1049" s="1">
        <v>0</v>
      </c>
      <c r="AA1049">
        <v>100</v>
      </c>
      <c r="AB1049">
        <v>0</v>
      </c>
      <c r="AC1049">
        <v>0</v>
      </c>
      <c r="AD1049">
        <v>97</v>
      </c>
      <c r="AE1049">
        <v>0</v>
      </c>
      <c r="AF1049" t="s">
        <v>2593</v>
      </c>
      <c r="AG1049" t="s">
        <v>2589</v>
      </c>
    </row>
    <row r="1050" spans="1:33">
      <c r="A1050" s="2" t="s">
        <v>113</v>
      </c>
      <c r="B1050" s="2" t="s">
        <v>33</v>
      </c>
      <c r="C1050" s="1">
        <v>0.57440698499999998</v>
      </c>
      <c r="D1050">
        <v>0.66920790399999996</v>
      </c>
      <c r="E1050">
        <v>0.71602402300000001</v>
      </c>
      <c r="F1050" s="1" t="s">
        <v>114</v>
      </c>
      <c r="G1050" s="1">
        <v>2.5573248409999998</v>
      </c>
      <c r="H1050" s="1">
        <v>34.299999999999997</v>
      </c>
      <c r="I1050" s="1">
        <v>31.4</v>
      </c>
      <c r="J1050" s="1">
        <v>0.65321297066666661</v>
      </c>
      <c r="K1050" s="1">
        <v>0.51347926600000005</v>
      </c>
      <c r="L1050" s="1">
        <v>0.63144379399999995</v>
      </c>
      <c r="M1050" s="3">
        <v>0.64189093500000005</v>
      </c>
      <c r="N1050" s="1" t="s">
        <v>34</v>
      </c>
      <c r="O1050" s="1">
        <v>2.3123667380000001</v>
      </c>
      <c r="P1050" s="1">
        <v>79.099999999999994</v>
      </c>
      <c r="Q1050" s="1">
        <v>93.8</v>
      </c>
      <c r="R1050" s="1">
        <v>0.59560466500000009</v>
      </c>
      <c r="S1050" s="1">
        <v>0.10312143173487649</v>
      </c>
      <c r="T1050" t="s">
        <v>1197</v>
      </c>
      <c r="U1050" s="1">
        <v>425</v>
      </c>
      <c r="V1050">
        <f t="shared" si="64"/>
        <v>0.29204321445003462</v>
      </c>
      <c r="W1050" s="1">
        <f t="shared" si="65"/>
        <v>44.8</v>
      </c>
      <c r="X1050">
        <f t="shared" si="66"/>
        <v>0.24495810299999965</v>
      </c>
      <c r="Y1050">
        <f t="shared" si="67"/>
        <v>62.4</v>
      </c>
      <c r="Z1050" s="1">
        <v>0</v>
      </c>
      <c r="AA1050">
        <v>100</v>
      </c>
      <c r="AB1050">
        <v>0</v>
      </c>
      <c r="AC1050">
        <v>0</v>
      </c>
      <c r="AD1050">
        <v>91</v>
      </c>
      <c r="AE1050">
        <v>0</v>
      </c>
      <c r="AF1050" t="s">
        <v>2593</v>
      </c>
      <c r="AG1050" t="s">
        <v>2590</v>
      </c>
    </row>
    <row r="1051" spans="1:33">
      <c r="A1051" s="2" t="s">
        <v>113</v>
      </c>
      <c r="B1051" s="2" t="s">
        <v>35</v>
      </c>
      <c r="C1051" s="1">
        <v>0.57440698499999998</v>
      </c>
      <c r="D1051">
        <v>0.66920790399999996</v>
      </c>
      <c r="E1051">
        <v>0.71602402300000001</v>
      </c>
      <c r="F1051" s="1" t="s">
        <v>114</v>
      </c>
      <c r="G1051" s="1">
        <v>2.5573248409999998</v>
      </c>
      <c r="H1051" s="1">
        <v>34.299999999999997</v>
      </c>
      <c r="I1051" s="1">
        <v>31.4</v>
      </c>
      <c r="J1051" s="1">
        <v>0.65321297066666661</v>
      </c>
      <c r="K1051" s="1">
        <v>0.52542897600000005</v>
      </c>
      <c r="L1051" s="1">
        <v>0.60774736299999998</v>
      </c>
      <c r="M1051" s="3">
        <v>0.62585751700000003</v>
      </c>
      <c r="N1051" s="1" t="s">
        <v>36</v>
      </c>
      <c r="O1051" s="1">
        <v>0.98848810399999998</v>
      </c>
      <c r="P1051" s="1">
        <v>54.2</v>
      </c>
      <c r="Q1051" s="1">
        <v>130.30000000000001</v>
      </c>
      <c r="R1051" s="1">
        <v>0.58634461866666665</v>
      </c>
      <c r="S1051" s="1">
        <v>0.11960870482479435</v>
      </c>
      <c r="T1051" t="s">
        <v>1198</v>
      </c>
      <c r="U1051" s="1">
        <v>1120</v>
      </c>
      <c r="V1051">
        <f t="shared" si="64"/>
        <v>0.33880200251890907</v>
      </c>
      <c r="W1051" s="1">
        <f t="shared" si="65"/>
        <v>19.900000000000006</v>
      </c>
      <c r="X1051">
        <f t="shared" si="66"/>
        <v>1.5688367369999998</v>
      </c>
      <c r="Y1051">
        <f t="shared" si="67"/>
        <v>98.9</v>
      </c>
      <c r="Z1051" s="1">
        <v>0</v>
      </c>
      <c r="AA1051">
        <v>100</v>
      </c>
      <c r="AB1051">
        <v>0</v>
      </c>
      <c r="AC1051">
        <v>0</v>
      </c>
      <c r="AD1051">
        <v>90</v>
      </c>
      <c r="AE1051">
        <v>0</v>
      </c>
      <c r="AF1051" t="s">
        <v>2593</v>
      </c>
      <c r="AG1051" t="s">
        <v>2589</v>
      </c>
    </row>
    <row r="1052" spans="1:33">
      <c r="A1052" s="2" t="s">
        <v>113</v>
      </c>
      <c r="B1052" s="2" t="s">
        <v>37</v>
      </c>
      <c r="C1052" s="1">
        <v>0.57440698499999998</v>
      </c>
      <c r="D1052">
        <v>0.66920790399999996</v>
      </c>
      <c r="E1052">
        <v>0.71602402300000001</v>
      </c>
      <c r="F1052" s="1" t="s">
        <v>114</v>
      </c>
      <c r="G1052" s="1">
        <v>2.5573248409999998</v>
      </c>
      <c r="H1052" s="1">
        <v>34.299999999999997</v>
      </c>
      <c r="I1052" s="1">
        <v>31.4</v>
      </c>
      <c r="J1052" s="1">
        <v>0.65321297066666661</v>
      </c>
      <c r="K1052" s="1">
        <v>0.50856695500000004</v>
      </c>
      <c r="L1052" s="1">
        <v>0.654733224</v>
      </c>
      <c r="M1052" s="3">
        <v>0.61418267199999999</v>
      </c>
      <c r="N1052" s="1" t="s">
        <v>38</v>
      </c>
      <c r="O1052" s="1">
        <v>0.64065708399999999</v>
      </c>
      <c r="P1052" s="1">
        <v>41.9</v>
      </c>
      <c r="Q1052" s="1">
        <v>146.1</v>
      </c>
      <c r="R1052" s="1">
        <v>0.59249428366666679</v>
      </c>
      <c r="S1052" s="1">
        <v>0.12213143201079932</v>
      </c>
      <c r="T1052" t="s">
        <v>1199</v>
      </c>
      <c r="U1052" s="1">
        <v>1455</v>
      </c>
      <c r="V1052">
        <f t="shared" si="64"/>
        <v>0.35142922148021399</v>
      </c>
      <c r="W1052" s="1">
        <f t="shared" si="65"/>
        <v>7.6000000000000014</v>
      </c>
      <c r="X1052">
        <f t="shared" si="66"/>
        <v>1.9166677569999999</v>
      </c>
      <c r="Y1052">
        <f t="shared" si="67"/>
        <v>114.69999999999999</v>
      </c>
      <c r="Z1052" s="1">
        <v>0</v>
      </c>
      <c r="AA1052">
        <v>100</v>
      </c>
      <c r="AB1052">
        <v>0</v>
      </c>
      <c r="AC1052">
        <v>0</v>
      </c>
      <c r="AD1052">
        <v>89</v>
      </c>
      <c r="AE1052">
        <v>0</v>
      </c>
      <c r="AF1052" t="s">
        <v>2593</v>
      </c>
      <c r="AG1052" t="s">
        <v>2590</v>
      </c>
    </row>
    <row r="1053" spans="1:33">
      <c r="A1053" s="2" t="s">
        <v>113</v>
      </c>
      <c r="B1053" s="2" t="s">
        <v>39</v>
      </c>
      <c r="C1053" s="1">
        <v>0.57440698499999998</v>
      </c>
      <c r="D1053">
        <v>0.66920790399999996</v>
      </c>
      <c r="E1053">
        <v>0.71602402300000001</v>
      </c>
      <c r="F1053" s="1" t="s">
        <v>114</v>
      </c>
      <c r="G1053" s="1">
        <v>2.5573248409999998</v>
      </c>
      <c r="H1053" s="1">
        <v>34.299999999999997</v>
      </c>
      <c r="I1053" s="1">
        <v>31.4</v>
      </c>
      <c r="J1053" s="1">
        <v>0.65321297066666661</v>
      </c>
      <c r="K1053" s="1">
        <v>0.60811616199999996</v>
      </c>
      <c r="L1053" s="1">
        <v>0.721105683</v>
      </c>
      <c r="M1053" s="3">
        <v>0.741016169</v>
      </c>
      <c r="N1053" s="1" t="s">
        <v>40</v>
      </c>
      <c r="O1053" s="1">
        <v>1.0601915180000001</v>
      </c>
      <c r="P1053" s="1">
        <v>34</v>
      </c>
      <c r="Q1053" s="1">
        <v>73.099999999999994</v>
      </c>
      <c r="R1053" s="1">
        <v>0.69007933799999999</v>
      </c>
      <c r="S1053" s="1">
        <v>6.6740508245259025E-2</v>
      </c>
      <c r="T1053" t="s">
        <v>1200</v>
      </c>
      <c r="U1053" s="1">
        <v>856</v>
      </c>
      <c r="V1053">
        <f t="shared" si="64"/>
        <v>0.32583041829746145</v>
      </c>
      <c r="W1053" s="1">
        <f t="shared" si="65"/>
        <v>0.29999999999999716</v>
      </c>
      <c r="X1053">
        <f t="shared" si="66"/>
        <v>1.4971333229999997</v>
      </c>
      <c r="Y1053">
        <f t="shared" si="67"/>
        <v>41.699999999999996</v>
      </c>
      <c r="Z1053" s="1">
        <v>0</v>
      </c>
      <c r="AA1053">
        <v>100</v>
      </c>
      <c r="AB1053">
        <v>0</v>
      </c>
      <c r="AC1053">
        <v>0</v>
      </c>
      <c r="AD1053">
        <v>92</v>
      </c>
      <c r="AE1053">
        <v>0</v>
      </c>
      <c r="AF1053" t="s">
        <v>2593</v>
      </c>
      <c r="AG1053" t="s">
        <v>2589</v>
      </c>
    </row>
    <row r="1054" spans="1:33">
      <c r="A1054" s="2" t="s">
        <v>113</v>
      </c>
      <c r="B1054" s="2" t="s">
        <v>41</v>
      </c>
      <c r="C1054" s="1">
        <v>0.57440698499999998</v>
      </c>
      <c r="D1054">
        <v>0.66920790399999996</v>
      </c>
      <c r="E1054">
        <v>0.71602402300000001</v>
      </c>
      <c r="F1054" s="1" t="s">
        <v>114</v>
      </c>
      <c r="G1054" s="1">
        <v>2.5573248409999998</v>
      </c>
      <c r="H1054" s="1">
        <v>34.299999999999997</v>
      </c>
      <c r="I1054" s="1">
        <v>31.4</v>
      </c>
      <c r="J1054" s="1">
        <v>0.65321297066666661</v>
      </c>
      <c r="K1054" s="1">
        <v>0.60402244999999999</v>
      </c>
      <c r="L1054" s="1">
        <v>0.669189213</v>
      </c>
      <c r="M1054" s="3">
        <v>0.69821693799999995</v>
      </c>
      <c r="N1054" s="1" t="s">
        <v>42</v>
      </c>
      <c r="O1054" s="1">
        <v>1.3243902439999999</v>
      </c>
      <c r="P1054" s="1">
        <v>23</v>
      </c>
      <c r="Q1054" s="1">
        <v>41</v>
      </c>
      <c r="R1054" s="1">
        <v>0.65714286700000002</v>
      </c>
      <c r="S1054" s="1">
        <v>3.4556741639178504E-2</v>
      </c>
      <c r="T1054" t="s">
        <v>1201</v>
      </c>
      <c r="U1054" s="1">
        <v>10330</v>
      </c>
      <c r="V1054">
        <f t="shared" si="64"/>
        <v>0.44601114683551341</v>
      </c>
      <c r="W1054" s="1">
        <f t="shared" si="65"/>
        <v>11.299999999999997</v>
      </c>
      <c r="X1054">
        <f t="shared" si="66"/>
        <v>1.2329345969999999</v>
      </c>
      <c r="Y1054">
        <f t="shared" si="67"/>
        <v>9.6000000000000014</v>
      </c>
      <c r="Z1054" s="1">
        <v>15</v>
      </c>
      <c r="AA1054">
        <v>85</v>
      </c>
      <c r="AB1054">
        <v>0.17649999999999999</v>
      </c>
      <c r="AC1054">
        <v>16</v>
      </c>
      <c r="AD1054">
        <v>90</v>
      </c>
      <c r="AE1054">
        <v>0.17780000000000001</v>
      </c>
      <c r="AF1054" t="s">
        <v>2593</v>
      </c>
      <c r="AG1054" t="s">
        <v>2591</v>
      </c>
    </row>
    <row r="1055" spans="1:33">
      <c r="A1055" s="2" t="s">
        <v>113</v>
      </c>
      <c r="B1055" s="2" t="s">
        <v>43</v>
      </c>
      <c r="C1055" s="1">
        <v>0.57440698499999998</v>
      </c>
      <c r="D1055">
        <v>0.66920790399999996</v>
      </c>
      <c r="E1055">
        <v>0.71602402300000001</v>
      </c>
      <c r="F1055" s="1" t="s">
        <v>114</v>
      </c>
      <c r="G1055" s="1">
        <v>2.5573248409999998</v>
      </c>
      <c r="H1055" s="1">
        <v>34.299999999999997</v>
      </c>
      <c r="I1055" s="1">
        <v>31.4</v>
      </c>
      <c r="J1055" s="1">
        <v>0.65321297066666661</v>
      </c>
      <c r="K1055" s="1">
        <v>0.54180634699999997</v>
      </c>
      <c r="L1055" s="1">
        <v>0.59470779900000004</v>
      </c>
      <c r="M1055" s="3">
        <v>0.69518155599999998</v>
      </c>
      <c r="N1055" s="1" t="s">
        <v>44</v>
      </c>
      <c r="O1055" s="1">
        <v>1.7403685090000001</v>
      </c>
      <c r="P1055" s="1">
        <v>41.2</v>
      </c>
      <c r="Q1055" s="1">
        <v>59.7</v>
      </c>
      <c r="R1055" s="1">
        <v>0.61056523400000007</v>
      </c>
      <c r="S1055" s="1">
        <v>8.3949244628311881E-2</v>
      </c>
      <c r="T1055" t="s">
        <v>1202</v>
      </c>
      <c r="U1055" s="1">
        <v>2303</v>
      </c>
      <c r="V1055">
        <f t="shared" si="64"/>
        <v>0.37358821532935899</v>
      </c>
      <c r="W1055" s="1">
        <f t="shared" si="65"/>
        <v>6.9000000000000057</v>
      </c>
      <c r="X1055">
        <f t="shared" si="66"/>
        <v>0.81695633199999973</v>
      </c>
      <c r="Y1055">
        <f t="shared" si="67"/>
        <v>28.300000000000004</v>
      </c>
      <c r="Z1055" s="1">
        <v>2</v>
      </c>
      <c r="AA1055">
        <v>98</v>
      </c>
      <c r="AB1055">
        <v>2.0400000000000001E-2</v>
      </c>
      <c r="AC1055">
        <v>1</v>
      </c>
      <c r="AD1055">
        <v>127</v>
      </c>
      <c r="AE1055">
        <v>7.9000000000000008E-3</v>
      </c>
      <c r="AF1055" t="s">
        <v>2593</v>
      </c>
      <c r="AG1055" t="s">
        <v>2589</v>
      </c>
    </row>
    <row r="1056" spans="1:33">
      <c r="A1056" s="2" t="s">
        <v>113</v>
      </c>
      <c r="B1056" s="2" t="s">
        <v>45</v>
      </c>
      <c r="C1056" s="1">
        <v>0.57440698499999998</v>
      </c>
      <c r="D1056">
        <v>0.66920790399999996</v>
      </c>
      <c r="E1056">
        <v>0.71602402300000001</v>
      </c>
      <c r="F1056" s="1" t="s">
        <v>114</v>
      </c>
      <c r="G1056" s="1">
        <v>2.5573248409999998</v>
      </c>
      <c r="H1056" s="1">
        <v>34.299999999999997</v>
      </c>
      <c r="I1056" s="1">
        <v>31.4</v>
      </c>
      <c r="J1056" s="1">
        <v>0.65321297066666661</v>
      </c>
      <c r="K1056" s="1">
        <v>0.50907007599999998</v>
      </c>
      <c r="L1056" s="1">
        <v>0.68428041399999995</v>
      </c>
      <c r="M1056" s="3">
        <v>0.67454742099999998</v>
      </c>
      <c r="N1056" s="1" t="s">
        <v>46</v>
      </c>
      <c r="O1056" s="1">
        <v>0.98140043799999999</v>
      </c>
      <c r="P1056" s="1">
        <v>38.9</v>
      </c>
      <c r="Q1056" s="1">
        <v>91.4</v>
      </c>
      <c r="R1056" s="1">
        <v>0.62263263699999993</v>
      </c>
      <c r="S1056" s="1">
        <v>7.8844154817213852E-2</v>
      </c>
      <c r="T1056" t="s">
        <v>1203</v>
      </c>
      <c r="U1056" s="1">
        <v>1203</v>
      </c>
      <c r="V1056">
        <f t="shared" si="64"/>
        <v>0.34225173637109385</v>
      </c>
      <c r="W1056" s="1">
        <f t="shared" si="65"/>
        <v>4.6000000000000014</v>
      </c>
      <c r="X1056">
        <f t="shared" si="66"/>
        <v>1.5759244029999997</v>
      </c>
      <c r="Y1056">
        <f t="shared" si="67"/>
        <v>60.000000000000007</v>
      </c>
      <c r="Z1056" s="1">
        <v>0</v>
      </c>
      <c r="AA1056">
        <v>100</v>
      </c>
      <c r="AB1056">
        <v>0</v>
      </c>
      <c r="AC1056">
        <v>0</v>
      </c>
      <c r="AD1056">
        <v>108</v>
      </c>
      <c r="AE1056">
        <v>0</v>
      </c>
      <c r="AF1056" t="s">
        <v>2593</v>
      </c>
      <c r="AG1056" t="s">
        <v>2589</v>
      </c>
    </row>
    <row r="1057" spans="1:33">
      <c r="A1057" s="2" t="s">
        <v>113</v>
      </c>
      <c r="B1057" s="2" t="s">
        <v>47</v>
      </c>
      <c r="C1057" s="1">
        <v>0.57440698499999998</v>
      </c>
      <c r="D1057">
        <v>0.66920790399999996</v>
      </c>
      <c r="E1057">
        <v>0.71602402300000001</v>
      </c>
      <c r="F1057" s="1" t="s">
        <v>114</v>
      </c>
      <c r="G1057" s="1">
        <v>2.5573248409999998</v>
      </c>
      <c r="H1057" s="1">
        <v>34.299999999999997</v>
      </c>
      <c r="I1057" s="1">
        <v>31.4</v>
      </c>
      <c r="J1057" s="1">
        <v>0.65321297066666661</v>
      </c>
      <c r="K1057" s="1">
        <v>0.50612154099999995</v>
      </c>
      <c r="L1057" s="1">
        <v>0.55940039100000005</v>
      </c>
      <c r="M1057" s="3">
        <v>0.66789001699999995</v>
      </c>
      <c r="N1057" s="1" t="s">
        <v>48</v>
      </c>
      <c r="O1057" s="1">
        <v>1.242622951</v>
      </c>
      <c r="P1057" s="1">
        <v>17.8</v>
      </c>
      <c r="Q1057" s="1">
        <v>30.5</v>
      </c>
      <c r="R1057" s="1">
        <v>0.57780398300000002</v>
      </c>
      <c r="S1057" s="1">
        <v>0.13797635415943679</v>
      </c>
      <c r="T1057" t="s">
        <v>1204</v>
      </c>
      <c r="U1057" s="1">
        <v>1300</v>
      </c>
      <c r="V1057">
        <f t="shared" si="64"/>
        <v>0.34599370581187078</v>
      </c>
      <c r="W1057" s="1">
        <f t="shared" si="65"/>
        <v>16.499999999999996</v>
      </c>
      <c r="X1057">
        <f t="shared" si="66"/>
        <v>1.3147018899999998</v>
      </c>
      <c r="Y1057">
        <f t="shared" si="67"/>
        <v>0.89999999999999858</v>
      </c>
      <c r="Z1057" s="1">
        <v>0</v>
      </c>
      <c r="AA1057">
        <v>100</v>
      </c>
      <c r="AB1057">
        <v>0</v>
      </c>
      <c r="AC1057">
        <v>0</v>
      </c>
      <c r="AD1057">
        <v>115</v>
      </c>
      <c r="AE1057">
        <v>0</v>
      </c>
      <c r="AF1057" t="s">
        <v>2593</v>
      </c>
      <c r="AG1057" t="s">
        <v>2590</v>
      </c>
    </row>
    <row r="1058" spans="1:33">
      <c r="A1058" s="2" t="s">
        <v>113</v>
      </c>
      <c r="B1058" s="2" t="s">
        <v>49</v>
      </c>
      <c r="C1058" s="1">
        <v>0.57440698499999998</v>
      </c>
      <c r="D1058">
        <v>0.66920790399999996</v>
      </c>
      <c r="E1058">
        <v>0.71602402300000001</v>
      </c>
      <c r="F1058" s="1" t="s">
        <v>114</v>
      </c>
      <c r="G1058" s="1">
        <v>2.5573248409999998</v>
      </c>
      <c r="H1058" s="1">
        <v>34.299999999999997</v>
      </c>
      <c r="I1058" s="1">
        <v>31.4</v>
      </c>
      <c r="J1058" s="1">
        <v>0.65321297066666661</v>
      </c>
      <c r="K1058" s="1">
        <v>0.50647110500000003</v>
      </c>
      <c r="L1058" s="1">
        <v>0.55713136799999996</v>
      </c>
      <c r="M1058" s="3">
        <v>0.63402682300000002</v>
      </c>
      <c r="N1058" s="1" t="s">
        <v>50</v>
      </c>
      <c r="O1058" s="1">
        <v>1.876675603</v>
      </c>
      <c r="P1058" s="1">
        <v>28.8</v>
      </c>
      <c r="Q1058" s="1">
        <v>37.299999999999997</v>
      </c>
      <c r="R1058" s="1">
        <v>0.56587643200000004</v>
      </c>
      <c r="S1058" s="1">
        <v>0.15459616593232087</v>
      </c>
      <c r="T1058" t="s">
        <v>1205</v>
      </c>
      <c r="U1058" s="1">
        <v>1166</v>
      </c>
      <c r="V1058">
        <f t="shared" si="64"/>
        <v>0.3407442833803328</v>
      </c>
      <c r="W1058" s="1">
        <f t="shared" si="65"/>
        <v>5.4999999999999964</v>
      </c>
      <c r="X1058">
        <f t="shared" si="66"/>
        <v>0.68064923799999977</v>
      </c>
      <c r="Y1058">
        <f t="shared" si="67"/>
        <v>5.8999999999999986</v>
      </c>
      <c r="Z1058" s="1">
        <v>0</v>
      </c>
      <c r="AA1058">
        <v>100</v>
      </c>
      <c r="AB1058">
        <v>0</v>
      </c>
      <c r="AC1058">
        <v>0</v>
      </c>
      <c r="AD1058">
        <v>89</v>
      </c>
      <c r="AE1058">
        <v>0</v>
      </c>
      <c r="AF1058" t="s">
        <v>2593</v>
      </c>
      <c r="AG1058" t="s">
        <v>2590</v>
      </c>
    </row>
    <row r="1059" spans="1:33">
      <c r="A1059" s="2" t="s">
        <v>113</v>
      </c>
      <c r="B1059" s="2" t="s">
        <v>51</v>
      </c>
      <c r="C1059" s="1">
        <v>0.57440698499999998</v>
      </c>
      <c r="D1059">
        <v>0.66920790399999996</v>
      </c>
      <c r="E1059">
        <v>0.71602402300000001</v>
      </c>
      <c r="F1059" s="1" t="s">
        <v>114</v>
      </c>
      <c r="G1059" s="1">
        <v>2.5573248409999998</v>
      </c>
      <c r="H1059" s="1">
        <v>34.299999999999997</v>
      </c>
      <c r="I1059" s="1">
        <v>31.4</v>
      </c>
      <c r="J1059" s="1">
        <v>0.65321297066666661</v>
      </c>
      <c r="K1059" s="1">
        <v>0.60067161999999996</v>
      </c>
      <c r="L1059" s="1">
        <v>0.68094129999999997</v>
      </c>
      <c r="M1059" s="3">
        <v>0.73595931299999995</v>
      </c>
      <c r="N1059" s="1" t="s">
        <v>52</v>
      </c>
      <c r="O1059" s="1">
        <v>1.858638743</v>
      </c>
      <c r="P1059" s="1">
        <v>29.4</v>
      </c>
      <c r="Q1059" s="1">
        <v>38.200000000000003</v>
      </c>
      <c r="R1059" s="1">
        <v>0.67252407766666666</v>
      </c>
      <c r="S1059" s="1">
        <v>3.4998848849071278E-2</v>
      </c>
      <c r="T1059" t="s">
        <v>1206</v>
      </c>
      <c r="U1059" s="1">
        <v>6457</v>
      </c>
      <c r="V1059">
        <f t="shared" si="64"/>
        <v>0.42333675404509324</v>
      </c>
      <c r="W1059" s="1">
        <f t="shared" si="65"/>
        <v>4.8999999999999986</v>
      </c>
      <c r="X1059">
        <f t="shared" si="66"/>
        <v>0.69868609799999981</v>
      </c>
      <c r="Y1059">
        <f t="shared" si="67"/>
        <v>6.8000000000000043</v>
      </c>
      <c r="Z1059" s="1">
        <v>17</v>
      </c>
      <c r="AA1059">
        <v>83</v>
      </c>
      <c r="AB1059">
        <v>0.20480000000000001</v>
      </c>
      <c r="AC1059">
        <v>14</v>
      </c>
      <c r="AD1059">
        <v>84</v>
      </c>
      <c r="AE1059">
        <v>0.16669999999999999</v>
      </c>
      <c r="AF1059" t="s">
        <v>2593</v>
      </c>
      <c r="AG1059" t="s">
        <v>2591</v>
      </c>
    </row>
    <row r="1060" spans="1:33">
      <c r="A1060" s="2" t="s">
        <v>113</v>
      </c>
      <c r="B1060" s="2" t="s">
        <v>53</v>
      </c>
      <c r="C1060" s="1">
        <v>0.57440698499999998</v>
      </c>
      <c r="D1060">
        <v>0.66920790399999996</v>
      </c>
      <c r="E1060">
        <v>0.71602402300000001</v>
      </c>
      <c r="F1060" s="1" t="s">
        <v>114</v>
      </c>
      <c r="G1060" s="1">
        <v>2.5573248409999998</v>
      </c>
      <c r="H1060" s="1">
        <v>34.299999999999997</v>
      </c>
      <c r="I1060" s="1">
        <v>31.4</v>
      </c>
      <c r="J1060" s="1">
        <v>0.65321297066666661</v>
      </c>
      <c r="K1060" s="1">
        <v>0.54695832700000002</v>
      </c>
      <c r="L1060" s="1">
        <v>0.659790137</v>
      </c>
      <c r="M1060" s="3">
        <v>0.70662085500000005</v>
      </c>
      <c r="N1060" s="1" t="s">
        <v>54</v>
      </c>
      <c r="O1060" s="1">
        <v>2.5053995680000001</v>
      </c>
      <c r="P1060" s="1">
        <v>43.9</v>
      </c>
      <c r="Q1060" s="1">
        <v>46.3</v>
      </c>
      <c r="R1060" s="1">
        <v>0.63778977300000006</v>
      </c>
      <c r="S1060" s="1">
        <v>3.0504798470133734E-2</v>
      </c>
      <c r="T1060" t="s">
        <v>1207</v>
      </c>
      <c r="U1060" s="1">
        <v>56074</v>
      </c>
      <c r="V1060">
        <f t="shared" si="64"/>
        <v>0.52764017081110615</v>
      </c>
      <c r="W1060" s="1">
        <f t="shared" si="65"/>
        <v>9.6000000000000014</v>
      </c>
      <c r="X1060">
        <f t="shared" si="66"/>
        <v>5.1925272999999716E-2</v>
      </c>
      <c r="Y1060">
        <f t="shared" si="67"/>
        <v>14.899999999999999</v>
      </c>
      <c r="Z1060" s="1">
        <v>22</v>
      </c>
      <c r="AA1060">
        <v>78</v>
      </c>
      <c r="AB1060">
        <v>0.28210000000000002</v>
      </c>
      <c r="AC1060">
        <v>20</v>
      </c>
      <c r="AD1060">
        <v>78</v>
      </c>
      <c r="AE1060">
        <v>0.25640000000000002</v>
      </c>
      <c r="AF1060" t="s">
        <v>2593</v>
      </c>
      <c r="AG1060" t="s">
        <v>2593</v>
      </c>
    </row>
    <row r="1061" spans="1:33">
      <c r="A1061" s="2" t="s">
        <v>113</v>
      </c>
      <c r="B1061" s="2" t="s">
        <v>55</v>
      </c>
      <c r="C1061" s="1">
        <v>0.57440698499999998</v>
      </c>
      <c r="D1061">
        <v>0.66920790399999996</v>
      </c>
      <c r="E1061">
        <v>0.71602402300000001</v>
      </c>
      <c r="F1061" s="1" t="s">
        <v>114</v>
      </c>
      <c r="G1061" s="1">
        <v>2.5573248409999998</v>
      </c>
      <c r="H1061" s="1">
        <v>34.299999999999997</v>
      </c>
      <c r="I1061" s="1">
        <v>31.4</v>
      </c>
      <c r="J1061" s="1">
        <v>0.65321297066666661</v>
      </c>
      <c r="K1061" s="1">
        <v>0.52971861799999997</v>
      </c>
      <c r="L1061" s="1">
        <v>0.62258244500000004</v>
      </c>
      <c r="M1061" s="3">
        <v>0.63939760400000001</v>
      </c>
      <c r="N1061" s="1" t="s">
        <v>56</v>
      </c>
      <c r="O1061" s="1">
        <v>1.0796934869999999</v>
      </c>
      <c r="P1061" s="1">
        <v>55.3</v>
      </c>
      <c r="Q1061" s="1">
        <v>130.5</v>
      </c>
      <c r="R1061" s="1">
        <v>0.59723288899999993</v>
      </c>
      <c r="S1061" s="1">
        <v>0.10021273202967237</v>
      </c>
      <c r="T1061" t="s">
        <v>1208</v>
      </c>
      <c r="U1061" s="1">
        <v>454</v>
      </c>
      <c r="V1061">
        <f t="shared" si="64"/>
        <v>0.29522842809523375</v>
      </c>
      <c r="W1061" s="1">
        <f t="shared" si="65"/>
        <v>21</v>
      </c>
      <c r="X1061">
        <f t="shared" si="66"/>
        <v>1.4776313539999999</v>
      </c>
      <c r="Y1061">
        <f t="shared" si="67"/>
        <v>99.1</v>
      </c>
      <c r="Z1061" s="1">
        <v>0</v>
      </c>
      <c r="AA1061">
        <v>100</v>
      </c>
      <c r="AB1061">
        <v>0</v>
      </c>
      <c r="AC1061">
        <v>0</v>
      </c>
      <c r="AD1061">
        <v>90</v>
      </c>
      <c r="AE1061">
        <v>0</v>
      </c>
      <c r="AF1061" t="s">
        <v>2593</v>
      </c>
      <c r="AG1061" t="s">
        <v>2592</v>
      </c>
    </row>
    <row r="1062" spans="1:33">
      <c r="A1062" s="2" t="s">
        <v>113</v>
      </c>
      <c r="B1062" s="2" t="s">
        <v>57</v>
      </c>
      <c r="C1062" s="1">
        <v>0.57440698499999998</v>
      </c>
      <c r="D1062">
        <v>0.66920790399999996</v>
      </c>
      <c r="E1062">
        <v>0.71602402300000001</v>
      </c>
      <c r="F1062" s="1" t="s">
        <v>114</v>
      </c>
      <c r="G1062" s="1">
        <v>2.5573248409999998</v>
      </c>
      <c r="H1062" s="1">
        <v>34.299999999999997</v>
      </c>
      <c r="I1062" s="1">
        <v>31.4</v>
      </c>
      <c r="J1062" s="1">
        <v>0.65321297066666661</v>
      </c>
      <c r="K1062" s="1">
        <v>0.528732855</v>
      </c>
      <c r="L1062" s="1">
        <v>0.63387497599999998</v>
      </c>
      <c r="M1062" s="3">
        <v>0.63337360200000004</v>
      </c>
      <c r="N1062" s="1" t="s">
        <v>58</v>
      </c>
      <c r="O1062" s="1">
        <v>1.386610879</v>
      </c>
      <c r="P1062" s="1">
        <v>69</v>
      </c>
      <c r="Q1062" s="1">
        <v>119.5</v>
      </c>
      <c r="R1062" s="1">
        <v>0.59866047766666663</v>
      </c>
      <c r="S1062" s="1">
        <v>0.10082476899942452</v>
      </c>
      <c r="T1062" t="s">
        <v>1209</v>
      </c>
      <c r="U1062" s="1">
        <v>1842</v>
      </c>
      <c r="V1062">
        <f t="shared" si="64"/>
        <v>0.36280995842898112</v>
      </c>
      <c r="W1062" s="1">
        <f t="shared" si="65"/>
        <v>34.700000000000003</v>
      </c>
      <c r="X1062">
        <f t="shared" si="66"/>
        <v>1.1707139619999998</v>
      </c>
      <c r="Y1062">
        <f t="shared" si="67"/>
        <v>88.1</v>
      </c>
      <c r="Z1062" s="1">
        <v>0</v>
      </c>
      <c r="AA1062">
        <v>100</v>
      </c>
      <c r="AB1062">
        <v>0</v>
      </c>
      <c r="AC1062">
        <v>0</v>
      </c>
      <c r="AD1062">
        <v>96</v>
      </c>
      <c r="AE1062">
        <v>0</v>
      </c>
      <c r="AF1062" t="s">
        <v>2593</v>
      </c>
      <c r="AG1062" t="s">
        <v>2589</v>
      </c>
    </row>
    <row r="1063" spans="1:33">
      <c r="A1063" s="2" t="s">
        <v>113</v>
      </c>
      <c r="B1063" s="2" t="s">
        <v>59</v>
      </c>
      <c r="C1063" s="1">
        <v>0.57440698499999998</v>
      </c>
      <c r="D1063">
        <v>0.66920790399999996</v>
      </c>
      <c r="E1063">
        <v>0.71602402300000001</v>
      </c>
      <c r="F1063" s="1" t="s">
        <v>114</v>
      </c>
      <c r="G1063" s="1">
        <v>2.5573248409999998</v>
      </c>
      <c r="H1063" s="1">
        <v>34.299999999999997</v>
      </c>
      <c r="I1063" s="1">
        <v>31.4</v>
      </c>
      <c r="J1063" s="1">
        <v>0.65321297066666661</v>
      </c>
      <c r="K1063" s="1">
        <v>0.56225432799999997</v>
      </c>
      <c r="L1063" s="1">
        <v>0.68100706499999997</v>
      </c>
      <c r="M1063" s="3">
        <v>0.67505263699999996</v>
      </c>
      <c r="N1063" s="1" t="s">
        <v>60</v>
      </c>
      <c r="O1063" s="1">
        <v>1.1501154730000001</v>
      </c>
      <c r="P1063" s="1">
        <v>60.5</v>
      </c>
      <c r="Q1063" s="1">
        <v>129.9</v>
      </c>
      <c r="R1063" s="1">
        <v>0.63943801</v>
      </c>
      <c r="S1063" s="1">
        <v>4.4334656232168652E-2</v>
      </c>
      <c r="T1063" t="s">
        <v>1210</v>
      </c>
      <c r="U1063" s="1">
        <v>14703</v>
      </c>
      <c r="V1063">
        <f t="shared" si="64"/>
        <v>0.46304510635914359</v>
      </c>
      <c r="W1063" s="1">
        <f t="shared" si="65"/>
        <v>26.200000000000003</v>
      </c>
      <c r="X1063">
        <f t="shared" si="66"/>
        <v>1.4072093679999997</v>
      </c>
      <c r="Y1063">
        <f t="shared" si="67"/>
        <v>98.5</v>
      </c>
      <c r="Z1063" s="1">
        <v>0</v>
      </c>
      <c r="AA1063">
        <v>100</v>
      </c>
      <c r="AB1063">
        <v>0</v>
      </c>
      <c r="AC1063">
        <v>0</v>
      </c>
      <c r="AD1063">
        <v>115</v>
      </c>
      <c r="AE1063">
        <v>0</v>
      </c>
      <c r="AF1063" t="s">
        <v>2593</v>
      </c>
      <c r="AG1063" t="s">
        <v>2589</v>
      </c>
    </row>
    <row r="1064" spans="1:33">
      <c r="A1064" s="2" t="s">
        <v>113</v>
      </c>
      <c r="B1064" s="2" t="s">
        <v>61</v>
      </c>
      <c r="C1064" s="1">
        <v>0.57440698499999998</v>
      </c>
      <c r="D1064">
        <v>0.66920790399999996</v>
      </c>
      <c r="E1064">
        <v>0.71602402300000001</v>
      </c>
      <c r="F1064" s="1" t="s">
        <v>114</v>
      </c>
      <c r="G1064" s="1">
        <v>2.5573248409999998</v>
      </c>
      <c r="H1064" s="1">
        <v>34.299999999999997</v>
      </c>
      <c r="I1064" s="1">
        <v>31.4</v>
      </c>
      <c r="J1064" s="1">
        <v>0.65321297066666661</v>
      </c>
      <c r="K1064" s="1">
        <v>0.62063455999999995</v>
      </c>
      <c r="L1064" s="1">
        <v>0.67798104299999995</v>
      </c>
      <c r="M1064" s="3">
        <v>0.72175371600000005</v>
      </c>
      <c r="N1064" s="1" t="s">
        <v>62</v>
      </c>
      <c r="O1064" s="1">
        <v>7.5471698109999998</v>
      </c>
      <c r="P1064" s="1">
        <v>26.4</v>
      </c>
      <c r="Q1064" s="1">
        <v>10.6</v>
      </c>
      <c r="R1064" s="1">
        <v>0.6734564396666668</v>
      </c>
      <c r="S1064" s="1">
        <v>4.7400274684522584E-2</v>
      </c>
      <c r="T1064" t="s">
        <v>1211</v>
      </c>
      <c r="U1064" s="1">
        <v>2838</v>
      </c>
      <c r="V1064">
        <f t="shared" si="64"/>
        <v>0.38366804345793948</v>
      </c>
      <c r="W1064" s="1">
        <f t="shared" si="65"/>
        <v>7.8999999999999986</v>
      </c>
      <c r="X1064">
        <f t="shared" si="66"/>
        <v>4.98984497</v>
      </c>
      <c r="Y1064">
        <f t="shared" si="67"/>
        <v>20.799999999999997</v>
      </c>
      <c r="Z1064" s="1">
        <v>0</v>
      </c>
      <c r="AA1064">
        <v>100</v>
      </c>
      <c r="AB1064">
        <v>0</v>
      </c>
      <c r="AC1064">
        <v>0</v>
      </c>
      <c r="AD1064">
        <v>90</v>
      </c>
      <c r="AE1064">
        <v>0</v>
      </c>
      <c r="AF1064" t="s">
        <v>2593</v>
      </c>
      <c r="AG1064" t="s">
        <v>2588</v>
      </c>
    </row>
    <row r="1065" spans="1:33">
      <c r="A1065" s="2" t="s">
        <v>113</v>
      </c>
      <c r="B1065" s="2" t="s">
        <v>63</v>
      </c>
      <c r="C1065" s="1">
        <v>0.57440698499999998</v>
      </c>
      <c r="D1065">
        <v>0.66920790399999996</v>
      </c>
      <c r="E1065">
        <v>0.71602402300000001</v>
      </c>
      <c r="F1065" s="1" t="s">
        <v>114</v>
      </c>
      <c r="G1065" s="1">
        <v>2.5573248409999998</v>
      </c>
      <c r="H1065" s="1">
        <v>34.299999999999997</v>
      </c>
      <c r="I1065" s="1">
        <v>31.4</v>
      </c>
      <c r="J1065" s="1">
        <v>0.65321297066666661</v>
      </c>
      <c r="K1065" s="1">
        <v>0.44311141399999998</v>
      </c>
      <c r="L1065" s="1">
        <v>0.57053969199999999</v>
      </c>
      <c r="M1065" s="3">
        <v>0.59266330599999995</v>
      </c>
      <c r="N1065" s="1" t="s">
        <v>64</v>
      </c>
      <c r="O1065" s="1">
        <v>0.89618138400000003</v>
      </c>
      <c r="P1065" s="1">
        <v>29.7</v>
      </c>
      <c r="Q1065" s="1">
        <v>83.8</v>
      </c>
      <c r="R1065" s="1">
        <v>0.53543813733333334</v>
      </c>
      <c r="S1065" s="1">
        <v>0.20540644956341336</v>
      </c>
      <c r="T1065" t="s">
        <v>1212</v>
      </c>
      <c r="U1065" s="1">
        <v>345</v>
      </c>
      <c r="V1065">
        <f t="shared" si="64"/>
        <v>0.281979899452586</v>
      </c>
      <c r="W1065" s="1">
        <f t="shared" si="65"/>
        <v>4.5999999999999979</v>
      </c>
      <c r="X1065">
        <f t="shared" si="66"/>
        <v>1.6611434569999997</v>
      </c>
      <c r="Y1065">
        <f t="shared" si="67"/>
        <v>52.4</v>
      </c>
      <c r="Z1065" s="1">
        <v>0</v>
      </c>
      <c r="AA1065">
        <v>100</v>
      </c>
      <c r="AB1065">
        <v>0</v>
      </c>
      <c r="AC1065">
        <v>0</v>
      </c>
      <c r="AD1065">
        <v>97</v>
      </c>
      <c r="AE1065">
        <v>0</v>
      </c>
      <c r="AF1065" t="s">
        <v>2593</v>
      </c>
      <c r="AG1065" t="s">
        <v>2590</v>
      </c>
    </row>
    <row r="1066" spans="1:33">
      <c r="A1066" s="2" t="s">
        <v>113</v>
      </c>
      <c r="B1066" s="2" t="s">
        <v>65</v>
      </c>
      <c r="C1066" s="1">
        <v>0.57440698499999998</v>
      </c>
      <c r="D1066">
        <v>0.66920790399999996</v>
      </c>
      <c r="E1066">
        <v>0.71602402300000001</v>
      </c>
      <c r="F1066" s="1" t="s">
        <v>114</v>
      </c>
      <c r="G1066" s="1">
        <v>2.5573248409999998</v>
      </c>
      <c r="H1066" s="1">
        <v>34.299999999999997</v>
      </c>
      <c r="I1066" s="1">
        <v>31.4</v>
      </c>
      <c r="J1066" s="1">
        <v>0.65321297066666661</v>
      </c>
      <c r="K1066" s="1">
        <v>0.67377447499999998</v>
      </c>
      <c r="L1066" s="1">
        <v>0.69144672900000004</v>
      </c>
      <c r="M1066" s="3">
        <v>0.73046409700000003</v>
      </c>
      <c r="N1066" s="1" t="s">
        <v>66</v>
      </c>
      <c r="O1066" s="1">
        <v>1.8507462690000001</v>
      </c>
      <c r="P1066" s="1">
        <v>34.5</v>
      </c>
      <c r="Q1066" s="1">
        <v>46.9</v>
      </c>
      <c r="R1066" s="1">
        <v>0.69856176700000006</v>
      </c>
      <c r="S1066" s="1">
        <v>0.10284444148035519</v>
      </c>
      <c r="T1066" t="s">
        <v>1213</v>
      </c>
      <c r="U1066" s="1">
        <v>5989</v>
      </c>
      <c r="V1066">
        <f t="shared" si="64"/>
        <v>0.41970603478713431</v>
      </c>
      <c r="W1066" s="1">
        <f t="shared" si="65"/>
        <v>0.20000000000000284</v>
      </c>
      <c r="X1066">
        <f t="shared" si="66"/>
        <v>0.70657857199999974</v>
      </c>
      <c r="Y1066">
        <f t="shared" si="67"/>
        <v>15.5</v>
      </c>
      <c r="Z1066" s="1">
        <v>3</v>
      </c>
      <c r="AA1066">
        <v>97</v>
      </c>
      <c r="AB1066">
        <v>3.09E-2</v>
      </c>
      <c r="AC1066">
        <v>1</v>
      </c>
      <c r="AD1066">
        <v>78</v>
      </c>
      <c r="AE1066">
        <v>1.2800000000000001E-2</v>
      </c>
      <c r="AF1066" t="s">
        <v>2593</v>
      </c>
      <c r="AG1066" t="s">
        <v>2593</v>
      </c>
    </row>
    <row r="1067" spans="1:33">
      <c r="A1067" s="2" t="s">
        <v>113</v>
      </c>
      <c r="B1067" s="2" t="s">
        <v>67</v>
      </c>
      <c r="C1067" s="1">
        <v>0.57440698499999998</v>
      </c>
      <c r="D1067">
        <v>0.66920790399999996</v>
      </c>
      <c r="E1067">
        <v>0.71602402300000001</v>
      </c>
      <c r="F1067" s="1" t="s">
        <v>114</v>
      </c>
      <c r="G1067" s="1">
        <v>2.5573248409999998</v>
      </c>
      <c r="H1067" s="1">
        <v>34.299999999999997</v>
      </c>
      <c r="I1067" s="1">
        <v>31.4</v>
      </c>
      <c r="J1067" s="1">
        <v>0.65321297066666661</v>
      </c>
      <c r="K1067" s="1">
        <v>0.53971122199999999</v>
      </c>
      <c r="L1067" s="1">
        <v>0.621203065</v>
      </c>
      <c r="M1067" s="3">
        <v>0.67806811499999997</v>
      </c>
      <c r="N1067" s="1" t="s">
        <v>68</v>
      </c>
      <c r="O1067" s="1">
        <v>1.5131894480000001</v>
      </c>
      <c r="P1067" s="1">
        <v>27.2</v>
      </c>
      <c r="Q1067" s="1">
        <v>41.7</v>
      </c>
      <c r="R1067" s="1">
        <v>0.61299413400000002</v>
      </c>
      <c r="S1067" s="1">
        <v>7.0348500265979746E-2</v>
      </c>
      <c r="T1067" t="s">
        <v>1214</v>
      </c>
      <c r="U1067" s="1">
        <v>4724</v>
      </c>
      <c r="V1067">
        <f t="shared" si="64"/>
        <v>0.40825665432683084</v>
      </c>
      <c r="W1067" s="1">
        <f t="shared" si="65"/>
        <v>7.0999999999999979</v>
      </c>
      <c r="X1067">
        <f t="shared" si="66"/>
        <v>1.0441353929999997</v>
      </c>
      <c r="Y1067">
        <f t="shared" si="67"/>
        <v>10.300000000000004</v>
      </c>
      <c r="Z1067" s="1">
        <v>0</v>
      </c>
      <c r="AA1067">
        <v>100</v>
      </c>
      <c r="AB1067">
        <v>0</v>
      </c>
      <c r="AC1067">
        <v>0</v>
      </c>
      <c r="AD1067">
        <v>90</v>
      </c>
      <c r="AE1067">
        <v>0</v>
      </c>
      <c r="AF1067" t="s">
        <v>2593</v>
      </c>
      <c r="AG1067" t="s">
        <v>2588</v>
      </c>
    </row>
    <row r="1068" spans="1:33">
      <c r="A1068" s="2" t="s">
        <v>113</v>
      </c>
      <c r="B1068" s="2" t="s">
        <v>69</v>
      </c>
      <c r="C1068" s="1">
        <v>0.57440698499999998</v>
      </c>
      <c r="D1068">
        <v>0.66920790399999996</v>
      </c>
      <c r="E1068">
        <v>0.71602402300000001</v>
      </c>
      <c r="F1068" s="1" t="s">
        <v>114</v>
      </c>
      <c r="G1068" s="1">
        <v>2.5573248409999998</v>
      </c>
      <c r="H1068" s="1">
        <v>34.299999999999997</v>
      </c>
      <c r="I1068" s="1">
        <v>31.4</v>
      </c>
      <c r="J1068" s="1">
        <v>0.65321297066666661</v>
      </c>
      <c r="K1068" s="1">
        <v>0.50188385300000005</v>
      </c>
      <c r="L1068" s="1">
        <v>0.64580031500000001</v>
      </c>
      <c r="M1068" s="3">
        <v>0.66006355800000005</v>
      </c>
      <c r="N1068" s="1" t="s">
        <v>70</v>
      </c>
      <c r="O1068" s="1">
        <v>1.2401055409999999</v>
      </c>
      <c r="P1068" s="1">
        <v>43.4</v>
      </c>
      <c r="Q1068" s="1">
        <v>75.8</v>
      </c>
      <c r="R1068" s="1">
        <v>0.60258257533333337</v>
      </c>
      <c r="S1068" s="1">
        <v>9.4546779643193316E-2</v>
      </c>
      <c r="T1068" t="s">
        <v>1215</v>
      </c>
      <c r="U1068" s="1">
        <v>676</v>
      </c>
      <c r="V1068">
        <f t="shared" si="64"/>
        <v>0.31443852177129289</v>
      </c>
      <c r="W1068" s="1">
        <f t="shared" si="65"/>
        <v>9.1000000000000014</v>
      </c>
      <c r="X1068">
        <f t="shared" si="66"/>
        <v>1.3172192999999999</v>
      </c>
      <c r="Y1068">
        <f t="shared" si="67"/>
        <v>44.4</v>
      </c>
      <c r="Z1068" s="1">
        <v>0</v>
      </c>
      <c r="AA1068">
        <v>100</v>
      </c>
      <c r="AB1068">
        <v>0</v>
      </c>
      <c r="AC1068">
        <v>0</v>
      </c>
      <c r="AD1068">
        <v>97</v>
      </c>
      <c r="AE1068">
        <v>0</v>
      </c>
      <c r="AF1068" t="s">
        <v>2593</v>
      </c>
      <c r="AG1068" t="s">
        <v>2589</v>
      </c>
    </row>
    <row r="1069" spans="1:33">
      <c r="A1069" s="2" t="s">
        <v>113</v>
      </c>
      <c r="B1069" s="2" t="s">
        <v>71</v>
      </c>
      <c r="C1069" s="1">
        <v>0.57440698499999998</v>
      </c>
      <c r="D1069">
        <v>0.66920790399999996</v>
      </c>
      <c r="E1069">
        <v>0.71602402300000001</v>
      </c>
      <c r="F1069" s="1" t="s">
        <v>114</v>
      </c>
      <c r="G1069" s="1">
        <v>2.5573248409999998</v>
      </c>
      <c r="H1069" s="1">
        <v>34.299999999999997</v>
      </c>
      <c r="I1069" s="1">
        <v>31.4</v>
      </c>
      <c r="J1069" s="1">
        <v>0.65321297066666661</v>
      </c>
      <c r="K1069" s="1">
        <v>0.53267569100000001</v>
      </c>
      <c r="L1069" s="1">
        <v>0.64507433599999997</v>
      </c>
      <c r="M1069" s="3">
        <v>0.66598465100000004</v>
      </c>
      <c r="N1069" s="1" t="s">
        <v>72</v>
      </c>
      <c r="O1069" s="1">
        <v>0.97289666900000005</v>
      </c>
      <c r="P1069" s="1">
        <v>64.8</v>
      </c>
      <c r="Q1069" s="1">
        <v>177.1</v>
      </c>
      <c r="R1069" s="1">
        <v>0.61457822600000001</v>
      </c>
      <c r="S1069" s="1">
        <v>6.9482866618177458E-2</v>
      </c>
      <c r="T1069" t="s">
        <v>1216</v>
      </c>
      <c r="U1069" s="1">
        <v>9271</v>
      </c>
      <c r="V1069">
        <f t="shared" si="64"/>
        <v>0.44079184234182361</v>
      </c>
      <c r="W1069" s="1">
        <f t="shared" si="65"/>
        <v>30.5</v>
      </c>
      <c r="X1069">
        <f t="shared" si="66"/>
        <v>1.5844281719999997</v>
      </c>
      <c r="Y1069">
        <f t="shared" si="67"/>
        <v>145.69999999999999</v>
      </c>
      <c r="Z1069" s="1">
        <v>2</v>
      </c>
      <c r="AA1069">
        <v>98</v>
      </c>
      <c r="AB1069">
        <v>2.0400000000000001E-2</v>
      </c>
      <c r="AC1069">
        <v>1</v>
      </c>
      <c r="AD1069">
        <v>107</v>
      </c>
      <c r="AE1069">
        <v>9.2999999999999992E-3</v>
      </c>
      <c r="AF1069" t="s">
        <v>2593</v>
      </c>
      <c r="AG1069" t="s">
        <v>2589</v>
      </c>
    </row>
    <row r="1070" spans="1:33">
      <c r="A1070" s="2" t="s">
        <v>113</v>
      </c>
      <c r="B1070" s="2" t="s">
        <v>73</v>
      </c>
      <c r="C1070" s="1">
        <v>0.57440698499999998</v>
      </c>
      <c r="D1070">
        <v>0.66920790399999996</v>
      </c>
      <c r="E1070">
        <v>0.71602402300000001</v>
      </c>
      <c r="F1070" s="1" t="s">
        <v>114</v>
      </c>
      <c r="G1070" s="1">
        <v>2.5573248409999998</v>
      </c>
      <c r="H1070" s="1">
        <v>34.299999999999997</v>
      </c>
      <c r="I1070" s="1">
        <v>31.4</v>
      </c>
      <c r="J1070" s="1">
        <v>0.65321297066666661</v>
      </c>
      <c r="K1070" s="1">
        <v>0.55697925299999995</v>
      </c>
      <c r="L1070" s="1">
        <v>0.64461978399999997</v>
      </c>
      <c r="M1070" s="3">
        <v>0.69570690000000002</v>
      </c>
      <c r="N1070" s="1" t="s">
        <v>74</v>
      </c>
      <c r="O1070" s="1">
        <v>1.23433584</v>
      </c>
      <c r="P1070" s="1">
        <v>44</v>
      </c>
      <c r="Q1070" s="1">
        <v>79.8</v>
      </c>
      <c r="R1070" s="1">
        <v>0.63243531233333328</v>
      </c>
      <c r="S1070" s="1">
        <v>3.6346760169172619E-2</v>
      </c>
      <c r="T1070" t="s">
        <v>1217</v>
      </c>
      <c r="U1070" s="1">
        <v>367</v>
      </c>
      <c r="V1070">
        <f t="shared" si="64"/>
        <v>0.28496289602800995</v>
      </c>
      <c r="W1070" s="1">
        <f t="shared" si="65"/>
        <v>9.7000000000000028</v>
      </c>
      <c r="X1070">
        <f t="shared" si="66"/>
        <v>1.3229890009999998</v>
      </c>
      <c r="Y1070">
        <f t="shared" si="67"/>
        <v>48.4</v>
      </c>
      <c r="Z1070" s="1">
        <v>0</v>
      </c>
      <c r="AA1070">
        <v>100</v>
      </c>
      <c r="AB1070">
        <v>0</v>
      </c>
      <c r="AC1070">
        <v>0</v>
      </c>
      <c r="AD1070">
        <v>93</v>
      </c>
      <c r="AE1070">
        <v>0</v>
      </c>
      <c r="AF1070" t="s">
        <v>2593</v>
      </c>
      <c r="AG1070" t="s">
        <v>2589</v>
      </c>
    </row>
    <row r="1071" spans="1:33">
      <c r="A1071" s="2" t="s">
        <v>113</v>
      </c>
      <c r="B1071" s="2" t="s">
        <v>75</v>
      </c>
      <c r="C1071" s="1">
        <v>0.57440698499999998</v>
      </c>
      <c r="D1071">
        <v>0.66920790399999996</v>
      </c>
      <c r="E1071">
        <v>0.71602402300000001</v>
      </c>
      <c r="F1071" s="1" t="s">
        <v>114</v>
      </c>
      <c r="G1071" s="1">
        <v>2.5573248409999998</v>
      </c>
      <c r="H1071" s="1">
        <v>34.299999999999997</v>
      </c>
      <c r="I1071" s="1">
        <v>31.4</v>
      </c>
      <c r="J1071" s="1">
        <v>0.65321297066666661</v>
      </c>
      <c r="K1071" s="1">
        <v>0.50354843500000002</v>
      </c>
      <c r="L1071" s="1">
        <v>0.59724402499999996</v>
      </c>
      <c r="M1071" s="3">
        <v>0.70308254199999998</v>
      </c>
      <c r="N1071" s="1" t="s">
        <v>76</v>
      </c>
      <c r="O1071" s="1">
        <v>1.2696850390000001</v>
      </c>
      <c r="P1071" s="1">
        <v>26.6</v>
      </c>
      <c r="Q1071" s="1">
        <v>50.8</v>
      </c>
      <c r="R1071" s="1">
        <v>0.60129166733333339</v>
      </c>
      <c r="S1071" s="1">
        <v>0.10181952621821858</v>
      </c>
      <c r="T1071" t="s">
        <v>1218</v>
      </c>
      <c r="U1071" s="1">
        <v>3187</v>
      </c>
      <c r="V1071">
        <f t="shared" si="64"/>
        <v>0.38926467371930362</v>
      </c>
      <c r="W1071" s="1">
        <f t="shared" si="65"/>
        <v>7.6999999999999957</v>
      </c>
      <c r="X1071">
        <f t="shared" si="66"/>
        <v>1.2876398019999997</v>
      </c>
      <c r="Y1071">
        <f t="shared" si="67"/>
        <v>19.399999999999999</v>
      </c>
      <c r="Z1071" s="1">
        <v>0</v>
      </c>
      <c r="AA1071">
        <v>100</v>
      </c>
      <c r="AB1071">
        <v>0</v>
      </c>
      <c r="AC1071">
        <v>0</v>
      </c>
      <c r="AD1071">
        <v>93</v>
      </c>
      <c r="AE1071">
        <v>0</v>
      </c>
      <c r="AF1071" t="s">
        <v>2593</v>
      </c>
      <c r="AG1071" t="s">
        <v>2594</v>
      </c>
    </row>
    <row r="1072" spans="1:33">
      <c r="A1072" s="2" t="s">
        <v>113</v>
      </c>
      <c r="B1072" s="2" t="s">
        <v>77</v>
      </c>
      <c r="C1072" s="1">
        <v>0.57440698499999998</v>
      </c>
      <c r="D1072">
        <v>0.66920790399999996</v>
      </c>
      <c r="E1072">
        <v>0.71602402300000001</v>
      </c>
      <c r="F1072" s="1" t="s">
        <v>114</v>
      </c>
      <c r="G1072" s="1">
        <v>2.5573248409999998</v>
      </c>
      <c r="H1072" s="1">
        <v>34.299999999999997</v>
      </c>
      <c r="I1072" s="1">
        <v>31.4</v>
      </c>
      <c r="J1072" s="1">
        <v>0.65321297066666661</v>
      </c>
      <c r="K1072" s="1">
        <v>0.54630843299999998</v>
      </c>
      <c r="L1072" s="1">
        <v>0.68935555900000001</v>
      </c>
      <c r="M1072" s="3">
        <v>0.65478744899999997</v>
      </c>
      <c r="N1072" s="1" t="s">
        <v>78</v>
      </c>
      <c r="O1072" s="1">
        <v>1.3914285710000001</v>
      </c>
      <c r="P1072" s="1">
        <v>56.5</v>
      </c>
      <c r="Q1072" s="1">
        <v>105</v>
      </c>
      <c r="R1072" s="1">
        <v>0.63015048033333343</v>
      </c>
      <c r="S1072" s="1">
        <v>7.0323357583047835E-2</v>
      </c>
      <c r="T1072" t="s">
        <v>1219</v>
      </c>
      <c r="U1072" s="1">
        <v>461</v>
      </c>
      <c r="V1072">
        <f t="shared" si="64"/>
        <v>0.29596676948773865</v>
      </c>
      <c r="W1072" s="1">
        <f t="shared" si="65"/>
        <v>22.200000000000003</v>
      </c>
      <c r="X1072">
        <f t="shared" si="66"/>
        <v>1.1658962699999997</v>
      </c>
      <c r="Y1072">
        <f t="shared" si="67"/>
        <v>73.599999999999994</v>
      </c>
      <c r="Z1072" s="1">
        <v>0</v>
      </c>
      <c r="AA1072">
        <v>100</v>
      </c>
      <c r="AB1072">
        <v>0</v>
      </c>
      <c r="AC1072">
        <v>0</v>
      </c>
      <c r="AD1072">
        <v>82</v>
      </c>
      <c r="AE1072">
        <v>0</v>
      </c>
      <c r="AF1072" t="s">
        <v>2593</v>
      </c>
      <c r="AG1072" t="s">
        <v>2590</v>
      </c>
    </row>
    <row r="1073" spans="1:33">
      <c r="A1073" s="2" t="s">
        <v>113</v>
      </c>
      <c r="B1073" s="2" t="s">
        <v>79</v>
      </c>
      <c r="C1073" s="1">
        <v>0.57440698499999998</v>
      </c>
      <c r="D1073">
        <v>0.66920790399999996</v>
      </c>
      <c r="E1073">
        <v>0.71602402300000001</v>
      </c>
      <c r="F1073" s="1" t="s">
        <v>114</v>
      </c>
      <c r="G1073" s="1">
        <v>2.5573248409999998</v>
      </c>
      <c r="H1073" s="1">
        <v>34.299999999999997</v>
      </c>
      <c r="I1073" s="1">
        <v>31.4</v>
      </c>
      <c r="J1073" s="1">
        <v>0.65321297066666661</v>
      </c>
      <c r="K1073" s="1">
        <v>0.63652882899999996</v>
      </c>
      <c r="L1073" s="1">
        <v>0.77536518600000004</v>
      </c>
      <c r="M1073" s="3">
        <v>0.610415606</v>
      </c>
      <c r="N1073" s="1" t="s">
        <v>80</v>
      </c>
      <c r="O1073" s="1">
        <v>0.95325542600000002</v>
      </c>
      <c r="P1073" s="1">
        <v>45.6</v>
      </c>
      <c r="Q1073" s="1">
        <v>119.8</v>
      </c>
      <c r="R1073" s="1">
        <v>0.67410320700000004</v>
      </c>
      <c r="S1073" s="1">
        <v>0.16211609964723975</v>
      </c>
      <c r="T1073" t="s">
        <v>1220</v>
      </c>
      <c r="U1073" s="1">
        <v>686</v>
      </c>
      <c r="V1073">
        <f t="shared" si="64"/>
        <v>0.31514712396741684</v>
      </c>
      <c r="W1073" s="1">
        <f t="shared" si="65"/>
        <v>11.300000000000004</v>
      </c>
      <c r="X1073">
        <f t="shared" si="66"/>
        <v>1.6040694149999997</v>
      </c>
      <c r="Y1073">
        <f t="shared" si="67"/>
        <v>88.4</v>
      </c>
      <c r="Z1073" s="1">
        <v>0</v>
      </c>
      <c r="AA1073">
        <v>100</v>
      </c>
      <c r="AB1073">
        <v>0</v>
      </c>
      <c r="AC1073">
        <v>0</v>
      </c>
      <c r="AD1073">
        <v>73</v>
      </c>
      <c r="AE1073">
        <v>0</v>
      </c>
      <c r="AF1073" t="s">
        <v>2593</v>
      </c>
      <c r="AG1073" t="s">
        <v>2590</v>
      </c>
    </row>
    <row r="1074" spans="1:33">
      <c r="A1074" s="2" t="s">
        <v>113</v>
      </c>
      <c r="B1074" s="2" t="s">
        <v>81</v>
      </c>
      <c r="C1074" s="1">
        <v>0.57440698499999998</v>
      </c>
      <c r="D1074">
        <v>0.66920790399999996</v>
      </c>
      <c r="E1074">
        <v>0.71602402300000001</v>
      </c>
      <c r="F1074" s="1" t="s">
        <v>114</v>
      </c>
      <c r="G1074" s="1">
        <v>2.5573248409999998</v>
      </c>
      <c r="H1074" s="1">
        <v>34.299999999999997</v>
      </c>
      <c r="I1074" s="1">
        <v>31.4</v>
      </c>
      <c r="J1074" s="1">
        <v>0.65321297066666661</v>
      </c>
      <c r="K1074" s="1">
        <v>0.50183280699999999</v>
      </c>
      <c r="L1074" s="1">
        <v>0.68550824600000004</v>
      </c>
      <c r="M1074" s="3">
        <v>0.66941488999999998</v>
      </c>
      <c r="N1074" s="1" t="s">
        <v>82</v>
      </c>
      <c r="O1074" s="1">
        <v>1.4359576970000001</v>
      </c>
      <c r="P1074" s="1">
        <v>51</v>
      </c>
      <c r="Q1074" s="1">
        <v>85.1</v>
      </c>
      <c r="R1074" s="1">
        <v>0.61891864766666671</v>
      </c>
      <c r="S1074" s="1">
        <v>8.7778834240973713E-2</v>
      </c>
      <c r="T1074" t="s">
        <v>1221</v>
      </c>
      <c r="U1074" s="1">
        <v>12612</v>
      </c>
      <c r="V1074">
        <f t="shared" si="64"/>
        <v>0.4556426624528741</v>
      </c>
      <c r="W1074" s="1">
        <f t="shared" si="65"/>
        <v>16.700000000000003</v>
      </c>
      <c r="X1074">
        <f t="shared" si="66"/>
        <v>1.1213671439999997</v>
      </c>
      <c r="Y1074">
        <f t="shared" si="67"/>
        <v>53.699999999999996</v>
      </c>
      <c r="Z1074" s="1">
        <v>3</v>
      </c>
      <c r="AA1074">
        <v>97</v>
      </c>
      <c r="AB1074">
        <v>3.09E-2</v>
      </c>
      <c r="AC1074">
        <v>3</v>
      </c>
      <c r="AD1074">
        <v>81</v>
      </c>
      <c r="AE1074">
        <v>3.6999999999999998E-2</v>
      </c>
      <c r="AF1074" t="s">
        <v>2593</v>
      </c>
      <c r="AG1074" t="s">
        <v>2589</v>
      </c>
    </row>
    <row r="1075" spans="1:33">
      <c r="A1075" s="2" t="s">
        <v>113</v>
      </c>
      <c r="B1075" s="2" t="s">
        <v>83</v>
      </c>
      <c r="C1075" s="1">
        <v>0.57440698499999998</v>
      </c>
      <c r="D1075">
        <v>0.66920790399999996</v>
      </c>
      <c r="E1075">
        <v>0.71602402300000001</v>
      </c>
      <c r="F1075" s="1" t="s">
        <v>114</v>
      </c>
      <c r="G1075" s="1">
        <v>2.5573248409999998</v>
      </c>
      <c r="H1075" s="1">
        <v>34.299999999999997</v>
      </c>
      <c r="I1075" s="1">
        <v>31.4</v>
      </c>
      <c r="J1075" s="1">
        <v>0.65321297066666661</v>
      </c>
      <c r="K1075" s="1">
        <v>0.51815179099999997</v>
      </c>
      <c r="L1075" s="1">
        <v>0.50115949400000004</v>
      </c>
      <c r="M1075" s="3">
        <v>0.68053170600000001</v>
      </c>
      <c r="N1075" s="1" t="s">
        <v>84</v>
      </c>
      <c r="O1075" s="1">
        <v>1.760323887</v>
      </c>
      <c r="P1075" s="1">
        <v>83.4</v>
      </c>
      <c r="Q1075" s="1">
        <v>123.5</v>
      </c>
      <c r="R1075" s="1">
        <v>0.56661433033333342</v>
      </c>
      <c r="S1075" s="1">
        <v>0.1807335594778518</v>
      </c>
      <c r="T1075" t="s">
        <v>1222</v>
      </c>
      <c r="U1075" s="1">
        <v>2627</v>
      </c>
      <c r="V1075">
        <f t="shared" si="64"/>
        <v>0.37994000808734119</v>
      </c>
      <c r="W1075" s="1">
        <f t="shared" si="65"/>
        <v>49.100000000000009</v>
      </c>
      <c r="X1075">
        <f t="shared" si="66"/>
        <v>0.79700095399999982</v>
      </c>
      <c r="Y1075">
        <f t="shared" si="67"/>
        <v>92.1</v>
      </c>
      <c r="Z1075" s="1">
        <v>0</v>
      </c>
      <c r="AA1075">
        <v>100</v>
      </c>
      <c r="AB1075">
        <v>0</v>
      </c>
      <c r="AC1075">
        <v>0</v>
      </c>
      <c r="AD1075">
        <v>79</v>
      </c>
      <c r="AE1075">
        <v>0</v>
      </c>
      <c r="AF1075" t="s">
        <v>2593</v>
      </c>
      <c r="AG1075" t="s">
        <v>2589</v>
      </c>
    </row>
    <row r="1076" spans="1:33">
      <c r="A1076" s="2" t="s">
        <v>113</v>
      </c>
      <c r="B1076" s="2" t="s">
        <v>85</v>
      </c>
      <c r="C1076" s="1">
        <v>0.57440698499999998</v>
      </c>
      <c r="D1076">
        <v>0.66920790399999996</v>
      </c>
      <c r="E1076">
        <v>0.71602402300000001</v>
      </c>
      <c r="F1076" s="1" t="s">
        <v>114</v>
      </c>
      <c r="G1076" s="1">
        <v>2.5573248409999998</v>
      </c>
      <c r="H1076" s="1">
        <v>34.299999999999997</v>
      </c>
      <c r="I1076" s="1">
        <v>31.4</v>
      </c>
      <c r="J1076" s="1">
        <v>0.65321297066666661</v>
      </c>
      <c r="K1076" s="1">
        <v>0.522280945</v>
      </c>
      <c r="L1076" s="1">
        <v>0.58016629799999997</v>
      </c>
      <c r="M1076" s="3">
        <v>0.62446713499999995</v>
      </c>
      <c r="N1076" s="1" t="s">
        <v>86</v>
      </c>
      <c r="O1076" s="1">
        <v>0.57177615599999998</v>
      </c>
      <c r="P1076" s="1">
        <v>19.5</v>
      </c>
      <c r="Q1076" s="1">
        <v>82.2</v>
      </c>
      <c r="R1076" s="1">
        <v>0.57563812599999997</v>
      </c>
      <c r="S1076" s="1">
        <v>0.13794272501797761</v>
      </c>
      <c r="T1076" t="s">
        <v>1223</v>
      </c>
      <c r="U1076" s="1">
        <v>365</v>
      </c>
      <c r="V1076">
        <f t="shared" si="64"/>
        <v>0.2846992071618305</v>
      </c>
      <c r="W1076" s="1">
        <f t="shared" si="65"/>
        <v>14.799999999999997</v>
      </c>
      <c r="X1076">
        <f t="shared" si="66"/>
        <v>1.9855486849999999</v>
      </c>
      <c r="Y1076">
        <f t="shared" si="67"/>
        <v>50.800000000000004</v>
      </c>
      <c r="Z1076" s="1">
        <v>0</v>
      </c>
      <c r="AA1076">
        <v>100</v>
      </c>
      <c r="AB1076">
        <v>0</v>
      </c>
      <c r="AC1076">
        <v>0</v>
      </c>
      <c r="AD1076">
        <v>144</v>
      </c>
      <c r="AE1076">
        <v>0</v>
      </c>
      <c r="AF1076" t="s">
        <v>2593</v>
      </c>
      <c r="AG1076" t="s">
        <v>2590</v>
      </c>
    </row>
    <row r="1077" spans="1:33">
      <c r="A1077" s="2" t="s">
        <v>113</v>
      </c>
      <c r="B1077" s="2" t="s">
        <v>87</v>
      </c>
      <c r="C1077" s="1">
        <v>0.57440698499999998</v>
      </c>
      <c r="D1077">
        <v>0.66920790399999996</v>
      </c>
      <c r="E1077">
        <v>0.71602402300000001</v>
      </c>
      <c r="F1077" s="1" t="s">
        <v>114</v>
      </c>
      <c r="G1077" s="1">
        <v>2.5573248409999998</v>
      </c>
      <c r="H1077" s="1">
        <v>34.299999999999997</v>
      </c>
      <c r="I1077" s="1">
        <v>31.4</v>
      </c>
      <c r="J1077" s="1">
        <v>0.65321297066666661</v>
      </c>
      <c r="K1077" s="1">
        <v>0.46780425199999998</v>
      </c>
      <c r="L1077" s="1">
        <v>0.54149707400000002</v>
      </c>
      <c r="M1077" s="3">
        <v>0.61626236400000001</v>
      </c>
      <c r="N1077" s="1" t="s">
        <v>88</v>
      </c>
      <c r="O1077" s="1">
        <v>1.395454545</v>
      </c>
      <c r="P1077" s="1">
        <v>65.2</v>
      </c>
      <c r="Q1077" s="1">
        <v>110</v>
      </c>
      <c r="R1077" s="1">
        <v>0.54185456333333337</v>
      </c>
      <c r="S1077" s="1">
        <v>0.19397573917578056</v>
      </c>
      <c r="T1077" t="s">
        <v>1224</v>
      </c>
      <c r="U1077" s="1">
        <v>1246</v>
      </c>
      <c r="V1077">
        <f t="shared" si="64"/>
        <v>0.34394644914701678</v>
      </c>
      <c r="W1077" s="1">
        <f t="shared" si="65"/>
        <v>30.900000000000006</v>
      </c>
      <c r="X1077">
        <f t="shared" si="66"/>
        <v>1.1618702959999998</v>
      </c>
      <c r="Y1077">
        <f t="shared" si="67"/>
        <v>78.599999999999994</v>
      </c>
      <c r="Z1077" s="1">
        <v>0</v>
      </c>
      <c r="AA1077">
        <v>100</v>
      </c>
      <c r="AB1077">
        <v>0</v>
      </c>
      <c r="AC1077">
        <v>0</v>
      </c>
      <c r="AD1077">
        <v>77</v>
      </c>
      <c r="AE1077">
        <v>0</v>
      </c>
      <c r="AF1077" t="s">
        <v>2593</v>
      </c>
      <c r="AG1077" t="s">
        <v>2590</v>
      </c>
    </row>
    <row r="1078" spans="1:33">
      <c r="A1078" s="2" t="s">
        <v>113</v>
      </c>
      <c r="B1078" s="2" t="s">
        <v>89</v>
      </c>
      <c r="C1078" s="1">
        <v>0.57440698499999998</v>
      </c>
      <c r="D1078">
        <v>0.66920790399999996</v>
      </c>
      <c r="E1078">
        <v>0.71602402300000001</v>
      </c>
      <c r="F1078" s="1" t="s">
        <v>114</v>
      </c>
      <c r="G1078" s="1">
        <v>2.5573248409999998</v>
      </c>
      <c r="H1078" s="1">
        <v>34.299999999999997</v>
      </c>
      <c r="I1078" s="1">
        <v>31.4</v>
      </c>
      <c r="J1078" s="1">
        <v>0.65321297066666661</v>
      </c>
      <c r="K1078" s="1">
        <v>0.51097051500000001</v>
      </c>
      <c r="L1078" s="1">
        <v>0.61917891400000002</v>
      </c>
      <c r="M1078" s="3">
        <v>0.60984479800000002</v>
      </c>
      <c r="N1078" s="1" t="s">
        <v>90</v>
      </c>
      <c r="O1078" s="1">
        <v>1.429752066</v>
      </c>
      <c r="P1078" s="1">
        <v>59.8</v>
      </c>
      <c r="Q1078" s="1">
        <v>108.9</v>
      </c>
      <c r="R1078" s="1">
        <v>0.57999807566666661</v>
      </c>
      <c r="S1078" s="1">
        <v>0.13342081317426308</v>
      </c>
      <c r="T1078" t="s">
        <v>1225</v>
      </c>
      <c r="U1078" s="1">
        <v>1199</v>
      </c>
      <c r="V1078">
        <f t="shared" si="64"/>
        <v>0.34209102034431654</v>
      </c>
      <c r="W1078" s="1">
        <f t="shared" si="65"/>
        <v>25.5</v>
      </c>
      <c r="X1078">
        <f t="shared" si="66"/>
        <v>1.1275727749999997</v>
      </c>
      <c r="Y1078">
        <f t="shared" si="67"/>
        <v>77.5</v>
      </c>
      <c r="Z1078" s="1">
        <v>0</v>
      </c>
      <c r="AA1078">
        <v>100</v>
      </c>
      <c r="AB1078">
        <v>0</v>
      </c>
      <c r="AC1078">
        <v>0</v>
      </c>
      <c r="AD1078">
        <v>86</v>
      </c>
      <c r="AE1078">
        <v>0</v>
      </c>
      <c r="AF1078" t="s">
        <v>2593</v>
      </c>
      <c r="AG1078" t="s">
        <v>2589</v>
      </c>
    </row>
    <row r="1079" spans="1:33">
      <c r="A1079" s="2" t="s">
        <v>113</v>
      </c>
      <c r="B1079" s="2" t="s">
        <v>91</v>
      </c>
      <c r="C1079" s="1">
        <v>0.57440698499999998</v>
      </c>
      <c r="D1079">
        <v>0.66920790399999996</v>
      </c>
      <c r="E1079">
        <v>0.71602402300000001</v>
      </c>
      <c r="F1079" s="1" t="s">
        <v>114</v>
      </c>
      <c r="G1079" s="1">
        <v>2.5573248409999998</v>
      </c>
      <c r="H1079" s="1">
        <v>34.299999999999997</v>
      </c>
      <c r="I1079" s="1">
        <v>31.4</v>
      </c>
      <c r="J1079" s="1">
        <v>0.65321297066666661</v>
      </c>
      <c r="K1079" s="1">
        <v>0.37439919700000002</v>
      </c>
      <c r="L1079" s="1">
        <v>0.508839347</v>
      </c>
      <c r="M1079" s="3">
        <v>0.52701193599999996</v>
      </c>
      <c r="N1079" s="1" t="s">
        <v>92</v>
      </c>
      <c r="O1079" s="1">
        <v>1.911504425</v>
      </c>
      <c r="P1079" s="1">
        <v>24.6</v>
      </c>
      <c r="Q1079" s="1">
        <v>33.9</v>
      </c>
      <c r="R1079" s="1">
        <v>0.47008349333333332</v>
      </c>
      <c r="S1079" s="1">
        <v>0.31850707742059792</v>
      </c>
      <c r="T1079" t="s">
        <v>1226</v>
      </c>
      <c r="U1079" s="1">
        <v>1387</v>
      </c>
      <c r="V1079">
        <f t="shared" si="64"/>
        <v>0.34911960678592052</v>
      </c>
      <c r="W1079" s="1">
        <f t="shared" si="65"/>
        <v>9.6999999999999957</v>
      </c>
      <c r="X1079">
        <f t="shared" si="66"/>
        <v>0.64582041599999984</v>
      </c>
      <c r="Y1079">
        <f t="shared" si="67"/>
        <v>2.5</v>
      </c>
      <c r="Z1079" s="1">
        <v>0</v>
      </c>
      <c r="AA1079">
        <v>100</v>
      </c>
      <c r="AB1079">
        <v>0</v>
      </c>
      <c r="AC1079">
        <v>0</v>
      </c>
      <c r="AD1079">
        <v>93</v>
      </c>
      <c r="AE1079">
        <v>0</v>
      </c>
      <c r="AF1079" t="s">
        <v>2593</v>
      </c>
      <c r="AG1079" t="s">
        <v>2590</v>
      </c>
    </row>
    <row r="1080" spans="1:33">
      <c r="A1080" s="2" t="s">
        <v>113</v>
      </c>
      <c r="B1080" s="2" t="s">
        <v>93</v>
      </c>
      <c r="C1080" s="1">
        <v>0.57440698499999998</v>
      </c>
      <c r="D1080">
        <v>0.66920790399999996</v>
      </c>
      <c r="E1080">
        <v>0.71602402300000001</v>
      </c>
      <c r="F1080" s="1" t="s">
        <v>114</v>
      </c>
      <c r="G1080" s="1">
        <v>2.5573248409999998</v>
      </c>
      <c r="H1080" s="1">
        <v>34.299999999999997</v>
      </c>
      <c r="I1080" s="1">
        <v>31.4</v>
      </c>
      <c r="J1080" s="1">
        <v>0.65321297066666661</v>
      </c>
      <c r="K1080" s="1">
        <v>0.54134617200000001</v>
      </c>
      <c r="L1080" s="1">
        <v>0.674899633</v>
      </c>
      <c r="M1080" s="3">
        <v>0.719840174</v>
      </c>
      <c r="N1080" s="1" t="s">
        <v>94</v>
      </c>
      <c r="O1080" s="1">
        <v>1.175388967</v>
      </c>
      <c r="P1080" s="1">
        <v>36.6</v>
      </c>
      <c r="Q1080" s="1">
        <v>70.7</v>
      </c>
      <c r="R1080" s="1">
        <v>0.64536199299999997</v>
      </c>
      <c r="S1080" s="1">
        <v>3.3763532748887652E-2</v>
      </c>
      <c r="T1080" t="s">
        <v>1227</v>
      </c>
      <c r="U1080" s="1">
        <v>425</v>
      </c>
      <c r="V1080">
        <f t="shared" si="64"/>
        <v>0.29204321445003462</v>
      </c>
      <c r="W1080" s="1">
        <f t="shared" si="65"/>
        <v>2.3000000000000043</v>
      </c>
      <c r="X1080">
        <f t="shared" si="66"/>
        <v>1.3819358739999998</v>
      </c>
      <c r="Y1080">
        <f t="shared" si="67"/>
        <v>39.300000000000004</v>
      </c>
      <c r="Z1080" s="1">
        <v>0</v>
      </c>
      <c r="AA1080">
        <v>100</v>
      </c>
      <c r="AB1080">
        <v>0</v>
      </c>
      <c r="AC1080">
        <v>0</v>
      </c>
      <c r="AD1080">
        <v>84</v>
      </c>
      <c r="AE1080">
        <v>0</v>
      </c>
      <c r="AF1080" t="s">
        <v>2593</v>
      </c>
      <c r="AG1080" t="s">
        <v>2589</v>
      </c>
    </row>
    <row r="1081" spans="1:33">
      <c r="A1081" s="2" t="s">
        <v>113</v>
      </c>
      <c r="B1081" s="2" t="s">
        <v>95</v>
      </c>
      <c r="C1081" s="1">
        <v>0.57440698499999998</v>
      </c>
      <c r="D1081">
        <v>0.66920790399999996</v>
      </c>
      <c r="E1081">
        <v>0.71602402300000001</v>
      </c>
      <c r="F1081" s="1" t="s">
        <v>114</v>
      </c>
      <c r="G1081" s="1">
        <v>2.5573248409999998</v>
      </c>
      <c r="H1081" s="1">
        <v>34.299999999999997</v>
      </c>
      <c r="I1081" s="1">
        <v>31.4</v>
      </c>
      <c r="J1081" s="1">
        <v>0.65321297066666661</v>
      </c>
      <c r="K1081" s="1">
        <v>0.59462093100000002</v>
      </c>
      <c r="L1081" s="1">
        <v>0.68038960500000001</v>
      </c>
      <c r="M1081" s="3">
        <v>0.72533004899999998</v>
      </c>
      <c r="N1081" s="1" t="s">
        <v>96</v>
      </c>
      <c r="O1081" s="1">
        <v>1.9717647060000001</v>
      </c>
      <c r="P1081" s="1">
        <v>34.6</v>
      </c>
      <c r="Q1081" s="1">
        <v>42.5</v>
      </c>
      <c r="R1081" s="1">
        <v>0.66678019499999996</v>
      </c>
      <c r="S1081" s="1">
        <v>2.4904541153311675E-2</v>
      </c>
      <c r="T1081" t="s">
        <v>1228</v>
      </c>
      <c r="U1081" s="1">
        <v>13893</v>
      </c>
      <c r="V1081">
        <f t="shared" si="64"/>
        <v>0.46031067063483949</v>
      </c>
      <c r="W1081" s="1">
        <f t="shared" si="65"/>
        <v>0.30000000000000426</v>
      </c>
      <c r="X1081">
        <f t="shared" si="66"/>
        <v>0.5855601349999997</v>
      </c>
      <c r="Y1081">
        <f t="shared" si="67"/>
        <v>11.100000000000001</v>
      </c>
      <c r="Z1081" s="1">
        <v>17</v>
      </c>
      <c r="AA1081">
        <v>83</v>
      </c>
      <c r="AB1081">
        <v>0.20480000000000001</v>
      </c>
      <c r="AC1081">
        <v>14</v>
      </c>
      <c r="AD1081">
        <v>76</v>
      </c>
      <c r="AE1081">
        <v>0.1842</v>
      </c>
      <c r="AF1081" t="s">
        <v>2593</v>
      </c>
      <c r="AG1081" t="s">
        <v>2593</v>
      </c>
    </row>
    <row r="1082" spans="1:33">
      <c r="A1082" s="2" t="s">
        <v>113</v>
      </c>
      <c r="B1082" s="2" t="s">
        <v>97</v>
      </c>
      <c r="C1082" s="1">
        <v>0.57440698499999998</v>
      </c>
      <c r="D1082">
        <v>0.66920790399999996</v>
      </c>
      <c r="E1082">
        <v>0.71602402300000001</v>
      </c>
      <c r="F1082" s="1" t="s">
        <v>114</v>
      </c>
      <c r="G1082" s="1">
        <v>2.5573248409999998</v>
      </c>
      <c r="H1082" s="1">
        <v>34.299999999999997</v>
      </c>
      <c r="I1082" s="1">
        <v>31.4</v>
      </c>
      <c r="J1082" s="1">
        <v>0.65321297066666661</v>
      </c>
      <c r="K1082" s="1">
        <v>0.63674842300000001</v>
      </c>
      <c r="L1082" s="1">
        <v>0.68532635500000005</v>
      </c>
      <c r="M1082" s="3">
        <v>0.727031494</v>
      </c>
      <c r="N1082" s="1" t="s">
        <v>98</v>
      </c>
      <c r="O1082" s="1">
        <v>2.360103627</v>
      </c>
      <c r="P1082" s="1">
        <v>36.799999999999997</v>
      </c>
      <c r="Q1082" s="1">
        <v>38.6</v>
      </c>
      <c r="R1082" s="1">
        <v>0.68303542400000017</v>
      </c>
      <c r="S1082" s="1">
        <v>6.5325521600390554E-2</v>
      </c>
      <c r="T1082" t="s">
        <v>1229</v>
      </c>
      <c r="U1082" s="1">
        <v>7369</v>
      </c>
      <c r="V1082">
        <f t="shared" si="64"/>
        <v>0.42971206183586569</v>
      </c>
      <c r="W1082" s="1">
        <f t="shared" si="65"/>
        <v>2.5</v>
      </c>
      <c r="X1082">
        <f t="shared" si="66"/>
        <v>0.19722121399999981</v>
      </c>
      <c r="Y1082">
        <f t="shared" si="67"/>
        <v>7.2000000000000028</v>
      </c>
      <c r="Z1082" s="1">
        <v>12</v>
      </c>
      <c r="AA1082">
        <v>88</v>
      </c>
      <c r="AB1082">
        <v>0.13639999999999999</v>
      </c>
      <c r="AC1082">
        <v>12</v>
      </c>
      <c r="AD1082">
        <v>78</v>
      </c>
      <c r="AE1082">
        <v>0.15379999999999999</v>
      </c>
      <c r="AF1082" t="s">
        <v>2593</v>
      </c>
      <c r="AG1082" t="s">
        <v>2593</v>
      </c>
    </row>
    <row r="1083" spans="1:33">
      <c r="A1083" s="2" t="s">
        <v>113</v>
      </c>
      <c r="B1083" s="2" t="s">
        <v>99</v>
      </c>
      <c r="C1083" s="1">
        <v>0.57440698499999998</v>
      </c>
      <c r="D1083">
        <v>0.66920790399999996</v>
      </c>
      <c r="E1083">
        <v>0.71602402300000001</v>
      </c>
      <c r="F1083" s="1" t="s">
        <v>114</v>
      </c>
      <c r="G1083" s="1">
        <v>2.5573248409999998</v>
      </c>
      <c r="H1083" s="1">
        <v>34.299999999999997</v>
      </c>
      <c r="I1083" s="1">
        <v>31.4</v>
      </c>
      <c r="J1083" s="1">
        <v>0.65321297066666661</v>
      </c>
      <c r="K1083" s="1">
        <v>0.52525630099999998</v>
      </c>
      <c r="L1083" s="1">
        <v>0.68706170200000005</v>
      </c>
      <c r="M1083" s="3">
        <v>0.71473597300000002</v>
      </c>
      <c r="N1083" s="1" t="s">
        <v>100</v>
      </c>
      <c r="O1083" s="1">
        <v>1.72605042</v>
      </c>
      <c r="P1083" s="1">
        <v>46.5</v>
      </c>
      <c r="Q1083" s="1">
        <v>59.5</v>
      </c>
      <c r="R1083" s="1">
        <v>0.64235132533333339</v>
      </c>
      <c r="S1083" s="1">
        <v>5.2308765168900352E-2</v>
      </c>
      <c r="T1083" t="s">
        <v>1230</v>
      </c>
      <c r="U1083" s="1">
        <v>927</v>
      </c>
      <c r="V1083">
        <f t="shared" si="64"/>
        <v>0.32967552601605526</v>
      </c>
      <c r="W1083" s="1">
        <f t="shared" si="65"/>
        <v>12.200000000000003</v>
      </c>
      <c r="X1083">
        <f t="shared" si="66"/>
        <v>0.83127442099999982</v>
      </c>
      <c r="Y1083">
        <f t="shared" si="67"/>
        <v>28.1</v>
      </c>
      <c r="Z1083" s="1">
        <v>0</v>
      </c>
      <c r="AA1083">
        <v>100</v>
      </c>
      <c r="AB1083">
        <v>0</v>
      </c>
      <c r="AC1083">
        <v>0</v>
      </c>
      <c r="AD1083">
        <v>92</v>
      </c>
      <c r="AE1083">
        <v>0</v>
      </c>
      <c r="AF1083" t="s">
        <v>2593</v>
      </c>
      <c r="AG1083" t="s">
        <v>2589</v>
      </c>
    </row>
    <row r="1084" spans="1:33">
      <c r="A1084" s="2" t="s">
        <v>113</v>
      </c>
      <c r="B1084" s="2" t="s">
        <v>148</v>
      </c>
      <c r="C1084" s="1">
        <v>0.57440698499999998</v>
      </c>
      <c r="D1084">
        <v>0.66920790399999996</v>
      </c>
      <c r="E1084">
        <v>0.71602402300000001</v>
      </c>
      <c r="F1084" s="1" t="s">
        <v>114</v>
      </c>
      <c r="G1084" s="1">
        <v>2.5573248409999998</v>
      </c>
      <c r="H1084" s="1">
        <v>34.299999999999997</v>
      </c>
      <c r="I1084" s="1">
        <v>31.4</v>
      </c>
      <c r="J1084" s="1">
        <v>0.65321297066666661</v>
      </c>
      <c r="K1084" s="1">
        <v>0.52246277500000005</v>
      </c>
      <c r="L1084" s="1">
        <v>0.64036274199999998</v>
      </c>
      <c r="M1084" s="3">
        <v>0.62317592099999997</v>
      </c>
      <c r="N1084" s="1" t="s">
        <v>149</v>
      </c>
      <c r="O1084" s="1">
        <v>1.201000834</v>
      </c>
      <c r="P1084" s="1">
        <v>59.2</v>
      </c>
      <c r="Q1084" s="1">
        <v>119.9</v>
      </c>
      <c r="R1084" s="1">
        <v>0.59533381266666663</v>
      </c>
      <c r="S1084" s="1">
        <v>0.11023163959740755</v>
      </c>
      <c r="T1084" t="s">
        <v>1237</v>
      </c>
      <c r="U1084" s="1">
        <v>4361</v>
      </c>
      <c r="V1084">
        <f t="shared" si="64"/>
        <v>0.40439845407482516</v>
      </c>
      <c r="W1084" s="1">
        <f t="shared" si="65"/>
        <v>24.900000000000006</v>
      </c>
      <c r="X1084">
        <f t="shared" si="66"/>
        <v>1.3563240069999998</v>
      </c>
      <c r="Y1084">
        <f t="shared" si="67"/>
        <v>88.5</v>
      </c>
      <c r="Z1084" s="1">
        <v>0</v>
      </c>
      <c r="AA1084">
        <v>100</v>
      </c>
      <c r="AB1084">
        <v>0</v>
      </c>
      <c r="AC1084">
        <v>0</v>
      </c>
      <c r="AD1084">
        <v>87</v>
      </c>
      <c r="AE1084">
        <v>0</v>
      </c>
      <c r="AF1084" t="s">
        <v>2593</v>
      </c>
      <c r="AG1084" t="s">
        <v>2589</v>
      </c>
    </row>
    <row r="1085" spans="1:33">
      <c r="A1085" s="2" t="s">
        <v>113</v>
      </c>
      <c r="B1085" s="2" t="s">
        <v>101</v>
      </c>
      <c r="C1085" s="1">
        <v>0.57440698499999998</v>
      </c>
      <c r="D1085">
        <v>0.66920790399999996</v>
      </c>
      <c r="E1085">
        <v>0.71602402300000001</v>
      </c>
      <c r="F1085" s="1" t="s">
        <v>114</v>
      </c>
      <c r="G1085" s="1">
        <v>2.5573248409999998</v>
      </c>
      <c r="H1085" s="1">
        <v>34.299999999999997</v>
      </c>
      <c r="I1085" s="1">
        <v>31.4</v>
      </c>
      <c r="J1085" s="1">
        <v>0.65321297066666661</v>
      </c>
      <c r="K1085" s="1">
        <v>0.57277697599999999</v>
      </c>
      <c r="L1085" s="1">
        <v>0.64568820599999999</v>
      </c>
      <c r="M1085" s="3">
        <v>0.70909993500000001</v>
      </c>
      <c r="N1085" s="1" t="s">
        <v>102</v>
      </c>
      <c r="O1085" s="1">
        <v>1.2818181820000001</v>
      </c>
      <c r="P1085" s="1">
        <v>58</v>
      </c>
      <c r="Q1085" s="1">
        <v>110</v>
      </c>
      <c r="R1085" s="1">
        <v>0.64252170566666666</v>
      </c>
      <c r="S1085" s="1">
        <v>2.4571856217694015E-2</v>
      </c>
      <c r="T1085" t="s">
        <v>1231</v>
      </c>
      <c r="U1085" s="1">
        <v>4882</v>
      </c>
      <c r="V1085">
        <f t="shared" si="64"/>
        <v>0.40984419723124105</v>
      </c>
      <c r="W1085" s="1">
        <f t="shared" si="65"/>
        <v>23.700000000000003</v>
      </c>
      <c r="X1085">
        <f t="shared" si="66"/>
        <v>1.2755066589999997</v>
      </c>
      <c r="Y1085">
        <f t="shared" si="67"/>
        <v>78.599999999999994</v>
      </c>
      <c r="Z1085" s="1">
        <v>1</v>
      </c>
      <c r="AA1085">
        <v>99</v>
      </c>
      <c r="AB1085">
        <v>1.01E-2</v>
      </c>
      <c r="AC1085">
        <v>1</v>
      </c>
      <c r="AD1085">
        <v>84</v>
      </c>
      <c r="AE1085">
        <v>1.1900000000000001E-2</v>
      </c>
      <c r="AF1085" t="s">
        <v>2593</v>
      </c>
      <c r="AG1085" t="s">
        <v>2589</v>
      </c>
    </row>
    <row r="1086" spans="1:33">
      <c r="A1086" s="2" t="s">
        <v>113</v>
      </c>
      <c r="B1086" s="2" t="s">
        <v>103</v>
      </c>
      <c r="C1086" s="1">
        <v>0.57440698499999998</v>
      </c>
      <c r="D1086">
        <v>0.66920790399999996</v>
      </c>
      <c r="E1086">
        <v>0.71602402300000001</v>
      </c>
      <c r="F1086" s="1" t="s">
        <v>114</v>
      </c>
      <c r="G1086" s="1">
        <v>2.5573248409999998</v>
      </c>
      <c r="H1086" s="1">
        <v>34.299999999999997</v>
      </c>
      <c r="I1086" s="1">
        <v>31.4</v>
      </c>
      <c r="J1086" s="1">
        <v>0.65321297066666661</v>
      </c>
      <c r="K1086" s="1">
        <v>0.58538445800000005</v>
      </c>
      <c r="L1086" s="1">
        <v>0.70461059999999998</v>
      </c>
      <c r="M1086" s="3">
        <v>0.67846608399999997</v>
      </c>
      <c r="N1086" s="1" t="s">
        <v>104</v>
      </c>
      <c r="O1086" s="1">
        <v>1.1020080320000001</v>
      </c>
      <c r="P1086" s="1">
        <v>58.7</v>
      </c>
      <c r="Q1086" s="1">
        <v>124.5</v>
      </c>
      <c r="R1086" s="1">
        <v>0.65615371400000011</v>
      </c>
      <c r="S1086" s="1">
        <v>5.2767931354771445E-2</v>
      </c>
      <c r="T1086" t="s">
        <v>1232</v>
      </c>
      <c r="U1086" s="1">
        <v>900</v>
      </c>
      <c r="V1086">
        <f t="shared" si="64"/>
        <v>0.32824916771548052</v>
      </c>
      <c r="W1086" s="1">
        <f t="shared" si="65"/>
        <v>24.400000000000006</v>
      </c>
      <c r="X1086">
        <f t="shared" si="66"/>
        <v>1.4553168089999997</v>
      </c>
      <c r="Y1086">
        <f t="shared" si="67"/>
        <v>93.1</v>
      </c>
      <c r="Z1086" s="1">
        <v>0</v>
      </c>
      <c r="AA1086">
        <v>100</v>
      </c>
      <c r="AB1086">
        <v>0</v>
      </c>
      <c r="AC1086">
        <v>0</v>
      </c>
      <c r="AD1086">
        <v>86</v>
      </c>
      <c r="AE1086">
        <v>0</v>
      </c>
      <c r="AF1086" t="s">
        <v>2593</v>
      </c>
      <c r="AG1086" t="s">
        <v>2589</v>
      </c>
    </row>
    <row r="1087" spans="1:33">
      <c r="A1087" s="2" t="s">
        <v>113</v>
      </c>
      <c r="B1087" s="2" t="s">
        <v>105</v>
      </c>
      <c r="C1087" s="1">
        <v>0.57440698499999998</v>
      </c>
      <c r="D1087">
        <v>0.66920790399999996</v>
      </c>
      <c r="E1087">
        <v>0.71602402300000001</v>
      </c>
      <c r="F1087" s="1" t="s">
        <v>114</v>
      </c>
      <c r="G1087" s="1">
        <v>2.5573248409999998</v>
      </c>
      <c r="H1087" s="1">
        <v>34.299999999999997</v>
      </c>
      <c r="I1087" s="1">
        <v>31.4</v>
      </c>
      <c r="J1087" s="1">
        <v>0.65321297066666661</v>
      </c>
      <c r="K1087" s="1">
        <v>0.56210716000000005</v>
      </c>
      <c r="L1087" s="1">
        <v>0.68032504299999996</v>
      </c>
      <c r="M1087" s="3">
        <v>0.71115907899999997</v>
      </c>
      <c r="N1087" s="1" t="s">
        <v>106</v>
      </c>
      <c r="O1087" s="1">
        <v>1.0978593270000001</v>
      </c>
      <c r="P1087" s="1">
        <v>43.5</v>
      </c>
      <c r="Q1087" s="1">
        <v>98.1</v>
      </c>
      <c r="R1087" s="1">
        <v>0.65119709399999992</v>
      </c>
      <c r="S1087" s="1">
        <v>1.7278430330880192E-2</v>
      </c>
      <c r="T1087" t="s">
        <v>1233</v>
      </c>
      <c r="U1087" s="1">
        <v>60688</v>
      </c>
      <c r="V1087">
        <f t="shared" si="64"/>
        <v>0.53145586948430168</v>
      </c>
      <c r="W1087" s="1">
        <f t="shared" si="65"/>
        <v>9.2000000000000028</v>
      </c>
      <c r="X1087">
        <f t="shared" si="66"/>
        <v>1.4594655139999997</v>
      </c>
      <c r="Y1087">
        <f t="shared" si="67"/>
        <v>66.699999999999989</v>
      </c>
      <c r="Z1087" s="1">
        <v>15</v>
      </c>
      <c r="AA1087">
        <v>85</v>
      </c>
      <c r="AB1087">
        <v>0.17649999999999999</v>
      </c>
      <c r="AC1087">
        <v>16</v>
      </c>
      <c r="AD1087">
        <v>88</v>
      </c>
      <c r="AE1087">
        <v>0.18179999999999999</v>
      </c>
      <c r="AF1087" t="s">
        <v>2593</v>
      </c>
      <c r="AG1087" t="s">
        <v>2589</v>
      </c>
    </row>
    <row r="1088" spans="1:33">
      <c r="A1088" s="2" t="s">
        <v>113</v>
      </c>
      <c r="B1088" s="2" t="s">
        <v>107</v>
      </c>
      <c r="C1088" s="1">
        <v>0.57440698499999998</v>
      </c>
      <c r="D1088">
        <v>0.66920790399999996</v>
      </c>
      <c r="E1088">
        <v>0.71602402300000001</v>
      </c>
      <c r="F1088" s="1" t="s">
        <v>114</v>
      </c>
      <c r="G1088" s="1">
        <v>2.5573248409999998</v>
      </c>
      <c r="H1088" s="1">
        <v>34.299999999999997</v>
      </c>
      <c r="I1088" s="1">
        <v>31.4</v>
      </c>
      <c r="J1088" s="1">
        <v>0.65321297066666661</v>
      </c>
      <c r="K1088" s="1">
        <v>0.61734740899999996</v>
      </c>
      <c r="L1088" s="1">
        <v>0.68293216999999995</v>
      </c>
      <c r="M1088" s="3">
        <v>0.69981194099999999</v>
      </c>
      <c r="N1088" s="1" t="s">
        <v>108</v>
      </c>
      <c r="O1088" s="1">
        <v>2</v>
      </c>
      <c r="P1088" s="1">
        <v>19</v>
      </c>
      <c r="Q1088" s="1">
        <v>21.1</v>
      </c>
      <c r="R1088" s="1">
        <v>0.66669717333333323</v>
      </c>
      <c r="S1088" s="1">
        <v>4.7906858520604903E-2</v>
      </c>
      <c r="T1088" t="s">
        <v>1234</v>
      </c>
      <c r="U1088" s="1">
        <v>698</v>
      </c>
      <c r="V1088">
        <f t="shared" si="64"/>
        <v>0.31598393584701789</v>
      </c>
      <c r="W1088" s="1">
        <f t="shared" si="65"/>
        <v>15.299999999999997</v>
      </c>
      <c r="X1088">
        <f t="shared" si="66"/>
        <v>0.55732484099999979</v>
      </c>
      <c r="Y1088">
        <f t="shared" si="67"/>
        <v>10.299999999999997</v>
      </c>
      <c r="Z1088" s="1">
        <v>0</v>
      </c>
      <c r="AA1088">
        <v>100</v>
      </c>
      <c r="AB1088">
        <v>0</v>
      </c>
      <c r="AC1088">
        <v>0</v>
      </c>
      <c r="AD1088">
        <v>80</v>
      </c>
      <c r="AE1088">
        <v>0</v>
      </c>
      <c r="AF1088" t="s">
        <v>2593</v>
      </c>
      <c r="AG1088" t="s">
        <v>2588</v>
      </c>
    </row>
    <row r="1089" spans="1:33">
      <c r="A1089" s="2" t="s">
        <v>113</v>
      </c>
      <c r="B1089" s="2" t="s">
        <v>109</v>
      </c>
      <c r="C1089" s="1">
        <v>0.57440698499999998</v>
      </c>
      <c r="D1089">
        <v>0.66920790399999996</v>
      </c>
      <c r="E1089">
        <v>0.71602402300000001</v>
      </c>
      <c r="F1089" s="1" t="s">
        <v>114</v>
      </c>
      <c r="G1089" s="1">
        <v>2.5573248409999998</v>
      </c>
      <c r="H1089" s="1">
        <v>34.299999999999997</v>
      </c>
      <c r="I1089" s="1">
        <v>31.4</v>
      </c>
      <c r="J1089" s="1">
        <v>0.65321297066666661</v>
      </c>
      <c r="K1089" s="1">
        <v>0.51638908800000005</v>
      </c>
      <c r="L1089" s="1">
        <v>0.68684605300000001</v>
      </c>
      <c r="M1089" s="3">
        <v>0.66065444600000001</v>
      </c>
      <c r="N1089" s="1" t="s">
        <v>110</v>
      </c>
      <c r="O1089" s="1">
        <v>1.2897862229999999</v>
      </c>
      <c r="P1089" s="1">
        <v>49.4</v>
      </c>
      <c r="Q1089" s="1">
        <v>84.2</v>
      </c>
      <c r="R1089" s="1">
        <v>0.62129652899999999</v>
      </c>
      <c r="S1089" s="1">
        <v>8.2115593705505974E-2</v>
      </c>
      <c r="T1089" t="s">
        <v>1235</v>
      </c>
      <c r="U1089" s="1">
        <v>463</v>
      </c>
      <c r="V1089">
        <f t="shared" si="64"/>
        <v>0.29617566566866149</v>
      </c>
      <c r="W1089" s="1">
        <f t="shared" si="65"/>
        <v>15.100000000000001</v>
      </c>
      <c r="X1089">
        <f t="shared" si="66"/>
        <v>1.2675386179999999</v>
      </c>
      <c r="Y1089">
        <f t="shared" si="67"/>
        <v>52.800000000000004</v>
      </c>
      <c r="Z1089" s="1">
        <v>0</v>
      </c>
      <c r="AA1089">
        <v>100</v>
      </c>
      <c r="AB1089">
        <v>0</v>
      </c>
      <c r="AC1089">
        <v>0</v>
      </c>
      <c r="AD1089">
        <v>101</v>
      </c>
      <c r="AE1089">
        <v>0</v>
      </c>
      <c r="AF1089" t="s">
        <v>2593</v>
      </c>
      <c r="AG1089" t="s">
        <v>2589</v>
      </c>
    </row>
    <row r="1090" spans="1:33">
      <c r="A1090" s="2" t="s">
        <v>113</v>
      </c>
      <c r="B1090" s="2" t="s">
        <v>111</v>
      </c>
      <c r="C1090" s="1">
        <v>0.57440698499999998</v>
      </c>
      <c r="D1090">
        <v>0.66920790399999996</v>
      </c>
      <c r="E1090">
        <v>0.71602402300000001</v>
      </c>
      <c r="F1090" s="1" t="s">
        <v>114</v>
      </c>
      <c r="G1090" s="1">
        <v>2.5573248409999998</v>
      </c>
      <c r="H1090" s="1">
        <v>34.299999999999997</v>
      </c>
      <c r="I1090" s="1">
        <v>31.4</v>
      </c>
      <c r="J1090" s="1">
        <v>0.65321297066666661</v>
      </c>
      <c r="K1090" s="1">
        <v>0.60132418300000001</v>
      </c>
      <c r="L1090" s="1">
        <v>0.67605095299999995</v>
      </c>
      <c r="M1090" s="3">
        <v>0.74222981799999999</v>
      </c>
      <c r="N1090" s="1" t="s">
        <v>112</v>
      </c>
      <c r="O1090" s="1">
        <v>1.561403509</v>
      </c>
      <c r="P1090" s="1">
        <v>30</v>
      </c>
      <c r="Q1090" s="1">
        <v>45.6</v>
      </c>
      <c r="R1090" s="1">
        <v>0.67320165133333332</v>
      </c>
      <c r="S1090" s="1">
        <v>3.8185161507706504E-2</v>
      </c>
      <c r="T1090" t="s">
        <v>1236</v>
      </c>
      <c r="U1090" s="1">
        <v>12254</v>
      </c>
      <c r="V1090">
        <f t="shared" ref="V1090:V1153" si="68">LOG10(U1090) / 9</f>
        <v>0.45425309733288166</v>
      </c>
      <c r="W1090" s="1">
        <f t="shared" ref="W1090:W1153" si="69">ABS(H1090-P1090)</f>
        <v>4.2999999999999972</v>
      </c>
      <c r="X1090">
        <f t="shared" ref="X1090:X1153" si="70">ABS(G1090-O1090)</f>
        <v>0.99592133199999977</v>
      </c>
      <c r="Y1090">
        <f t="shared" ref="Y1090:Y1153" si="71">ABS(I1090-Q1090)</f>
        <v>14.200000000000003</v>
      </c>
      <c r="Z1090" s="1">
        <v>17</v>
      </c>
      <c r="AA1090">
        <v>83</v>
      </c>
      <c r="AB1090">
        <v>0.20480000000000001</v>
      </c>
      <c r="AC1090">
        <v>14</v>
      </c>
      <c r="AD1090">
        <v>82</v>
      </c>
      <c r="AE1090">
        <v>0.17069999999999999</v>
      </c>
      <c r="AF1090" t="s">
        <v>2593</v>
      </c>
      <c r="AG1090" t="s">
        <v>2591</v>
      </c>
    </row>
    <row r="1091" spans="1:33">
      <c r="A1091" s="2" t="s">
        <v>111</v>
      </c>
      <c r="B1091" s="2" t="s">
        <v>10</v>
      </c>
      <c r="C1091" s="1">
        <v>0.60132418300000001</v>
      </c>
      <c r="D1091">
        <v>0.67605095299999995</v>
      </c>
      <c r="E1091">
        <v>0.74222981799999999</v>
      </c>
      <c r="F1091" s="1" t="s">
        <v>112</v>
      </c>
      <c r="G1091" s="1">
        <v>1.561403509</v>
      </c>
      <c r="H1091" s="1">
        <v>30</v>
      </c>
      <c r="I1091" s="1">
        <v>45.6</v>
      </c>
      <c r="J1091" s="1">
        <v>0.67320165133333332</v>
      </c>
      <c r="K1091" s="1">
        <v>0.52456325500000001</v>
      </c>
      <c r="L1091" s="1">
        <v>0.61925627999999999</v>
      </c>
      <c r="M1091" s="3">
        <v>0.72111139899999999</v>
      </c>
      <c r="N1091" s="1" t="s">
        <v>12</v>
      </c>
      <c r="O1091" s="1">
        <v>0.61690647499999995</v>
      </c>
      <c r="P1091" s="1">
        <v>30</v>
      </c>
      <c r="Q1091" s="1">
        <v>111.2</v>
      </c>
      <c r="R1091" s="1">
        <v>0.62164364466666666</v>
      </c>
      <c r="S1091" s="1">
        <v>9.7795002784690749E-2</v>
      </c>
      <c r="T1091" t="s">
        <v>1238</v>
      </c>
      <c r="U1091" s="1">
        <v>119</v>
      </c>
      <c r="V1091">
        <f t="shared" si="68"/>
        <v>0.23061632904361451</v>
      </c>
      <c r="W1091" s="1">
        <f t="shared" si="69"/>
        <v>0</v>
      </c>
      <c r="X1091">
        <f t="shared" si="70"/>
        <v>0.94449703400000007</v>
      </c>
      <c r="Y1091">
        <f t="shared" si="71"/>
        <v>65.599999999999994</v>
      </c>
      <c r="Z1091" s="1">
        <v>1</v>
      </c>
      <c r="AA1091">
        <v>99</v>
      </c>
      <c r="AB1091">
        <v>1.01E-2</v>
      </c>
      <c r="AC1091">
        <v>2</v>
      </c>
      <c r="AD1091">
        <v>156</v>
      </c>
      <c r="AE1091">
        <v>1.2800000000000001E-2</v>
      </c>
      <c r="AF1091" t="s">
        <v>2591</v>
      </c>
      <c r="AG1091" t="s">
        <v>2588</v>
      </c>
    </row>
    <row r="1092" spans="1:33">
      <c r="A1092" s="2" t="s">
        <v>111</v>
      </c>
      <c r="B1092" s="2" t="s">
        <v>13</v>
      </c>
      <c r="C1092" s="1">
        <v>0.60132418300000001</v>
      </c>
      <c r="D1092">
        <v>0.67605095299999995</v>
      </c>
      <c r="E1092">
        <v>0.74222981799999999</v>
      </c>
      <c r="F1092" s="1" t="s">
        <v>112</v>
      </c>
      <c r="G1092" s="1">
        <v>1.561403509</v>
      </c>
      <c r="H1092" s="1">
        <v>30</v>
      </c>
      <c r="I1092" s="1">
        <v>45.6</v>
      </c>
      <c r="J1092" s="1">
        <v>0.67320165133333332</v>
      </c>
      <c r="K1092" s="1">
        <v>0.48695497399999998</v>
      </c>
      <c r="L1092" s="1">
        <v>0.54991327199999995</v>
      </c>
      <c r="M1092" s="3">
        <v>0.67282609299999996</v>
      </c>
      <c r="N1092" s="1" t="s">
        <v>14</v>
      </c>
      <c r="O1092" s="1">
        <v>1.6052009460000001</v>
      </c>
      <c r="P1092" s="1">
        <v>26.6</v>
      </c>
      <c r="Q1092" s="1">
        <v>42.3</v>
      </c>
      <c r="R1092" s="1">
        <v>0.56989811299999993</v>
      </c>
      <c r="S1092" s="1">
        <v>0.18386926763115982</v>
      </c>
      <c r="T1092" t="s">
        <v>1239</v>
      </c>
      <c r="U1092" s="1">
        <v>218</v>
      </c>
      <c r="V1092">
        <f t="shared" si="68"/>
        <v>0.25982849928940049</v>
      </c>
      <c r="W1092" s="1">
        <f t="shared" si="69"/>
        <v>3.3999999999999986</v>
      </c>
      <c r="X1092">
        <f t="shared" si="70"/>
        <v>4.379743700000005E-2</v>
      </c>
      <c r="Y1092">
        <f t="shared" si="71"/>
        <v>3.3000000000000043</v>
      </c>
      <c r="Z1092" s="1">
        <v>0</v>
      </c>
      <c r="AA1092">
        <v>100</v>
      </c>
      <c r="AB1092">
        <v>0</v>
      </c>
      <c r="AC1092">
        <v>1</v>
      </c>
      <c r="AD1092">
        <v>104</v>
      </c>
      <c r="AE1092">
        <v>9.5999999999999992E-3</v>
      </c>
      <c r="AF1092" t="s">
        <v>2591</v>
      </c>
      <c r="AG1092" t="s">
        <v>2590</v>
      </c>
    </row>
    <row r="1093" spans="1:33">
      <c r="A1093" s="2" t="s">
        <v>111</v>
      </c>
      <c r="B1093" s="2" t="s">
        <v>15</v>
      </c>
      <c r="C1093" s="1">
        <v>0.60132418300000001</v>
      </c>
      <c r="D1093">
        <v>0.67605095299999995</v>
      </c>
      <c r="E1093">
        <v>0.74222981799999999</v>
      </c>
      <c r="F1093" s="1" t="s">
        <v>112</v>
      </c>
      <c r="G1093" s="1">
        <v>1.561403509</v>
      </c>
      <c r="H1093" s="1">
        <v>30</v>
      </c>
      <c r="I1093" s="1">
        <v>45.6</v>
      </c>
      <c r="J1093" s="1">
        <v>0.67320165133333332</v>
      </c>
      <c r="K1093" s="1">
        <v>0.54560998800000005</v>
      </c>
      <c r="L1093" s="1">
        <v>0.66721428400000005</v>
      </c>
      <c r="M1093" s="3">
        <v>0.72650398400000005</v>
      </c>
      <c r="N1093" s="1" t="s">
        <v>16</v>
      </c>
      <c r="O1093" s="1">
        <v>5.1392405060000002</v>
      </c>
      <c r="P1093" s="1">
        <v>35.9</v>
      </c>
      <c r="Q1093" s="1">
        <v>15.8</v>
      </c>
      <c r="R1093" s="1">
        <v>0.64644275200000012</v>
      </c>
      <c r="S1093" s="1">
        <v>5.8561592349501007E-2</v>
      </c>
      <c r="T1093" t="s">
        <v>1240</v>
      </c>
      <c r="U1093" s="1">
        <v>72241</v>
      </c>
      <c r="V1093">
        <f t="shared" si="68"/>
        <v>0.53986486101024622</v>
      </c>
      <c r="W1093" s="1">
        <f t="shared" si="69"/>
        <v>5.8999999999999986</v>
      </c>
      <c r="X1093">
        <f t="shared" si="70"/>
        <v>3.5778369970000004</v>
      </c>
      <c r="Y1093">
        <f t="shared" si="71"/>
        <v>29.8</v>
      </c>
      <c r="Z1093" s="1">
        <v>25</v>
      </c>
      <c r="AA1093">
        <v>75</v>
      </c>
      <c r="AB1093">
        <v>0.33329999999999999</v>
      </c>
      <c r="AC1093">
        <v>26</v>
      </c>
      <c r="AD1093">
        <v>75</v>
      </c>
      <c r="AE1093">
        <v>0.34670000000000001</v>
      </c>
      <c r="AF1093" t="s">
        <v>2591</v>
      </c>
      <c r="AG1093" t="s">
        <v>2591</v>
      </c>
    </row>
    <row r="1094" spans="1:33">
      <c r="A1094" s="2" t="s">
        <v>111</v>
      </c>
      <c r="B1094" s="2" t="s">
        <v>17</v>
      </c>
      <c r="C1094" s="1">
        <v>0.60132418300000001</v>
      </c>
      <c r="D1094">
        <v>0.67605095299999995</v>
      </c>
      <c r="E1094">
        <v>0.74222981799999999</v>
      </c>
      <c r="F1094" s="1" t="s">
        <v>112</v>
      </c>
      <c r="G1094" s="1">
        <v>1.561403509</v>
      </c>
      <c r="H1094" s="1">
        <v>30</v>
      </c>
      <c r="I1094" s="1">
        <v>45.6</v>
      </c>
      <c r="J1094" s="1">
        <v>0.67320165133333332</v>
      </c>
      <c r="K1094" s="1">
        <v>0.659112378</v>
      </c>
      <c r="L1094" s="1">
        <v>0.68333493499999998</v>
      </c>
      <c r="M1094" s="3">
        <v>0.70345495199999997</v>
      </c>
      <c r="N1094" s="1" t="s">
        <v>18</v>
      </c>
      <c r="O1094" s="1">
        <v>1.9463955639999999</v>
      </c>
      <c r="P1094" s="1">
        <v>46.3</v>
      </c>
      <c r="Q1094" s="1">
        <v>54.1</v>
      </c>
      <c r="R1094" s="1">
        <v>0.68196742166666668</v>
      </c>
      <c r="S1094" s="1">
        <v>6.9971580719977347E-2</v>
      </c>
      <c r="T1094" t="s">
        <v>1241</v>
      </c>
      <c r="U1094" s="1">
        <v>7118</v>
      </c>
      <c r="V1094">
        <f t="shared" si="68"/>
        <v>0.4280397759630919</v>
      </c>
      <c r="W1094" s="1">
        <f t="shared" si="69"/>
        <v>16.299999999999997</v>
      </c>
      <c r="X1094">
        <f t="shared" si="70"/>
        <v>0.38499205499999989</v>
      </c>
      <c r="Y1094">
        <f t="shared" si="71"/>
        <v>8.5</v>
      </c>
      <c r="Z1094" s="1">
        <v>19</v>
      </c>
      <c r="AA1094">
        <v>81</v>
      </c>
      <c r="AB1094">
        <v>0.2346</v>
      </c>
      <c r="AC1094">
        <v>22</v>
      </c>
      <c r="AD1094">
        <v>93</v>
      </c>
      <c r="AE1094">
        <v>0.2366</v>
      </c>
      <c r="AF1094" t="s">
        <v>2591</v>
      </c>
      <c r="AG1094" t="s">
        <v>2591</v>
      </c>
    </row>
    <row r="1095" spans="1:33">
      <c r="A1095" s="2" t="s">
        <v>111</v>
      </c>
      <c r="B1095" s="2" t="s">
        <v>19</v>
      </c>
      <c r="C1095" s="1">
        <v>0.60132418300000001</v>
      </c>
      <c r="D1095">
        <v>0.67605095299999995</v>
      </c>
      <c r="E1095">
        <v>0.74222981799999999</v>
      </c>
      <c r="F1095" s="1" t="s">
        <v>112</v>
      </c>
      <c r="G1095" s="1">
        <v>1.561403509</v>
      </c>
      <c r="H1095" s="1">
        <v>30</v>
      </c>
      <c r="I1095" s="1">
        <v>45.6</v>
      </c>
      <c r="J1095" s="1">
        <v>0.67320165133333332</v>
      </c>
      <c r="K1095" s="1">
        <v>0.49391595300000002</v>
      </c>
      <c r="L1095" s="1">
        <v>0.603599314</v>
      </c>
      <c r="M1095" s="3">
        <v>0.63481471599999995</v>
      </c>
      <c r="N1095" s="1" t="s">
        <v>20</v>
      </c>
      <c r="O1095" s="1">
        <v>1.2140902870000001</v>
      </c>
      <c r="P1095" s="1">
        <v>64.900000000000006</v>
      </c>
      <c r="Q1095" s="1">
        <v>146.19999999999999</v>
      </c>
      <c r="R1095" s="1">
        <v>0.57744332766666662</v>
      </c>
      <c r="S1095" s="1">
        <v>0.16829667852690863</v>
      </c>
      <c r="T1095" t="s">
        <v>1242</v>
      </c>
      <c r="U1095" s="1">
        <v>16164</v>
      </c>
      <c r="V1095">
        <f t="shared" si="68"/>
        <v>0.46761653797451225</v>
      </c>
      <c r="W1095" s="1">
        <f t="shared" si="69"/>
        <v>34.900000000000006</v>
      </c>
      <c r="X1095">
        <f t="shared" si="70"/>
        <v>0.34731322199999992</v>
      </c>
      <c r="Y1095">
        <f t="shared" si="71"/>
        <v>100.6</v>
      </c>
      <c r="Z1095" s="1">
        <v>4</v>
      </c>
      <c r="AA1095">
        <v>96</v>
      </c>
      <c r="AB1095">
        <v>4.1700000000000001E-2</v>
      </c>
      <c r="AC1095">
        <v>5</v>
      </c>
      <c r="AD1095">
        <v>90</v>
      </c>
      <c r="AE1095">
        <v>5.5599999999999997E-2</v>
      </c>
      <c r="AF1095" t="s">
        <v>2591</v>
      </c>
      <c r="AG1095" t="s">
        <v>2593</v>
      </c>
    </row>
    <row r="1096" spans="1:33">
      <c r="A1096" s="2" t="s">
        <v>111</v>
      </c>
      <c r="B1096" s="2" t="s">
        <v>21</v>
      </c>
      <c r="C1096" s="1">
        <v>0.60132418300000001</v>
      </c>
      <c r="D1096">
        <v>0.67605095299999995</v>
      </c>
      <c r="E1096">
        <v>0.74222981799999999</v>
      </c>
      <c r="F1096" s="1" t="s">
        <v>112</v>
      </c>
      <c r="G1096" s="1">
        <v>1.561403509</v>
      </c>
      <c r="H1096" s="1">
        <v>30</v>
      </c>
      <c r="I1096" s="1">
        <v>45.6</v>
      </c>
      <c r="J1096" s="1">
        <v>0.67320165133333332</v>
      </c>
      <c r="K1096" s="1">
        <v>0.53276376800000003</v>
      </c>
      <c r="L1096" s="1">
        <v>0.65428149899999999</v>
      </c>
      <c r="M1096" s="3">
        <v>0.70160154799999996</v>
      </c>
      <c r="N1096" s="1" t="s">
        <v>22</v>
      </c>
      <c r="O1096" s="1">
        <v>1.2440604749999999</v>
      </c>
      <c r="P1096" s="1">
        <v>24.6</v>
      </c>
      <c r="Q1096" s="1">
        <v>46.3</v>
      </c>
      <c r="R1096" s="1">
        <v>0.62954893833333336</v>
      </c>
      <c r="S1096" s="1">
        <v>8.2614138957101277E-2</v>
      </c>
      <c r="T1096" t="s">
        <v>1243</v>
      </c>
      <c r="U1096" s="1">
        <v>687</v>
      </c>
      <c r="V1096">
        <f t="shared" si="68"/>
        <v>0.31521741522883895</v>
      </c>
      <c r="W1096" s="1">
        <f t="shared" si="69"/>
        <v>5.3999999999999986</v>
      </c>
      <c r="X1096">
        <f t="shared" si="70"/>
        <v>0.31734303400000008</v>
      </c>
      <c r="Y1096">
        <f t="shared" si="71"/>
        <v>0.69999999999999574</v>
      </c>
      <c r="Z1096" s="1">
        <v>1</v>
      </c>
      <c r="AA1096">
        <v>99</v>
      </c>
      <c r="AB1096">
        <v>1.01E-2</v>
      </c>
      <c r="AC1096">
        <v>2</v>
      </c>
      <c r="AD1096">
        <v>99</v>
      </c>
      <c r="AE1096">
        <v>2.0199999999999999E-2</v>
      </c>
      <c r="AF1096" t="s">
        <v>2591</v>
      </c>
      <c r="AG1096" t="s">
        <v>2589</v>
      </c>
    </row>
    <row r="1097" spans="1:33">
      <c r="A1097" s="2" t="s">
        <v>111</v>
      </c>
      <c r="B1097" s="2" t="s">
        <v>23</v>
      </c>
      <c r="C1097" s="1">
        <v>0.60132418300000001</v>
      </c>
      <c r="D1097">
        <v>0.67605095299999995</v>
      </c>
      <c r="E1097">
        <v>0.74222981799999999</v>
      </c>
      <c r="F1097" s="1" t="s">
        <v>112</v>
      </c>
      <c r="G1097" s="1">
        <v>1.561403509</v>
      </c>
      <c r="H1097" s="1">
        <v>30</v>
      </c>
      <c r="I1097" s="1">
        <v>45.6</v>
      </c>
      <c r="J1097" s="1">
        <v>0.67320165133333332</v>
      </c>
      <c r="K1097" s="1">
        <v>0.49415677200000002</v>
      </c>
      <c r="L1097" s="1">
        <v>0.62090818999999997</v>
      </c>
      <c r="M1097" s="3">
        <v>0.63381026900000004</v>
      </c>
      <c r="N1097" s="1" t="s">
        <v>24</v>
      </c>
      <c r="O1097" s="1">
        <v>1.141304348</v>
      </c>
      <c r="P1097" s="1">
        <v>44.4</v>
      </c>
      <c r="Q1097" s="1">
        <v>101.2</v>
      </c>
      <c r="R1097" s="1">
        <v>0.58295841033333329</v>
      </c>
      <c r="S1097" s="1">
        <v>0.16211223549467349</v>
      </c>
      <c r="T1097" t="s">
        <v>1244</v>
      </c>
      <c r="U1097" s="1">
        <v>167</v>
      </c>
      <c r="V1097">
        <f t="shared" si="68"/>
        <v>0.24696849679417593</v>
      </c>
      <c r="W1097" s="1">
        <f t="shared" si="69"/>
        <v>14.399999999999999</v>
      </c>
      <c r="X1097">
        <f t="shared" si="70"/>
        <v>0.420099161</v>
      </c>
      <c r="Y1097">
        <f t="shared" si="71"/>
        <v>55.6</v>
      </c>
      <c r="Z1097" s="1">
        <v>1</v>
      </c>
      <c r="AA1097">
        <v>99</v>
      </c>
      <c r="AB1097">
        <v>1.01E-2</v>
      </c>
      <c r="AC1097">
        <v>2</v>
      </c>
      <c r="AD1097">
        <v>95</v>
      </c>
      <c r="AE1097">
        <v>2.1100000000000001E-2</v>
      </c>
      <c r="AF1097" t="s">
        <v>2591</v>
      </c>
      <c r="AG1097" t="s">
        <v>2590</v>
      </c>
    </row>
    <row r="1098" spans="1:33">
      <c r="A1098" s="2" t="s">
        <v>111</v>
      </c>
      <c r="B1098" s="2" t="s">
        <v>25</v>
      </c>
      <c r="C1098" s="1">
        <v>0.60132418300000001</v>
      </c>
      <c r="D1098">
        <v>0.67605095299999995</v>
      </c>
      <c r="E1098">
        <v>0.74222981799999999</v>
      </c>
      <c r="F1098" s="1" t="s">
        <v>112</v>
      </c>
      <c r="G1098" s="1">
        <v>1.561403509</v>
      </c>
      <c r="H1098" s="1">
        <v>30</v>
      </c>
      <c r="I1098" s="1">
        <v>45.6</v>
      </c>
      <c r="J1098" s="1">
        <v>0.67320165133333332</v>
      </c>
      <c r="K1098" s="1">
        <v>0.53959274199999996</v>
      </c>
      <c r="L1098" s="1">
        <v>0.64971567399999997</v>
      </c>
      <c r="M1098" s="3">
        <v>0.65028459999999999</v>
      </c>
      <c r="N1098" s="1" t="s">
        <v>26</v>
      </c>
      <c r="O1098" s="1">
        <v>1.623046875</v>
      </c>
      <c r="P1098" s="1">
        <v>34.700000000000003</v>
      </c>
      <c r="Q1098" s="1">
        <v>51.2</v>
      </c>
      <c r="R1098" s="1">
        <v>0.61319767199999997</v>
      </c>
      <c r="S1098" s="1">
        <v>0.11383426918556577</v>
      </c>
      <c r="T1098" t="s">
        <v>1245</v>
      </c>
      <c r="U1098" s="1">
        <v>214</v>
      </c>
      <c r="V1098">
        <f t="shared" si="68"/>
        <v>0.25893486370546565</v>
      </c>
      <c r="W1098" s="1">
        <f t="shared" si="69"/>
        <v>4.7000000000000028</v>
      </c>
      <c r="X1098">
        <f t="shared" si="70"/>
        <v>6.1643365999999977E-2</v>
      </c>
      <c r="Y1098">
        <f t="shared" si="71"/>
        <v>5.6000000000000014</v>
      </c>
      <c r="Z1098" s="1">
        <v>0</v>
      </c>
      <c r="AA1098">
        <v>100</v>
      </c>
      <c r="AB1098">
        <v>0</v>
      </c>
      <c r="AC1098">
        <v>0</v>
      </c>
      <c r="AD1098">
        <v>99</v>
      </c>
      <c r="AE1098">
        <v>0</v>
      </c>
      <c r="AF1098" t="s">
        <v>2591</v>
      </c>
      <c r="AG1098" t="s">
        <v>2594</v>
      </c>
    </row>
    <row r="1099" spans="1:33">
      <c r="A1099" s="2" t="s">
        <v>111</v>
      </c>
      <c r="B1099" s="2" t="s">
        <v>27</v>
      </c>
      <c r="C1099" s="1">
        <v>0.60132418300000001</v>
      </c>
      <c r="D1099">
        <v>0.67605095299999995</v>
      </c>
      <c r="E1099">
        <v>0.74222981799999999</v>
      </c>
      <c r="F1099" s="1" t="s">
        <v>112</v>
      </c>
      <c r="G1099" s="1">
        <v>1.561403509</v>
      </c>
      <c r="H1099" s="1">
        <v>30</v>
      </c>
      <c r="I1099" s="1">
        <v>45.6</v>
      </c>
      <c r="J1099" s="1">
        <v>0.67320165133333332</v>
      </c>
      <c r="K1099" s="1">
        <v>0.518608662</v>
      </c>
      <c r="L1099" s="1">
        <v>0.64320369700000002</v>
      </c>
      <c r="M1099" s="3">
        <v>0.62228994199999998</v>
      </c>
      <c r="N1099" s="1" t="s">
        <v>28</v>
      </c>
      <c r="O1099" s="1">
        <v>1.8717391299999999</v>
      </c>
      <c r="P1099" s="1">
        <v>33.700000000000003</v>
      </c>
      <c r="Q1099" s="1">
        <v>46</v>
      </c>
      <c r="R1099" s="1">
        <v>0.59470076699999996</v>
      </c>
      <c r="S1099" s="1">
        <v>0.14935318374887879</v>
      </c>
      <c r="T1099" t="s">
        <v>1246</v>
      </c>
      <c r="U1099" s="1">
        <v>100</v>
      </c>
      <c r="V1099">
        <f t="shared" si="68"/>
        <v>0.22222222222222221</v>
      </c>
      <c r="W1099" s="1">
        <f t="shared" si="69"/>
        <v>3.7000000000000028</v>
      </c>
      <c r="X1099">
        <f t="shared" si="70"/>
        <v>0.31033562099999989</v>
      </c>
      <c r="Y1099">
        <f t="shared" si="71"/>
        <v>0.39999999999999858</v>
      </c>
      <c r="Z1099" s="1">
        <v>1</v>
      </c>
      <c r="AA1099">
        <v>99</v>
      </c>
      <c r="AB1099">
        <v>1.01E-2</v>
      </c>
      <c r="AC1099">
        <v>2</v>
      </c>
      <c r="AD1099">
        <v>104</v>
      </c>
      <c r="AE1099">
        <v>1.9199999999999998E-2</v>
      </c>
      <c r="AF1099" t="s">
        <v>2591</v>
      </c>
      <c r="AG1099" t="s">
        <v>2590</v>
      </c>
    </row>
    <row r="1100" spans="1:33">
      <c r="A1100" s="2" t="s">
        <v>111</v>
      </c>
      <c r="B1100" s="2" t="s">
        <v>29</v>
      </c>
      <c r="C1100" s="1">
        <v>0.60132418300000001</v>
      </c>
      <c r="D1100">
        <v>0.67605095299999995</v>
      </c>
      <c r="E1100">
        <v>0.74222981799999999</v>
      </c>
      <c r="F1100" s="1" t="s">
        <v>112</v>
      </c>
      <c r="G1100" s="1">
        <v>1.561403509</v>
      </c>
      <c r="H1100" s="1">
        <v>30</v>
      </c>
      <c r="I1100" s="1">
        <v>45.6</v>
      </c>
      <c r="J1100" s="1">
        <v>0.67320165133333332</v>
      </c>
      <c r="K1100" s="1">
        <v>0.59351545100000003</v>
      </c>
      <c r="L1100" s="1">
        <v>0.68136602400000001</v>
      </c>
      <c r="M1100" s="3">
        <v>0.73518087600000004</v>
      </c>
      <c r="N1100" s="1" t="s">
        <v>30</v>
      </c>
      <c r="O1100" s="1">
        <v>2.849112426</v>
      </c>
      <c r="P1100" s="1">
        <v>37.9</v>
      </c>
      <c r="Q1100" s="1">
        <v>33.799999999999997</v>
      </c>
      <c r="R1100" s="1">
        <v>0.67002078366666673</v>
      </c>
      <c r="S1100" s="1">
        <v>1.1786172343141291E-2</v>
      </c>
      <c r="T1100" t="s">
        <v>1247</v>
      </c>
      <c r="U1100" s="1">
        <v>11861</v>
      </c>
      <c r="V1100">
        <f t="shared" si="68"/>
        <v>0.4526801451006997</v>
      </c>
      <c r="W1100" s="1">
        <f t="shared" si="69"/>
        <v>7.8999999999999986</v>
      </c>
      <c r="X1100">
        <f t="shared" si="70"/>
        <v>1.287708917</v>
      </c>
      <c r="Y1100">
        <f t="shared" si="71"/>
        <v>11.800000000000004</v>
      </c>
      <c r="Z1100" s="1">
        <v>29</v>
      </c>
      <c r="AA1100">
        <v>71</v>
      </c>
      <c r="AB1100">
        <v>0.40849999999999997</v>
      </c>
      <c r="AC1100">
        <v>34</v>
      </c>
      <c r="AD1100">
        <v>61</v>
      </c>
      <c r="AE1100">
        <v>0.55740000000000001</v>
      </c>
      <c r="AF1100" t="s">
        <v>2591</v>
      </c>
      <c r="AG1100" t="s">
        <v>2593</v>
      </c>
    </row>
    <row r="1101" spans="1:33">
      <c r="A1101" s="2" t="s">
        <v>111</v>
      </c>
      <c r="B1101" s="2" t="s">
        <v>31</v>
      </c>
      <c r="C1101" s="1">
        <v>0.60132418300000001</v>
      </c>
      <c r="D1101">
        <v>0.67605095299999995</v>
      </c>
      <c r="E1101">
        <v>0.74222981799999999</v>
      </c>
      <c r="F1101" s="1" t="s">
        <v>112</v>
      </c>
      <c r="G1101" s="1">
        <v>1.561403509</v>
      </c>
      <c r="H1101" s="1">
        <v>30</v>
      </c>
      <c r="I1101" s="1">
        <v>45.6</v>
      </c>
      <c r="J1101" s="1">
        <v>0.67320165133333332</v>
      </c>
      <c r="K1101" s="1">
        <v>0.47727961800000002</v>
      </c>
      <c r="L1101" s="1">
        <v>0.66941086400000005</v>
      </c>
      <c r="M1101" s="3">
        <v>0.69294815300000001</v>
      </c>
      <c r="N1101" s="1" t="s">
        <v>32</v>
      </c>
      <c r="O1101" s="1">
        <v>1.341891892</v>
      </c>
      <c r="P1101" s="1">
        <v>42.1</v>
      </c>
      <c r="Q1101" s="1">
        <v>74</v>
      </c>
      <c r="R1101" s="1">
        <v>0.61321287833333338</v>
      </c>
      <c r="S1101" s="1">
        <v>0.13364066519267018</v>
      </c>
      <c r="T1101" t="s">
        <v>1248</v>
      </c>
      <c r="U1101" s="1">
        <v>321</v>
      </c>
      <c r="V1101">
        <f t="shared" si="68"/>
        <v>0.27850055915609689</v>
      </c>
      <c r="W1101" s="1">
        <f t="shared" si="69"/>
        <v>12.100000000000001</v>
      </c>
      <c r="X1101">
        <f t="shared" si="70"/>
        <v>0.21951161699999999</v>
      </c>
      <c r="Y1101">
        <f t="shared" si="71"/>
        <v>28.4</v>
      </c>
      <c r="Z1101" s="1">
        <v>1</v>
      </c>
      <c r="AA1101">
        <v>99</v>
      </c>
      <c r="AB1101">
        <v>1.01E-2</v>
      </c>
      <c r="AC1101">
        <v>2</v>
      </c>
      <c r="AD1101">
        <v>101</v>
      </c>
      <c r="AE1101">
        <v>1.9800000000000002E-2</v>
      </c>
      <c r="AF1101" t="s">
        <v>2591</v>
      </c>
      <c r="AG1101" t="s">
        <v>2589</v>
      </c>
    </row>
    <row r="1102" spans="1:33">
      <c r="A1102" s="2" t="s">
        <v>111</v>
      </c>
      <c r="B1102" s="2" t="s">
        <v>33</v>
      </c>
      <c r="C1102" s="1">
        <v>0.60132418300000001</v>
      </c>
      <c r="D1102">
        <v>0.67605095299999995</v>
      </c>
      <c r="E1102">
        <v>0.74222981799999999</v>
      </c>
      <c r="F1102" s="1" t="s">
        <v>112</v>
      </c>
      <c r="G1102" s="1">
        <v>1.561403509</v>
      </c>
      <c r="H1102" s="1">
        <v>30</v>
      </c>
      <c r="I1102" s="1">
        <v>45.6</v>
      </c>
      <c r="J1102" s="1">
        <v>0.67320165133333332</v>
      </c>
      <c r="K1102" s="1">
        <v>0.51347926600000005</v>
      </c>
      <c r="L1102" s="1">
        <v>0.63144379399999995</v>
      </c>
      <c r="M1102" s="3">
        <v>0.64189093500000005</v>
      </c>
      <c r="N1102" s="1" t="s">
        <v>34</v>
      </c>
      <c r="O1102" s="1">
        <v>2.3123667380000001</v>
      </c>
      <c r="P1102" s="1">
        <v>79.099999999999994</v>
      </c>
      <c r="Q1102" s="1">
        <v>93.8</v>
      </c>
      <c r="R1102" s="1">
        <v>0.59560466500000009</v>
      </c>
      <c r="S1102" s="1">
        <v>0.14062154713441266</v>
      </c>
      <c r="T1102" t="s">
        <v>1249</v>
      </c>
      <c r="U1102" s="1">
        <v>289</v>
      </c>
      <c r="V1102">
        <f t="shared" si="68"/>
        <v>0.27343309363961643</v>
      </c>
      <c r="W1102" s="1">
        <f t="shared" si="69"/>
        <v>49.099999999999994</v>
      </c>
      <c r="X1102">
        <f t="shared" si="70"/>
        <v>0.75096322900000012</v>
      </c>
      <c r="Y1102">
        <f t="shared" si="71"/>
        <v>48.199999999999996</v>
      </c>
      <c r="Z1102" s="1">
        <v>1</v>
      </c>
      <c r="AA1102">
        <v>99</v>
      </c>
      <c r="AB1102">
        <v>1.01E-2</v>
      </c>
      <c r="AC1102">
        <v>2</v>
      </c>
      <c r="AD1102">
        <v>95</v>
      </c>
      <c r="AE1102">
        <v>2.1100000000000001E-2</v>
      </c>
      <c r="AF1102" t="s">
        <v>2591</v>
      </c>
      <c r="AG1102" t="s">
        <v>2590</v>
      </c>
    </row>
    <row r="1103" spans="1:33">
      <c r="A1103" s="2" t="s">
        <v>111</v>
      </c>
      <c r="B1103" s="2" t="s">
        <v>35</v>
      </c>
      <c r="C1103" s="1">
        <v>0.60132418300000001</v>
      </c>
      <c r="D1103">
        <v>0.67605095299999995</v>
      </c>
      <c r="E1103">
        <v>0.74222981799999999</v>
      </c>
      <c r="F1103" s="1" t="s">
        <v>112</v>
      </c>
      <c r="G1103" s="1">
        <v>1.561403509</v>
      </c>
      <c r="H1103" s="1">
        <v>30</v>
      </c>
      <c r="I1103" s="1">
        <v>45.6</v>
      </c>
      <c r="J1103" s="1">
        <v>0.67320165133333332</v>
      </c>
      <c r="K1103" s="1">
        <v>0.52542897600000005</v>
      </c>
      <c r="L1103" s="1">
        <v>0.60774736299999998</v>
      </c>
      <c r="M1103" s="3">
        <v>0.62585751700000003</v>
      </c>
      <c r="N1103" s="1" t="s">
        <v>36</v>
      </c>
      <c r="O1103" s="1">
        <v>0.98848810399999998</v>
      </c>
      <c r="P1103" s="1">
        <v>54.2</v>
      </c>
      <c r="Q1103" s="1">
        <v>130.30000000000001</v>
      </c>
      <c r="R1103" s="1">
        <v>0.58634461866666665</v>
      </c>
      <c r="S1103" s="1">
        <v>0.15481594004654536</v>
      </c>
      <c r="T1103" t="s">
        <v>1250</v>
      </c>
      <c r="U1103" s="1">
        <v>1010</v>
      </c>
      <c r="V1103">
        <f t="shared" si="68"/>
        <v>0.3338134859758492</v>
      </c>
      <c r="W1103" s="1">
        <f t="shared" si="69"/>
        <v>24.200000000000003</v>
      </c>
      <c r="X1103">
        <f t="shared" si="70"/>
        <v>0.57291540500000004</v>
      </c>
      <c r="Y1103">
        <f t="shared" si="71"/>
        <v>84.700000000000017</v>
      </c>
      <c r="Z1103" s="1">
        <v>1</v>
      </c>
      <c r="AA1103">
        <v>99</v>
      </c>
      <c r="AB1103">
        <v>1.01E-2</v>
      </c>
      <c r="AC1103">
        <v>2</v>
      </c>
      <c r="AD1103">
        <v>94</v>
      </c>
      <c r="AE1103">
        <v>2.1299999999999999E-2</v>
      </c>
      <c r="AF1103" t="s">
        <v>2591</v>
      </c>
      <c r="AG1103" t="s">
        <v>2589</v>
      </c>
    </row>
    <row r="1104" spans="1:33">
      <c r="A1104" s="2" t="s">
        <v>111</v>
      </c>
      <c r="B1104" s="2" t="s">
        <v>37</v>
      </c>
      <c r="C1104" s="1">
        <v>0.60132418300000001</v>
      </c>
      <c r="D1104">
        <v>0.67605095299999995</v>
      </c>
      <c r="E1104">
        <v>0.74222981799999999</v>
      </c>
      <c r="F1104" s="1" t="s">
        <v>112</v>
      </c>
      <c r="G1104" s="1">
        <v>1.561403509</v>
      </c>
      <c r="H1104" s="1">
        <v>30</v>
      </c>
      <c r="I1104" s="1">
        <v>45.6</v>
      </c>
      <c r="J1104" s="1">
        <v>0.67320165133333332</v>
      </c>
      <c r="K1104" s="1">
        <v>0.50856695500000004</v>
      </c>
      <c r="L1104" s="1">
        <v>0.654733224</v>
      </c>
      <c r="M1104" s="3">
        <v>0.61418267199999999</v>
      </c>
      <c r="N1104" s="1" t="s">
        <v>38</v>
      </c>
      <c r="O1104" s="1">
        <v>0.64065708399999999</v>
      </c>
      <c r="P1104" s="1">
        <v>41.9</v>
      </c>
      <c r="Q1104" s="1">
        <v>146.1</v>
      </c>
      <c r="R1104" s="1">
        <v>0.59249428366666679</v>
      </c>
      <c r="S1104" s="1">
        <v>0.15954441549207146</v>
      </c>
      <c r="T1104" t="s">
        <v>1251</v>
      </c>
      <c r="U1104" s="1">
        <v>580</v>
      </c>
      <c r="V1104">
        <f t="shared" si="68"/>
        <v>0.30704755484032636</v>
      </c>
      <c r="W1104" s="1">
        <f t="shared" si="69"/>
        <v>11.899999999999999</v>
      </c>
      <c r="X1104">
        <f t="shared" si="70"/>
        <v>0.92074642500000003</v>
      </c>
      <c r="Y1104">
        <f t="shared" si="71"/>
        <v>100.5</v>
      </c>
      <c r="Z1104" s="1">
        <v>1</v>
      </c>
      <c r="AA1104">
        <v>99</v>
      </c>
      <c r="AB1104">
        <v>1.01E-2</v>
      </c>
      <c r="AC1104">
        <v>2</v>
      </c>
      <c r="AD1104">
        <v>93</v>
      </c>
      <c r="AE1104">
        <v>2.1499999999999998E-2</v>
      </c>
      <c r="AF1104" t="s">
        <v>2591</v>
      </c>
      <c r="AG1104" t="s">
        <v>2590</v>
      </c>
    </row>
    <row r="1105" spans="1:33">
      <c r="A1105" s="2" t="s">
        <v>111</v>
      </c>
      <c r="B1105" s="2" t="s">
        <v>39</v>
      </c>
      <c r="C1105" s="1">
        <v>0.60132418300000001</v>
      </c>
      <c r="D1105">
        <v>0.67605095299999995</v>
      </c>
      <c r="E1105">
        <v>0.74222981799999999</v>
      </c>
      <c r="F1105" s="1" t="s">
        <v>112</v>
      </c>
      <c r="G1105" s="1">
        <v>1.561403509</v>
      </c>
      <c r="H1105" s="1">
        <v>30</v>
      </c>
      <c r="I1105" s="1">
        <v>45.6</v>
      </c>
      <c r="J1105" s="1">
        <v>0.67320165133333332</v>
      </c>
      <c r="K1105" s="1">
        <v>0.60811616199999996</v>
      </c>
      <c r="L1105" s="1">
        <v>0.721105683</v>
      </c>
      <c r="M1105" s="3">
        <v>0.741016169</v>
      </c>
      <c r="N1105" s="1" t="s">
        <v>40</v>
      </c>
      <c r="O1105" s="1">
        <v>1.0601915180000001</v>
      </c>
      <c r="P1105" s="1">
        <v>34</v>
      </c>
      <c r="Q1105" s="1">
        <v>73.099999999999994</v>
      </c>
      <c r="R1105" s="1">
        <v>0.69007933799999999</v>
      </c>
      <c r="S1105" s="1">
        <v>4.5579958512536455E-2</v>
      </c>
      <c r="T1105" t="s">
        <v>1252</v>
      </c>
      <c r="U1105" s="1">
        <v>372</v>
      </c>
      <c r="V1105">
        <f t="shared" si="68"/>
        <v>0.28561588220909973</v>
      </c>
      <c r="W1105" s="1">
        <f t="shared" si="69"/>
        <v>4</v>
      </c>
      <c r="X1105">
        <f t="shared" si="70"/>
        <v>0.50121199099999991</v>
      </c>
      <c r="Y1105">
        <f t="shared" si="71"/>
        <v>27.499999999999993</v>
      </c>
      <c r="Z1105" s="1">
        <v>1</v>
      </c>
      <c r="AA1105">
        <v>99</v>
      </c>
      <c r="AB1105">
        <v>1.01E-2</v>
      </c>
      <c r="AC1105">
        <v>2</v>
      </c>
      <c r="AD1105">
        <v>96</v>
      </c>
      <c r="AE1105">
        <v>2.0799999999999999E-2</v>
      </c>
      <c r="AF1105" t="s">
        <v>2591</v>
      </c>
      <c r="AG1105" t="s">
        <v>2589</v>
      </c>
    </row>
    <row r="1106" spans="1:33">
      <c r="A1106" s="2" t="s">
        <v>111</v>
      </c>
      <c r="B1106" s="2" t="s">
        <v>41</v>
      </c>
      <c r="C1106" s="1">
        <v>0.60132418300000001</v>
      </c>
      <c r="D1106">
        <v>0.67605095299999995</v>
      </c>
      <c r="E1106">
        <v>0.74222981799999999</v>
      </c>
      <c r="F1106" s="1" t="s">
        <v>112</v>
      </c>
      <c r="G1106" s="1">
        <v>1.561403509</v>
      </c>
      <c r="H1106" s="1">
        <v>30</v>
      </c>
      <c r="I1106" s="1">
        <v>45.6</v>
      </c>
      <c r="J1106" s="1">
        <v>0.67320165133333332</v>
      </c>
      <c r="K1106" s="1">
        <v>0.60402244999999999</v>
      </c>
      <c r="L1106" s="1">
        <v>0.669189213</v>
      </c>
      <c r="M1106" s="3">
        <v>0.69821693799999995</v>
      </c>
      <c r="N1106" s="1" t="s">
        <v>42</v>
      </c>
      <c r="O1106" s="1">
        <v>1.3243902439999999</v>
      </c>
      <c r="P1106" s="1">
        <v>23</v>
      </c>
      <c r="Q1106" s="1">
        <v>41</v>
      </c>
      <c r="R1106" s="1">
        <v>0.65714286700000002</v>
      </c>
      <c r="S1106" s="1">
        <v>4.4626200000955615E-2</v>
      </c>
      <c r="T1106" t="s">
        <v>1253</v>
      </c>
      <c r="U1106" s="1">
        <v>11785</v>
      </c>
      <c r="V1106">
        <f t="shared" si="68"/>
        <v>0.45236995409559366</v>
      </c>
      <c r="W1106" s="1">
        <f t="shared" si="69"/>
        <v>7</v>
      </c>
      <c r="X1106">
        <f t="shared" si="70"/>
        <v>0.23701326500000008</v>
      </c>
      <c r="Y1106">
        <f t="shared" si="71"/>
        <v>4.6000000000000014</v>
      </c>
      <c r="Z1106" s="1">
        <v>27</v>
      </c>
      <c r="AA1106">
        <v>73</v>
      </c>
      <c r="AB1106">
        <v>0.36990000000000001</v>
      </c>
      <c r="AC1106">
        <v>35</v>
      </c>
      <c r="AD1106">
        <v>77</v>
      </c>
      <c r="AE1106">
        <v>0.45450000000000002</v>
      </c>
      <c r="AF1106" t="s">
        <v>2591</v>
      </c>
      <c r="AG1106" t="s">
        <v>2591</v>
      </c>
    </row>
    <row r="1107" spans="1:33">
      <c r="A1107" s="2" t="s">
        <v>111</v>
      </c>
      <c r="B1107" s="2" t="s">
        <v>43</v>
      </c>
      <c r="C1107" s="1">
        <v>0.60132418300000001</v>
      </c>
      <c r="D1107">
        <v>0.67605095299999995</v>
      </c>
      <c r="E1107">
        <v>0.74222981799999999</v>
      </c>
      <c r="F1107" s="1" t="s">
        <v>112</v>
      </c>
      <c r="G1107" s="1">
        <v>1.561403509</v>
      </c>
      <c r="H1107" s="1">
        <v>30</v>
      </c>
      <c r="I1107" s="1">
        <v>45.6</v>
      </c>
      <c r="J1107" s="1">
        <v>0.67320165133333332</v>
      </c>
      <c r="K1107" s="1">
        <v>0.54180634699999997</v>
      </c>
      <c r="L1107" s="1">
        <v>0.59470779900000004</v>
      </c>
      <c r="M1107" s="3">
        <v>0.69518155599999998</v>
      </c>
      <c r="N1107" s="1" t="s">
        <v>44</v>
      </c>
      <c r="O1107" s="1">
        <v>1.7403685090000001</v>
      </c>
      <c r="P1107" s="1">
        <v>41.2</v>
      </c>
      <c r="Q1107" s="1">
        <v>59.7</v>
      </c>
      <c r="R1107" s="1">
        <v>0.61056523400000007</v>
      </c>
      <c r="S1107" s="1">
        <v>0.11123228156435186</v>
      </c>
      <c r="T1107" t="s">
        <v>1254</v>
      </c>
      <c r="U1107" s="1">
        <v>2505</v>
      </c>
      <c r="V1107">
        <f t="shared" si="68"/>
        <v>0.37764530335591828</v>
      </c>
      <c r="W1107" s="1">
        <f t="shared" si="69"/>
        <v>11.200000000000003</v>
      </c>
      <c r="X1107">
        <f t="shared" si="70"/>
        <v>0.17896500000000004</v>
      </c>
      <c r="Y1107">
        <f t="shared" si="71"/>
        <v>14.100000000000001</v>
      </c>
      <c r="Z1107" s="1">
        <v>4</v>
      </c>
      <c r="AA1107">
        <v>96</v>
      </c>
      <c r="AB1107">
        <v>4.1700000000000001E-2</v>
      </c>
      <c r="AC1107">
        <v>4</v>
      </c>
      <c r="AD1107">
        <v>130</v>
      </c>
      <c r="AE1107">
        <v>3.0800000000000001E-2</v>
      </c>
      <c r="AF1107" t="s">
        <v>2591</v>
      </c>
      <c r="AG1107" t="s">
        <v>2589</v>
      </c>
    </row>
    <row r="1108" spans="1:33">
      <c r="A1108" s="2" t="s">
        <v>111</v>
      </c>
      <c r="B1108" s="2" t="s">
        <v>45</v>
      </c>
      <c r="C1108" s="1">
        <v>0.60132418300000001</v>
      </c>
      <c r="D1108">
        <v>0.67605095299999995</v>
      </c>
      <c r="E1108">
        <v>0.74222981799999999</v>
      </c>
      <c r="F1108" s="1" t="s">
        <v>112</v>
      </c>
      <c r="G1108" s="1">
        <v>1.561403509</v>
      </c>
      <c r="H1108" s="1">
        <v>30</v>
      </c>
      <c r="I1108" s="1">
        <v>45.6</v>
      </c>
      <c r="J1108" s="1">
        <v>0.67320165133333332</v>
      </c>
      <c r="K1108" s="1">
        <v>0.50907007599999998</v>
      </c>
      <c r="L1108" s="1">
        <v>0.68428041399999995</v>
      </c>
      <c r="M1108" s="3">
        <v>0.67454742099999998</v>
      </c>
      <c r="N1108" s="1" t="s">
        <v>46</v>
      </c>
      <c r="O1108" s="1">
        <v>0.98140043799999999</v>
      </c>
      <c r="P1108" s="1">
        <v>38.9</v>
      </c>
      <c r="Q1108" s="1">
        <v>91.4</v>
      </c>
      <c r="R1108" s="1">
        <v>0.62263263699999993</v>
      </c>
      <c r="S1108" s="1">
        <v>0.11471465098401157</v>
      </c>
      <c r="T1108" t="s">
        <v>1255</v>
      </c>
      <c r="U1108" s="1">
        <v>408</v>
      </c>
      <c r="V1108">
        <f t="shared" si="68"/>
        <v>0.29007335145443114</v>
      </c>
      <c r="W1108" s="1">
        <f t="shared" si="69"/>
        <v>8.8999999999999986</v>
      </c>
      <c r="X1108">
        <f t="shared" si="70"/>
        <v>0.58000307100000004</v>
      </c>
      <c r="Y1108">
        <f t="shared" si="71"/>
        <v>45.800000000000004</v>
      </c>
      <c r="Z1108" s="1">
        <v>1</v>
      </c>
      <c r="AA1108">
        <v>99</v>
      </c>
      <c r="AB1108">
        <v>1.01E-2</v>
      </c>
      <c r="AC1108">
        <v>2</v>
      </c>
      <c r="AD1108">
        <v>112</v>
      </c>
      <c r="AE1108">
        <v>1.7899999999999999E-2</v>
      </c>
      <c r="AF1108" t="s">
        <v>2591</v>
      </c>
      <c r="AG1108" t="s">
        <v>2589</v>
      </c>
    </row>
    <row r="1109" spans="1:33">
      <c r="A1109" s="2" t="s">
        <v>111</v>
      </c>
      <c r="B1109" s="2" t="s">
        <v>47</v>
      </c>
      <c r="C1109" s="1">
        <v>0.60132418300000001</v>
      </c>
      <c r="D1109">
        <v>0.67605095299999995</v>
      </c>
      <c r="E1109">
        <v>0.74222981799999999</v>
      </c>
      <c r="F1109" s="1" t="s">
        <v>112</v>
      </c>
      <c r="G1109" s="1">
        <v>1.561403509</v>
      </c>
      <c r="H1109" s="1">
        <v>30</v>
      </c>
      <c r="I1109" s="1">
        <v>45.6</v>
      </c>
      <c r="J1109" s="1">
        <v>0.67320165133333332</v>
      </c>
      <c r="K1109" s="1">
        <v>0.50612154099999995</v>
      </c>
      <c r="L1109" s="1">
        <v>0.55940039100000005</v>
      </c>
      <c r="M1109" s="3">
        <v>0.66789001699999995</v>
      </c>
      <c r="N1109" s="1" t="s">
        <v>48</v>
      </c>
      <c r="O1109" s="1">
        <v>1.242622951</v>
      </c>
      <c r="P1109" s="1">
        <v>17.8</v>
      </c>
      <c r="Q1109" s="1">
        <v>30.5</v>
      </c>
      <c r="R1109" s="1">
        <v>0.57780398300000002</v>
      </c>
      <c r="S1109" s="1">
        <v>0.16792052486642484</v>
      </c>
      <c r="T1109" t="s">
        <v>1256</v>
      </c>
      <c r="U1109" s="1">
        <v>569</v>
      </c>
      <c r="V1109">
        <f t="shared" si="68"/>
        <v>0.30612358515500793</v>
      </c>
      <c r="W1109" s="1">
        <f t="shared" si="69"/>
        <v>12.2</v>
      </c>
      <c r="X1109">
        <f t="shared" si="70"/>
        <v>0.31878055800000005</v>
      </c>
      <c r="Y1109">
        <f t="shared" si="71"/>
        <v>15.100000000000001</v>
      </c>
      <c r="Z1109" s="1">
        <v>1</v>
      </c>
      <c r="AA1109">
        <v>99</v>
      </c>
      <c r="AB1109">
        <v>1.01E-2</v>
      </c>
      <c r="AC1109">
        <v>2</v>
      </c>
      <c r="AD1109">
        <v>119</v>
      </c>
      <c r="AE1109">
        <v>1.6799999999999999E-2</v>
      </c>
      <c r="AF1109" t="s">
        <v>2591</v>
      </c>
      <c r="AG1109" t="s">
        <v>2590</v>
      </c>
    </row>
    <row r="1110" spans="1:33">
      <c r="A1110" s="2" t="s">
        <v>111</v>
      </c>
      <c r="B1110" s="2" t="s">
        <v>49</v>
      </c>
      <c r="C1110" s="1">
        <v>0.60132418300000001</v>
      </c>
      <c r="D1110">
        <v>0.67605095299999995</v>
      </c>
      <c r="E1110">
        <v>0.74222981799999999</v>
      </c>
      <c r="F1110" s="1" t="s">
        <v>112</v>
      </c>
      <c r="G1110" s="1">
        <v>1.561403509</v>
      </c>
      <c r="H1110" s="1">
        <v>30</v>
      </c>
      <c r="I1110" s="1">
        <v>45.6</v>
      </c>
      <c r="J1110" s="1">
        <v>0.67320165133333332</v>
      </c>
      <c r="K1110" s="1">
        <v>0.50647110500000003</v>
      </c>
      <c r="L1110" s="1">
        <v>0.55713136799999996</v>
      </c>
      <c r="M1110" s="3">
        <v>0.63402682300000002</v>
      </c>
      <c r="N1110" s="1" t="s">
        <v>50</v>
      </c>
      <c r="O1110" s="1">
        <v>1.876675603</v>
      </c>
      <c r="P1110" s="1">
        <v>28.8</v>
      </c>
      <c r="Q1110" s="1">
        <v>37.299999999999997</v>
      </c>
      <c r="R1110" s="1">
        <v>0.56587643200000004</v>
      </c>
      <c r="S1110" s="1">
        <v>0.18667314276460961</v>
      </c>
      <c r="T1110" t="s">
        <v>1257</v>
      </c>
      <c r="U1110" s="1">
        <v>710</v>
      </c>
      <c r="V1110">
        <f t="shared" si="68"/>
        <v>0.3168064831910084</v>
      </c>
      <c r="W1110" s="1">
        <f t="shared" si="69"/>
        <v>1.1999999999999993</v>
      </c>
      <c r="X1110">
        <f t="shared" si="70"/>
        <v>0.315272094</v>
      </c>
      <c r="Y1110">
        <f t="shared" si="71"/>
        <v>8.3000000000000043</v>
      </c>
      <c r="Z1110" s="1">
        <v>1</v>
      </c>
      <c r="AA1110">
        <v>99</v>
      </c>
      <c r="AB1110">
        <v>1.01E-2</v>
      </c>
      <c r="AC1110">
        <v>2</v>
      </c>
      <c r="AD1110">
        <v>93</v>
      </c>
      <c r="AE1110">
        <v>2.1499999999999998E-2</v>
      </c>
      <c r="AF1110" t="s">
        <v>2591</v>
      </c>
      <c r="AG1110" t="s">
        <v>2590</v>
      </c>
    </row>
    <row r="1111" spans="1:33">
      <c r="A1111" s="2" t="s">
        <v>111</v>
      </c>
      <c r="B1111" s="2" t="s">
        <v>51</v>
      </c>
      <c r="C1111" s="1">
        <v>0.60132418300000001</v>
      </c>
      <c r="D1111">
        <v>0.67605095299999995</v>
      </c>
      <c r="E1111">
        <v>0.74222981799999999</v>
      </c>
      <c r="F1111" s="1" t="s">
        <v>112</v>
      </c>
      <c r="G1111" s="1">
        <v>1.561403509</v>
      </c>
      <c r="H1111" s="1">
        <v>30</v>
      </c>
      <c r="I1111" s="1">
        <v>45.6</v>
      </c>
      <c r="J1111" s="1">
        <v>0.67320165133333332</v>
      </c>
      <c r="K1111" s="1">
        <v>0.60067161999999996</v>
      </c>
      <c r="L1111" s="1">
        <v>0.68094129999999997</v>
      </c>
      <c r="M1111" s="3">
        <v>0.73595931299999995</v>
      </c>
      <c r="N1111" s="1" t="s">
        <v>52</v>
      </c>
      <c r="O1111" s="1">
        <v>1.858638743</v>
      </c>
      <c r="P1111" s="1">
        <v>29.4</v>
      </c>
      <c r="Q1111" s="1">
        <v>38.200000000000003</v>
      </c>
      <c r="R1111" s="1">
        <v>0.67252407766666666</v>
      </c>
      <c r="S1111" s="1">
        <v>7.9787571215323826E-3</v>
      </c>
      <c r="T1111" t="s">
        <v>1258</v>
      </c>
      <c r="U1111" s="1">
        <v>20402</v>
      </c>
      <c r="V1111">
        <f t="shared" si="68"/>
        <v>0.47885252702547404</v>
      </c>
      <c r="W1111" s="1">
        <f t="shared" si="69"/>
        <v>0.60000000000000142</v>
      </c>
      <c r="X1111">
        <f t="shared" si="70"/>
        <v>0.29723523399999996</v>
      </c>
      <c r="Y1111">
        <f t="shared" si="71"/>
        <v>7.3999999999999986</v>
      </c>
      <c r="Z1111" s="1">
        <v>35</v>
      </c>
      <c r="AA1111">
        <v>65</v>
      </c>
      <c r="AB1111">
        <v>0.53849999999999998</v>
      </c>
      <c r="AC1111">
        <v>39</v>
      </c>
      <c r="AD1111">
        <v>65</v>
      </c>
      <c r="AE1111">
        <v>0.6</v>
      </c>
      <c r="AF1111" t="s">
        <v>2591</v>
      </c>
      <c r="AG1111" t="s">
        <v>2591</v>
      </c>
    </row>
    <row r="1112" spans="1:33">
      <c r="A1112" s="2" t="s">
        <v>111</v>
      </c>
      <c r="B1112" s="2" t="s">
        <v>53</v>
      </c>
      <c r="C1112" s="1">
        <v>0.60132418300000001</v>
      </c>
      <c r="D1112">
        <v>0.67605095299999995</v>
      </c>
      <c r="E1112">
        <v>0.74222981799999999</v>
      </c>
      <c r="F1112" s="1" t="s">
        <v>112</v>
      </c>
      <c r="G1112" s="1">
        <v>1.561403509</v>
      </c>
      <c r="H1112" s="1">
        <v>30</v>
      </c>
      <c r="I1112" s="1">
        <v>45.6</v>
      </c>
      <c r="J1112" s="1">
        <v>0.67320165133333332</v>
      </c>
      <c r="K1112" s="1">
        <v>0.54695832700000002</v>
      </c>
      <c r="L1112" s="1">
        <v>0.659790137</v>
      </c>
      <c r="M1112" s="3">
        <v>0.70662085500000005</v>
      </c>
      <c r="N1112" s="1" t="s">
        <v>54</v>
      </c>
      <c r="O1112" s="1">
        <v>2.5053995680000001</v>
      </c>
      <c r="P1112" s="1">
        <v>43.9</v>
      </c>
      <c r="Q1112" s="1">
        <v>46.3</v>
      </c>
      <c r="R1112" s="1">
        <v>0.63778977300000006</v>
      </c>
      <c r="S1112" s="1">
        <v>6.6992974867025823E-2</v>
      </c>
      <c r="T1112" t="s">
        <v>1259</v>
      </c>
      <c r="U1112" s="1">
        <v>20799</v>
      </c>
      <c r="V1112">
        <f t="shared" si="68"/>
        <v>0.47978249499093706</v>
      </c>
      <c r="W1112" s="1">
        <f t="shared" si="69"/>
        <v>13.899999999999999</v>
      </c>
      <c r="X1112">
        <f t="shared" si="70"/>
        <v>0.94399605900000005</v>
      </c>
      <c r="Y1112">
        <f t="shared" si="71"/>
        <v>0.69999999999999574</v>
      </c>
      <c r="Z1112" s="1">
        <v>26</v>
      </c>
      <c r="AA1112">
        <v>74</v>
      </c>
      <c r="AB1112">
        <v>0.35139999999999999</v>
      </c>
      <c r="AC1112">
        <v>28</v>
      </c>
      <c r="AD1112">
        <v>76</v>
      </c>
      <c r="AE1112">
        <v>0.36840000000000001</v>
      </c>
      <c r="AF1112" t="s">
        <v>2591</v>
      </c>
      <c r="AG1112" t="s">
        <v>2593</v>
      </c>
    </row>
    <row r="1113" spans="1:33">
      <c r="A1113" s="2" t="s">
        <v>111</v>
      </c>
      <c r="B1113" s="2" t="s">
        <v>55</v>
      </c>
      <c r="C1113" s="1">
        <v>0.60132418300000001</v>
      </c>
      <c r="D1113">
        <v>0.67605095299999995</v>
      </c>
      <c r="E1113">
        <v>0.74222981799999999</v>
      </c>
      <c r="F1113" s="1" t="s">
        <v>112</v>
      </c>
      <c r="G1113" s="1">
        <v>1.561403509</v>
      </c>
      <c r="H1113" s="1">
        <v>30</v>
      </c>
      <c r="I1113" s="1">
        <v>45.6</v>
      </c>
      <c r="J1113" s="1">
        <v>0.67320165133333332</v>
      </c>
      <c r="K1113" s="1">
        <v>0.52971861799999997</v>
      </c>
      <c r="L1113" s="1">
        <v>0.62258244500000004</v>
      </c>
      <c r="M1113" s="3">
        <v>0.63939760400000001</v>
      </c>
      <c r="N1113" s="1" t="s">
        <v>56</v>
      </c>
      <c r="O1113" s="1">
        <v>1.0796934869999999</v>
      </c>
      <c r="P1113" s="1">
        <v>55.3</v>
      </c>
      <c r="Q1113" s="1">
        <v>130.5</v>
      </c>
      <c r="R1113" s="1">
        <v>0.59723288899999993</v>
      </c>
      <c r="S1113" s="1">
        <v>0.13623766925067779</v>
      </c>
      <c r="T1113" t="s">
        <v>1260</v>
      </c>
      <c r="U1113" s="1">
        <v>783</v>
      </c>
      <c r="V1113">
        <f t="shared" si="68"/>
        <v>0.32152908467310481</v>
      </c>
      <c r="W1113" s="1">
        <f t="shared" si="69"/>
        <v>25.299999999999997</v>
      </c>
      <c r="X1113">
        <f t="shared" si="70"/>
        <v>0.48171002200000013</v>
      </c>
      <c r="Y1113">
        <f t="shared" si="71"/>
        <v>84.9</v>
      </c>
      <c r="Z1113" s="1">
        <v>1</v>
      </c>
      <c r="AA1113">
        <v>99</v>
      </c>
      <c r="AB1113">
        <v>1.01E-2</v>
      </c>
      <c r="AC1113">
        <v>2</v>
      </c>
      <c r="AD1113">
        <v>94</v>
      </c>
      <c r="AE1113">
        <v>2.1299999999999999E-2</v>
      </c>
      <c r="AF1113" t="s">
        <v>2591</v>
      </c>
      <c r="AG1113" t="s">
        <v>2592</v>
      </c>
    </row>
    <row r="1114" spans="1:33">
      <c r="A1114" s="2" t="s">
        <v>111</v>
      </c>
      <c r="B1114" s="2" t="s">
        <v>57</v>
      </c>
      <c r="C1114" s="1">
        <v>0.60132418300000001</v>
      </c>
      <c r="D1114">
        <v>0.67605095299999995</v>
      </c>
      <c r="E1114">
        <v>0.74222981799999999</v>
      </c>
      <c r="F1114" s="1" t="s">
        <v>112</v>
      </c>
      <c r="G1114" s="1">
        <v>1.561403509</v>
      </c>
      <c r="H1114" s="1">
        <v>30</v>
      </c>
      <c r="I1114" s="1">
        <v>45.6</v>
      </c>
      <c r="J1114" s="1">
        <v>0.67320165133333332</v>
      </c>
      <c r="K1114" s="1">
        <v>0.528732855</v>
      </c>
      <c r="L1114" s="1">
        <v>0.63387497599999998</v>
      </c>
      <c r="M1114" s="3">
        <v>0.63337360200000004</v>
      </c>
      <c r="N1114" s="1" t="s">
        <v>58</v>
      </c>
      <c r="O1114" s="1">
        <v>1.386610879</v>
      </c>
      <c r="P1114" s="1">
        <v>69</v>
      </c>
      <c r="Q1114" s="1">
        <v>119.5</v>
      </c>
      <c r="R1114" s="1">
        <v>0.59866047766666663</v>
      </c>
      <c r="S1114" s="1">
        <v>0.13746995925854769</v>
      </c>
      <c r="T1114" t="s">
        <v>1261</v>
      </c>
      <c r="U1114" s="1">
        <v>743</v>
      </c>
      <c r="V1114">
        <f t="shared" si="68"/>
        <v>0.31899875708450837</v>
      </c>
      <c r="W1114" s="1">
        <f t="shared" si="69"/>
        <v>39</v>
      </c>
      <c r="X1114">
        <f t="shared" si="70"/>
        <v>0.17479263</v>
      </c>
      <c r="Y1114">
        <f t="shared" si="71"/>
        <v>73.900000000000006</v>
      </c>
      <c r="Z1114" s="1">
        <v>1</v>
      </c>
      <c r="AA1114">
        <v>99</v>
      </c>
      <c r="AB1114">
        <v>1.01E-2</v>
      </c>
      <c r="AC1114">
        <v>2</v>
      </c>
      <c r="AD1114">
        <v>100</v>
      </c>
      <c r="AE1114">
        <v>0.02</v>
      </c>
      <c r="AF1114" t="s">
        <v>2591</v>
      </c>
      <c r="AG1114" t="s">
        <v>2589</v>
      </c>
    </row>
    <row r="1115" spans="1:33">
      <c r="A1115" s="2" t="s">
        <v>111</v>
      </c>
      <c r="B1115" s="2" t="s">
        <v>59</v>
      </c>
      <c r="C1115" s="1">
        <v>0.60132418300000001</v>
      </c>
      <c r="D1115">
        <v>0.67605095299999995</v>
      </c>
      <c r="E1115">
        <v>0.74222981799999999</v>
      </c>
      <c r="F1115" s="1" t="s">
        <v>112</v>
      </c>
      <c r="G1115" s="1">
        <v>1.561403509</v>
      </c>
      <c r="H1115" s="1">
        <v>30</v>
      </c>
      <c r="I1115" s="1">
        <v>45.6</v>
      </c>
      <c r="J1115" s="1">
        <v>0.67320165133333332</v>
      </c>
      <c r="K1115" s="1">
        <v>0.56225432799999997</v>
      </c>
      <c r="L1115" s="1">
        <v>0.68100706499999997</v>
      </c>
      <c r="M1115" s="3">
        <v>0.67505263699999996</v>
      </c>
      <c r="N1115" s="1" t="s">
        <v>60</v>
      </c>
      <c r="O1115" s="1">
        <v>1.1501154730000001</v>
      </c>
      <c r="P1115" s="1">
        <v>60.5</v>
      </c>
      <c r="Q1115" s="1">
        <v>129.9</v>
      </c>
      <c r="R1115" s="1">
        <v>0.63943801</v>
      </c>
      <c r="S1115" s="1">
        <v>7.7870342640727716E-2</v>
      </c>
      <c r="T1115" t="s">
        <v>1262</v>
      </c>
      <c r="U1115" s="1">
        <v>2913</v>
      </c>
      <c r="V1115">
        <f t="shared" si="68"/>
        <v>0.38492672051418525</v>
      </c>
      <c r="W1115" s="1">
        <f t="shared" si="69"/>
        <v>30.5</v>
      </c>
      <c r="X1115">
        <f t="shared" si="70"/>
        <v>0.41128803599999997</v>
      </c>
      <c r="Y1115">
        <f t="shared" si="71"/>
        <v>84.300000000000011</v>
      </c>
      <c r="Z1115" s="1">
        <v>1</v>
      </c>
      <c r="AA1115">
        <v>99</v>
      </c>
      <c r="AB1115">
        <v>1.01E-2</v>
      </c>
      <c r="AC1115">
        <v>2</v>
      </c>
      <c r="AD1115">
        <v>119</v>
      </c>
      <c r="AE1115">
        <v>1.6799999999999999E-2</v>
      </c>
      <c r="AF1115" t="s">
        <v>2591</v>
      </c>
      <c r="AG1115" t="s">
        <v>2589</v>
      </c>
    </row>
    <row r="1116" spans="1:33">
      <c r="A1116" s="2" t="s">
        <v>111</v>
      </c>
      <c r="B1116" s="2" t="s">
        <v>61</v>
      </c>
      <c r="C1116" s="1">
        <v>0.60132418300000001</v>
      </c>
      <c r="D1116">
        <v>0.67605095299999995</v>
      </c>
      <c r="E1116">
        <v>0.74222981799999999</v>
      </c>
      <c r="F1116" s="1" t="s">
        <v>112</v>
      </c>
      <c r="G1116" s="1">
        <v>1.561403509</v>
      </c>
      <c r="H1116" s="1">
        <v>30</v>
      </c>
      <c r="I1116" s="1">
        <v>45.6</v>
      </c>
      <c r="J1116" s="1">
        <v>0.67320165133333332</v>
      </c>
      <c r="K1116" s="1">
        <v>0.62063455999999995</v>
      </c>
      <c r="L1116" s="1">
        <v>0.67798104299999995</v>
      </c>
      <c r="M1116" s="3">
        <v>0.72175371600000005</v>
      </c>
      <c r="N1116" s="1" t="s">
        <v>62</v>
      </c>
      <c r="O1116" s="1">
        <v>7.5471698109999998</v>
      </c>
      <c r="P1116" s="1">
        <v>26.4</v>
      </c>
      <c r="Q1116" s="1">
        <v>10.6</v>
      </c>
      <c r="R1116" s="1">
        <v>0.6734564396666668</v>
      </c>
      <c r="S1116" s="1">
        <v>2.8211463280103499E-2</v>
      </c>
      <c r="T1116" t="s">
        <v>1263</v>
      </c>
      <c r="U1116" s="1">
        <v>786</v>
      </c>
      <c r="V1116">
        <f t="shared" si="68"/>
        <v>0.32171361622660088</v>
      </c>
      <c r="W1116" s="1">
        <f t="shared" si="69"/>
        <v>3.6000000000000014</v>
      </c>
      <c r="X1116">
        <f t="shared" si="70"/>
        <v>5.985766302</v>
      </c>
      <c r="Y1116">
        <f t="shared" si="71"/>
        <v>35</v>
      </c>
      <c r="Z1116" s="1">
        <v>0</v>
      </c>
      <c r="AA1116">
        <v>100</v>
      </c>
      <c r="AB1116">
        <v>0</v>
      </c>
      <c r="AC1116">
        <v>0</v>
      </c>
      <c r="AD1116">
        <v>96</v>
      </c>
      <c r="AE1116">
        <v>0</v>
      </c>
      <c r="AF1116" t="s">
        <v>2591</v>
      </c>
      <c r="AG1116" t="s">
        <v>2588</v>
      </c>
    </row>
    <row r="1117" spans="1:33">
      <c r="A1117" s="2" t="s">
        <v>111</v>
      </c>
      <c r="B1117" s="2" t="s">
        <v>63</v>
      </c>
      <c r="C1117" s="1">
        <v>0.60132418300000001</v>
      </c>
      <c r="D1117">
        <v>0.67605095299999995</v>
      </c>
      <c r="E1117">
        <v>0.74222981799999999</v>
      </c>
      <c r="F1117" s="1" t="s">
        <v>112</v>
      </c>
      <c r="G1117" s="1">
        <v>1.561403509</v>
      </c>
      <c r="H1117" s="1">
        <v>30</v>
      </c>
      <c r="I1117" s="1">
        <v>45.6</v>
      </c>
      <c r="J1117" s="1">
        <v>0.67320165133333332</v>
      </c>
      <c r="K1117" s="1">
        <v>0.44311141399999998</v>
      </c>
      <c r="L1117" s="1">
        <v>0.57053969199999999</v>
      </c>
      <c r="M1117" s="3">
        <v>0.59266330599999995</v>
      </c>
      <c r="N1117" s="1" t="s">
        <v>64</v>
      </c>
      <c r="O1117" s="1">
        <v>0.89618138400000003</v>
      </c>
      <c r="P1117" s="1">
        <v>29.7</v>
      </c>
      <c r="Q1117" s="1">
        <v>83.8</v>
      </c>
      <c r="R1117" s="1">
        <v>0.53543813733333334</v>
      </c>
      <c r="S1117" s="1">
        <v>0.24193810775548288</v>
      </c>
      <c r="T1117" t="s">
        <v>1264</v>
      </c>
      <c r="U1117" s="1">
        <v>185</v>
      </c>
      <c r="V1117">
        <f t="shared" si="68"/>
        <v>0.25190796982255709</v>
      </c>
      <c r="W1117" s="1">
        <f t="shared" si="69"/>
        <v>0.30000000000000071</v>
      </c>
      <c r="X1117">
        <f t="shared" si="70"/>
        <v>0.665222125</v>
      </c>
      <c r="Y1117">
        <f t="shared" si="71"/>
        <v>38.199999999999996</v>
      </c>
      <c r="Z1117" s="1">
        <v>1</v>
      </c>
      <c r="AA1117">
        <v>99</v>
      </c>
      <c r="AB1117">
        <v>1.01E-2</v>
      </c>
      <c r="AC1117">
        <v>2</v>
      </c>
      <c r="AD1117">
        <v>101</v>
      </c>
      <c r="AE1117">
        <v>1.9800000000000002E-2</v>
      </c>
      <c r="AF1117" t="s">
        <v>2591</v>
      </c>
      <c r="AG1117" t="s">
        <v>2590</v>
      </c>
    </row>
    <row r="1118" spans="1:33">
      <c r="A1118" s="2" t="s">
        <v>111</v>
      </c>
      <c r="B1118" s="2" t="s">
        <v>65</v>
      </c>
      <c r="C1118" s="1">
        <v>0.60132418300000001</v>
      </c>
      <c r="D1118">
        <v>0.67605095299999995</v>
      </c>
      <c r="E1118">
        <v>0.74222981799999999</v>
      </c>
      <c r="F1118" s="1" t="s">
        <v>112</v>
      </c>
      <c r="G1118" s="1">
        <v>1.561403509</v>
      </c>
      <c r="H1118" s="1">
        <v>30</v>
      </c>
      <c r="I1118" s="1">
        <v>45.6</v>
      </c>
      <c r="J1118" s="1">
        <v>0.67320165133333332</v>
      </c>
      <c r="K1118" s="1">
        <v>0.67377447499999998</v>
      </c>
      <c r="L1118" s="1">
        <v>0.69144672900000004</v>
      </c>
      <c r="M1118" s="3">
        <v>0.73046409700000003</v>
      </c>
      <c r="N1118" s="1" t="s">
        <v>66</v>
      </c>
      <c r="O1118" s="1">
        <v>1.8507462690000001</v>
      </c>
      <c r="P1118" s="1">
        <v>34.5</v>
      </c>
      <c r="Q1118" s="1">
        <v>46.9</v>
      </c>
      <c r="R1118" s="1">
        <v>0.69856176700000006</v>
      </c>
      <c r="S1118" s="1">
        <v>7.4996712729140852E-2</v>
      </c>
      <c r="T1118" t="s">
        <v>1265</v>
      </c>
      <c r="U1118" s="1">
        <v>9169</v>
      </c>
      <c r="V1118">
        <f t="shared" si="68"/>
        <v>0.44025799696995382</v>
      </c>
      <c r="W1118" s="1">
        <f t="shared" si="69"/>
        <v>4.5</v>
      </c>
      <c r="X1118">
        <f t="shared" si="70"/>
        <v>0.28934276000000003</v>
      </c>
      <c r="Y1118">
        <f t="shared" si="71"/>
        <v>1.2999999999999972</v>
      </c>
      <c r="Z1118" s="1">
        <v>10</v>
      </c>
      <c r="AA1118">
        <v>90</v>
      </c>
      <c r="AB1118">
        <v>0.1111</v>
      </c>
      <c r="AC1118">
        <v>12</v>
      </c>
      <c r="AD1118">
        <v>73</v>
      </c>
      <c r="AE1118">
        <v>0.16439999999999999</v>
      </c>
      <c r="AF1118" t="s">
        <v>2591</v>
      </c>
      <c r="AG1118" t="s">
        <v>2593</v>
      </c>
    </row>
    <row r="1119" spans="1:33">
      <c r="A1119" s="2" t="s">
        <v>111</v>
      </c>
      <c r="B1119" s="2" t="s">
        <v>67</v>
      </c>
      <c r="C1119" s="1">
        <v>0.60132418300000001</v>
      </c>
      <c r="D1119">
        <v>0.67605095299999995</v>
      </c>
      <c r="E1119">
        <v>0.74222981799999999</v>
      </c>
      <c r="F1119" s="1" t="s">
        <v>112</v>
      </c>
      <c r="G1119" s="1">
        <v>1.561403509</v>
      </c>
      <c r="H1119" s="1">
        <v>30</v>
      </c>
      <c r="I1119" s="1">
        <v>45.6</v>
      </c>
      <c r="J1119" s="1">
        <v>0.67320165133333332</v>
      </c>
      <c r="K1119" s="1">
        <v>0.53971122199999999</v>
      </c>
      <c r="L1119" s="1">
        <v>0.621203065</v>
      </c>
      <c r="M1119" s="3">
        <v>0.67806811499999997</v>
      </c>
      <c r="N1119" s="1" t="s">
        <v>68</v>
      </c>
      <c r="O1119" s="1">
        <v>1.5131894480000001</v>
      </c>
      <c r="P1119" s="1">
        <v>27.2</v>
      </c>
      <c r="Q1119" s="1">
        <v>41.7</v>
      </c>
      <c r="R1119" s="1">
        <v>0.61299413400000002</v>
      </c>
      <c r="S1119" s="1">
        <v>0.10450441097440946</v>
      </c>
      <c r="T1119" t="s">
        <v>1266</v>
      </c>
      <c r="U1119" s="1">
        <v>3662</v>
      </c>
      <c r="V1119">
        <f t="shared" si="68"/>
        <v>0.39596870444063081</v>
      </c>
      <c r="W1119" s="1">
        <f t="shared" si="69"/>
        <v>2.8000000000000007</v>
      </c>
      <c r="X1119">
        <f t="shared" si="70"/>
        <v>4.8214060999999919E-2</v>
      </c>
      <c r="Y1119">
        <f t="shared" si="71"/>
        <v>3.8999999999999986</v>
      </c>
      <c r="Z1119" s="1">
        <v>1</v>
      </c>
      <c r="AA1119">
        <v>99</v>
      </c>
      <c r="AB1119">
        <v>1.01E-2</v>
      </c>
      <c r="AC1119">
        <v>2</v>
      </c>
      <c r="AD1119">
        <v>94</v>
      </c>
      <c r="AE1119">
        <v>2.1299999999999999E-2</v>
      </c>
      <c r="AF1119" t="s">
        <v>2591</v>
      </c>
      <c r="AG1119" t="s">
        <v>2588</v>
      </c>
    </row>
    <row r="1120" spans="1:33">
      <c r="A1120" s="2" t="s">
        <v>111</v>
      </c>
      <c r="B1120" s="2" t="s">
        <v>69</v>
      </c>
      <c r="C1120" s="1">
        <v>0.60132418300000001</v>
      </c>
      <c r="D1120">
        <v>0.67605095299999995</v>
      </c>
      <c r="E1120">
        <v>0.74222981799999999</v>
      </c>
      <c r="F1120" s="1" t="s">
        <v>112</v>
      </c>
      <c r="G1120" s="1">
        <v>1.561403509</v>
      </c>
      <c r="H1120" s="1">
        <v>30</v>
      </c>
      <c r="I1120" s="1">
        <v>45.6</v>
      </c>
      <c r="J1120" s="1">
        <v>0.67320165133333332</v>
      </c>
      <c r="K1120" s="1">
        <v>0.50188385300000005</v>
      </c>
      <c r="L1120" s="1">
        <v>0.64580031500000001</v>
      </c>
      <c r="M1120" s="3">
        <v>0.66006355800000005</v>
      </c>
      <c r="N1120" s="1" t="s">
        <v>70</v>
      </c>
      <c r="O1120" s="1">
        <v>1.2401055409999999</v>
      </c>
      <c r="P1120" s="1">
        <v>43.4</v>
      </c>
      <c r="Q1120" s="1">
        <v>75.8</v>
      </c>
      <c r="R1120" s="1">
        <v>0.60258257533333337</v>
      </c>
      <c r="S1120" s="1">
        <v>0.13249443238228362</v>
      </c>
      <c r="T1120" t="s">
        <v>1267</v>
      </c>
      <c r="U1120" s="1">
        <v>245</v>
      </c>
      <c r="V1120">
        <f t="shared" si="68"/>
        <v>0.26546289826272584</v>
      </c>
      <c r="W1120" s="1">
        <f t="shared" si="69"/>
        <v>13.399999999999999</v>
      </c>
      <c r="X1120">
        <f t="shared" si="70"/>
        <v>0.3212979680000001</v>
      </c>
      <c r="Y1120">
        <f t="shared" si="71"/>
        <v>30.199999999999996</v>
      </c>
      <c r="Z1120" s="1">
        <v>1</v>
      </c>
      <c r="AA1120">
        <v>99</v>
      </c>
      <c r="AB1120">
        <v>1.01E-2</v>
      </c>
      <c r="AC1120">
        <v>2</v>
      </c>
      <c r="AD1120">
        <v>101</v>
      </c>
      <c r="AE1120">
        <v>1.9800000000000002E-2</v>
      </c>
      <c r="AF1120" t="s">
        <v>2591</v>
      </c>
      <c r="AG1120" t="s">
        <v>2589</v>
      </c>
    </row>
    <row r="1121" spans="1:33">
      <c r="A1121" s="2" t="s">
        <v>111</v>
      </c>
      <c r="B1121" s="2" t="s">
        <v>71</v>
      </c>
      <c r="C1121" s="1">
        <v>0.60132418300000001</v>
      </c>
      <c r="D1121">
        <v>0.67605095299999995</v>
      </c>
      <c r="E1121">
        <v>0.74222981799999999</v>
      </c>
      <c r="F1121" s="1" t="s">
        <v>112</v>
      </c>
      <c r="G1121" s="1">
        <v>1.561403509</v>
      </c>
      <c r="H1121" s="1">
        <v>30</v>
      </c>
      <c r="I1121" s="1">
        <v>45.6</v>
      </c>
      <c r="J1121" s="1">
        <v>0.67320165133333332</v>
      </c>
      <c r="K1121" s="1">
        <v>0.53267569100000001</v>
      </c>
      <c r="L1121" s="1">
        <v>0.64507433599999997</v>
      </c>
      <c r="M1121" s="3">
        <v>0.66598465100000004</v>
      </c>
      <c r="N1121" s="1" t="s">
        <v>72</v>
      </c>
      <c r="O1121" s="1">
        <v>0.97289666900000005</v>
      </c>
      <c r="P1121" s="1">
        <v>64.8</v>
      </c>
      <c r="Q1121" s="1">
        <v>177.1</v>
      </c>
      <c r="R1121" s="1">
        <v>0.61457822600000001</v>
      </c>
      <c r="S1121" s="1">
        <v>0.10717038651370366</v>
      </c>
      <c r="T1121" t="s">
        <v>1268</v>
      </c>
      <c r="U1121" s="1">
        <v>2153</v>
      </c>
      <c r="V1121">
        <f t="shared" si="68"/>
        <v>0.37033822553594303</v>
      </c>
      <c r="W1121" s="1">
        <f t="shared" si="69"/>
        <v>34.799999999999997</v>
      </c>
      <c r="X1121">
        <f t="shared" si="70"/>
        <v>0.58850683999999998</v>
      </c>
      <c r="Y1121">
        <f t="shared" si="71"/>
        <v>131.5</v>
      </c>
      <c r="Z1121" s="1">
        <v>4</v>
      </c>
      <c r="AA1121">
        <v>96</v>
      </c>
      <c r="AB1121">
        <v>4.1700000000000001E-2</v>
      </c>
      <c r="AC1121">
        <v>4</v>
      </c>
      <c r="AD1121">
        <v>110</v>
      </c>
      <c r="AE1121">
        <v>3.6400000000000002E-2</v>
      </c>
      <c r="AF1121" t="s">
        <v>2591</v>
      </c>
      <c r="AG1121" t="s">
        <v>2589</v>
      </c>
    </row>
    <row r="1122" spans="1:33">
      <c r="A1122" s="2" t="s">
        <v>111</v>
      </c>
      <c r="B1122" s="2" t="s">
        <v>73</v>
      </c>
      <c r="C1122" s="1">
        <v>0.60132418300000001</v>
      </c>
      <c r="D1122">
        <v>0.67605095299999995</v>
      </c>
      <c r="E1122">
        <v>0.74222981799999999</v>
      </c>
      <c r="F1122" s="1" t="s">
        <v>112</v>
      </c>
      <c r="G1122" s="1">
        <v>1.561403509</v>
      </c>
      <c r="H1122" s="1">
        <v>30</v>
      </c>
      <c r="I1122" s="1">
        <v>45.6</v>
      </c>
      <c r="J1122" s="1">
        <v>0.67320165133333332</v>
      </c>
      <c r="K1122" s="1">
        <v>0.55697925299999995</v>
      </c>
      <c r="L1122" s="1">
        <v>0.64461978399999997</v>
      </c>
      <c r="M1122" s="3">
        <v>0.69570690000000002</v>
      </c>
      <c r="N1122" s="1" t="s">
        <v>74</v>
      </c>
      <c r="O1122" s="1">
        <v>1.23433584</v>
      </c>
      <c r="P1122" s="1">
        <v>44</v>
      </c>
      <c r="Q1122" s="1">
        <v>79.8</v>
      </c>
      <c r="R1122" s="1">
        <v>0.63243531233333328</v>
      </c>
      <c r="S1122" s="1">
        <v>7.1545601546469551E-2</v>
      </c>
      <c r="T1122" t="s">
        <v>1269</v>
      </c>
      <c r="U1122" s="1">
        <v>260</v>
      </c>
      <c r="V1122">
        <f t="shared" si="68"/>
        <v>0.26833037199675752</v>
      </c>
      <c r="W1122" s="1">
        <f t="shared" si="69"/>
        <v>14</v>
      </c>
      <c r="X1122">
        <f t="shared" si="70"/>
        <v>0.32706766900000006</v>
      </c>
      <c r="Y1122">
        <f t="shared" si="71"/>
        <v>34.199999999999996</v>
      </c>
      <c r="Z1122" s="1">
        <v>1</v>
      </c>
      <c r="AA1122">
        <v>99</v>
      </c>
      <c r="AB1122">
        <v>1.01E-2</v>
      </c>
      <c r="AC1122">
        <v>2</v>
      </c>
      <c r="AD1122">
        <v>97</v>
      </c>
      <c r="AE1122">
        <v>2.06E-2</v>
      </c>
      <c r="AF1122" t="s">
        <v>2591</v>
      </c>
      <c r="AG1122" t="s">
        <v>2589</v>
      </c>
    </row>
    <row r="1123" spans="1:33">
      <c r="A1123" s="2" t="s">
        <v>111</v>
      </c>
      <c r="B1123" s="2" t="s">
        <v>75</v>
      </c>
      <c r="C1123" s="1">
        <v>0.60132418300000001</v>
      </c>
      <c r="D1123">
        <v>0.67605095299999995</v>
      </c>
      <c r="E1123">
        <v>0.74222981799999999</v>
      </c>
      <c r="F1123" s="1" t="s">
        <v>112</v>
      </c>
      <c r="G1123" s="1">
        <v>1.561403509</v>
      </c>
      <c r="H1123" s="1">
        <v>30</v>
      </c>
      <c r="I1123" s="1">
        <v>45.6</v>
      </c>
      <c r="J1123" s="1">
        <v>0.67320165133333332</v>
      </c>
      <c r="K1123" s="1">
        <v>0.50354843500000002</v>
      </c>
      <c r="L1123" s="1">
        <v>0.59724402499999996</v>
      </c>
      <c r="M1123" s="3">
        <v>0.70308254199999998</v>
      </c>
      <c r="N1123" s="1" t="s">
        <v>76</v>
      </c>
      <c r="O1123" s="1">
        <v>1.2696850390000001</v>
      </c>
      <c r="P1123" s="1">
        <v>26.6</v>
      </c>
      <c r="Q1123" s="1">
        <v>50.8</v>
      </c>
      <c r="R1123" s="1">
        <v>0.60129166733333339</v>
      </c>
      <c r="S1123" s="1">
        <v>0.1315413927856052</v>
      </c>
      <c r="T1123" t="s">
        <v>1270</v>
      </c>
      <c r="U1123" s="1">
        <v>782</v>
      </c>
      <c r="V1123">
        <f t="shared" si="68"/>
        <v>0.32146741700664977</v>
      </c>
      <c r="W1123" s="1">
        <f t="shared" si="69"/>
        <v>3.3999999999999986</v>
      </c>
      <c r="X1123">
        <f t="shared" si="70"/>
        <v>0.29171846999999995</v>
      </c>
      <c r="Y1123">
        <f t="shared" si="71"/>
        <v>5.1999999999999957</v>
      </c>
      <c r="Z1123" s="1">
        <v>1</v>
      </c>
      <c r="AA1123">
        <v>99</v>
      </c>
      <c r="AB1123">
        <v>1.01E-2</v>
      </c>
      <c r="AC1123">
        <v>2</v>
      </c>
      <c r="AD1123">
        <v>97</v>
      </c>
      <c r="AE1123">
        <v>2.06E-2</v>
      </c>
      <c r="AF1123" t="s">
        <v>2591</v>
      </c>
      <c r="AG1123" t="s">
        <v>2594</v>
      </c>
    </row>
    <row r="1124" spans="1:33">
      <c r="A1124" s="2" t="s">
        <v>111</v>
      </c>
      <c r="B1124" s="2" t="s">
        <v>77</v>
      </c>
      <c r="C1124" s="1">
        <v>0.60132418300000001</v>
      </c>
      <c r="D1124">
        <v>0.67605095299999995</v>
      </c>
      <c r="E1124">
        <v>0.74222981799999999</v>
      </c>
      <c r="F1124" s="1" t="s">
        <v>112</v>
      </c>
      <c r="G1124" s="1">
        <v>1.561403509</v>
      </c>
      <c r="H1124" s="1">
        <v>30</v>
      </c>
      <c r="I1124" s="1">
        <v>45.6</v>
      </c>
      <c r="J1124" s="1">
        <v>0.67320165133333332</v>
      </c>
      <c r="K1124" s="1">
        <v>0.54630843299999998</v>
      </c>
      <c r="L1124" s="1">
        <v>0.68935555900000001</v>
      </c>
      <c r="M1124" s="3">
        <v>0.65478744899999997</v>
      </c>
      <c r="N1124" s="1" t="s">
        <v>78</v>
      </c>
      <c r="O1124" s="1">
        <v>1.3914285710000001</v>
      </c>
      <c r="P1124" s="1">
        <v>56.5</v>
      </c>
      <c r="Q1124" s="1">
        <v>105</v>
      </c>
      <c r="R1124" s="1">
        <v>0.63015048033333343</v>
      </c>
      <c r="S1124" s="1">
        <v>0.10416291655483685</v>
      </c>
      <c r="T1124" t="s">
        <v>1271</v>
      </c>
      <c r="U1124" s="1">
        <v>509</v>
      </c>
      <c r="V1124">
        <f t="shared" si="68"/>
        <v>0.30074642025963988</v>
      </c>
      <c r="W1124" s="1">
        <f t="shared" si="69"/>
        <v>26.5</v>
      </c>
      <c r="X1124">
        <f t="shared" si="70"/>
        <v>0.16997493799999996</v>
      </c>
      <c r="Y1124">
        <f t="shared" si="71"/>
        <v>59.4</v>
      </c>
      <c r="Z1124" s="1">
        <v>1</v>
      </c>
      <c r="AA1124">
        <v>99</v>
      </c>
      <c r="AB1124">
        <v>1.01E-2</v>
      </c>
      <c r="AC1124">
        <v>2</v>
      </c>
      <c r="AD1124">
        <v>86</v>
      </c>
      <c r="AE1124">
        <v>2.3300000000000001E-2</v>
      </c>
      <c r="AF1124" t="s">
        <v>2591</v>
      </c>
      <c r="AG1124" t="s">
        <v>2590</v>
      </c>
    </row>
    <row r="1125" spans="1:33">
      <c r="A1125" s="2" t="s">
        <v>111</v>
      </c>
      <c r="B1125" s="2" t="s">
        <v>79</v>
      </c>
      <c r="C1125" s="1">
        <v>0.60132418300000001</v>
      </c>
      <c r="D1125">
        <v>0.67605095299999995</v>
      </c>
      <c r="E1125">
        <v>0.74222981799999999</v>
      </c>
      <c r="F1125" s="1" t="s">
        <v>112</v>
      </c>
      <c r="G1125" s="1">
        <v>1.561403509</v>
      </c>
      <c r="H1125" s="1">
        <v>30</v>
      </c>
      <c r="I1125" s="1">
        <v>45.6</v>
      </c>
      <c r="J1125" s="1">
        <v>0.67320165133333332</v>
      </c>
      <c r="K1125" s="1">
        <v>0.63652882899999996</v>
      </c>
      <c r="L1125" s="1">
        <v>0.77536518600000004</v>
      </c>
      <c r="M1125" s="3">
        <v>0.610415606</v>
      </c>
      <c r="N1125" s="1" t="s">
        <v>80</v>
      </c>
      <c r="O1125" s="1">
        <v>0.95325542600000002</v>
      </c>
      <c r="P1125" s="1">
        <v>45.6</v>
      </c>
      <c r="Q1125" s="1">
        <v>119.8</v>
      </c>
      <c r="R1125" s="1">
        <v>0.67410320700000004</v>
      </c>
      <c r="S1125" s="1">
        <v>0.1687532828170894</v>
      </c>
      <c r="T1125" t="s">
        <v>1272</v>
      </c>
      <c r="U1125" s="1">
        <v>330</v>
      </c>
      <c r="V1125">
        <f t="shared" si="68"/>
        <v>0.27983488220865416</v>
      </c>
      <c r="W1125" s="1">
        <f t="shared" si="69"/>
        <v>15.600000000000001</v>
      </c>
      <c r="X1125">
        <f t="shared" si="70"/>
        <v>0.60814808300000001</v>
      </c>
      <c r="Y1125">
        <f t="shared" si="71"/>
        <v>74.199999999999989</v>
      </c>
      <c r="Z1125" s="1">
        <v>0</v>
      </c>
      <c r="AA1125">
        <v>100</v>
      </c>
      <c r="AB1125">
        <v>0</v>
      </c>
      <c r="AC1125">
        <v>1</v>
      </c>
      <c r="AD1125">
        <v>78</v>
      </c>
      <c r="AE1125">
        <v>1.2800000000000001E-2</v>
      </c>
      <c r="AF1125" t="s">
        <v>2591</v>
      </c>
      <c r="AG1125" t="s">
        <v>2590</v>
      </c>
    </row>
    <row r="1126" spans="1:33">
      <c r="A1126" s="2" t="s">
        <v>111</v>
      </c>
      <c r="B1126" s="2" t="s">
        <v>81</v>
      </c>
      <c r="C1126" s="1">
        <v>0.60132418300000001</v>
      </c>
      <c r="D1126">
        <v>0.67605095299999995</v>
      </c>
      <c r="E1126">
        <v>0.74222981799999999</v>
      </c>
      <c r="F1126" s="1" t="s">
        <v>112</v>
      </c>
      <c r="G1126" s="1">
        <v>1.561403509</v>
      </c>
      <c r="H1126" s="1">
        <v>30</v>
      </c>
      <c r="I1126" s="1">
        <v>45.6</v>
      </c>
      <c r="J1126" s="1">
        <v>0.67320165133333332</v>
      </c>
      <c r="K1126" s="1">
        <v>0.50183280699999999</v>
      </c>
      <c r="L1126" s="1">
        <v>0.68550824600000004</v>
      </c>
      <c r="M1126" s="3">
        <v>0.66941488999999998</v>
      </c>
      <c r="N1126" s="1" t="s">
        <v>82</v>
      </c>
      <c r="O1126" s="1">
        <v>1.4359576970000001</v>
      </c>
      <c r="P1126" s="1">
        <v>51</v>
      </c>
      <c r="Q1126" s="1">
        <v>85.1</v>
      </c>
      <c r="R1126" s="1">
        <v>0.61891864766666671</v>
      </c>
      <c r="S1126" s="1">
        <v>0.12365269115108825</v>
      </c>
      <c r="T1126" t="s">
        <v>1273</v>
      </c>
      <c r="U1126" s="1">
        <v>6365</v>
      </c>
      <c r="V1126">
        <f t="shared" si="68"/>
        <v>0.4226442675544082</v>
      </c>
      <c r="W1126" s="1">
        <f t="shared" si="69"/>
        <v>21</v>
      </c>
      <c r="X1126">
        <f t="shared" si="70"/>
        <v>0.12544581199999993</v>
      </c>
      <c r="Y1126">
        <f t="shared" si="71"/>
        <v>39.499999999999993</v>
      </c>
      <c r="Z1126" s="1">
        <v>3</v>
      </c>
      <c r="AA1126">
        <v>97</v>
      </c>
      <c r="AB1126">
        <v>3.09E-2</v>
      </c>
      <c r="AC1126">
        <v>3</v>
      </c>
      <c r="AD1126">
        <v>87</v>
      </c>
      <c r="AE1126">
        <v>3.4500000000000003E-2</v>
      </c>
      <c r="AF1126" t="s">
        <v>2591</v>
      </c>
      <c r="AG1126" t="s">
        <v>2589</v>
      </c>
    </row>
    <row r="1127" spans="1:33">
      <c r="A1127" s="2" t="s">
        <v>111</v>
      </c>
      <c r="B1127" s="2" t="s">
        <v>83</v>
      </c>
      <c r="C1127" s="1">
        <v>0.60132418300000001</v>
      </c>
      <c r="D1127">
        <v>0.67605095299999995</v>
      </c>
      <c r="E1127">
        <v>0.74222981799999999</v>
      </c>
      <c r="F1127" s="1" t="s">
        <v>112</v>
      </c>
      <c r="G1127" s="1">
        <v>1.561403509</v>
      </c>
      <c r="H1127" s="1">
        <v>30</v>
      </c>
      <c r="I1127" s="1">
        <v>45.6</v>
      </c>
      <c r="J1127" s="1">
        <v>0.67320165133333332</v>
      </c>
      <c r="K1127" s="1">
        <v>0.51815179099999997</v>
      </c>
      <c r="L1127" s="1">
        <v>0.50115949400000004</v>
      </c>
      <c r="M1127" s="3">
        <v>0.68053170600000001</v>
      </c>
      <c r="N1127" s="1" t="s">
        <v>84</v>
      </c>
      <c r="O1127" s="1">
        <v>1.760323887</v>
      </c>
      <c r="P1127" s="1">
        <v>83.4</v>
      </c>
      <c r="Q1127" s="1">
        <v>123.5</v>
      </c>
      <c r="R1127" s="1">
        <v>0.56661433033333342</v>
      </c>
      <c r="S1127" s="1">
        <v>0.20325187882653106</v>
      </c>
      <c r="T1127" t="s">
        <v>1274</v>
      </c>
      <c r="U1127" s="1">
        <v>1964</v>
      </c>
      <c r="V1127">
        <f t="shared" si="68"/>
        <v>0.36590460927232565</v>
      </c>
      <c r="W1127" s="1">
        <f t="shared" si="69"/>
        <v>53.400000000000006</v>
      </c>
      <c r="X1127">
        <f t="shared" si="70"/>
        <v>0.19892037799999995</v>
      </c>
      <c r="Y1127">
        <f t="shared" si="71"/>
        <v>77.900000000000006</v>
      </c>
      <c r="Z1127" s="1">
        <v>1</v>
      </c>
      <c r="AA1127">
        <v>99</v>
      </c>
      <c r="AB1127">
        <v>1.01E-2</v>
      </c>
      <c r="AC1127">
        <v>2</v>
      </c>
      <c r="AD1127">
        <v>83</v>
      </c>
      <c r="AE1127">
        <v>2.41E-2</v>
      </c>
      <c r="AF1127" t="s">
        <v>2591</v>
      </c>
      <c r="AG1127" t="s">
        <v>2589</v>
      </c>
    </row>
    <row r="1128" spans="1:33">
      <c r="A1128" s="2" t="s">
        <v>111</v>
      </c>
      <c r="B1128" s="2" t="s">
        <v>85</v>
      </c>
      <c r="C1128" s="1">
        <v>0.60132418300000001</v>
      </c>
      <c r="D1128">
        <v>0.67605095299999995</v>
      </c>
      <c r="E1128">
        <v>0.74222981799999999</v>
      </c>
      <c r="F1128" s="1" t="s">
        <v>112</v>
      </c>
      <c r="G1128" s="1">
        <v>1.561403509</v>
      </c>
      <c r="H1128" s="1">
        <v>30</v>
      </c>
      <c r="I1128" s="1">
        <v>45.6</v>
      </c>
      <c r="J1128" s="1">
        <v>0.67320165133333332</v>
      </c>
      <c r="K1128" s="1">
        <v>0.522280945</v>
      </c>
      <c r="L1128" s="1">
        <v>0.58016629799999997</v>
      </c>
      <c r="M1128" s="3">
        <v>0.62446713499999995</v>
      </c>
      <c r="N1128" s="1" t="s">
        <v>86</v>
      </c>
      <c r="O1128" s="1">
        <v>0.57177615599999998</v>
      </c>
      <c r="P1128" s="1">
        <v>19.5</v>
      </c>
      <c r="Q1128" s="1">
        <v>82.2</v>
      </c>
      <c r="R1128" s="1">
        <v>0.57563812599999997</v>
      </c>
      <c r="S1128" s="1">
        <v>0.17120090550389086</v>
      </c>
      <c r="T1128" t="s">
        <v>1275</v>
      </c>
      <c r="U1128" s="1">
        <v>157</v>
      </c>
      <c r="V1128">
        <f t="shared" si="68"/>
        <v>0.24398885026769263</v>
      </c>
      <c r="W1128" s="1">
        <f t="shared" si="69"/>
        <v>10.5</v>
      </c>
      <c r="X1128">
        <f t="shared" si="70"/>
        <v>0.98962735300000004</v>
      </c>
      <c r="Y1128">
        <f t="shared" si="71"/>
        <v>36.6</v>
      </c>
      <c r="Z1128" s="1">
        <v>1</v>
      </c>
      <c r="AA1128">
        <v>99</v>
      </c>
      <c r="AB1128">
        <v>1.01E-2</v>
      </c>
      <c r="AC1128">
        <v>2</v>
      </c>
      <c r="AD1128">
        <v>148</v>
      </c>
      <c r="AE1128">
        <v>1.35E-2</v>
      </c>
      <c r="AF1128" t="s">
        <v>2591</v>
      </c>
      <c r="AG1128" t="s">
        <v>2590</v>
      </c>
    </row>
    <row r="1129" spans="1:33">
      <c r="A1129" s="2" t="s">
        <v>111</v>
      </c>
      <c r="B1129" s="2" t="s">
        <v>87</v>
      </c>
      <c r="C1129" s="1">
        <v>0.60132418300000001</v>
      </c>
      <c r="D1129">
        <v>0.67605095299999995</v>
      </c>
      <c r="E1129">
        <v>0.74222981799999999</v>
      </c>
      <c r="F1129" s="1" t="s">
        <v>112</v>
      </c>
      <c r="G1129" s="1">
        <v>1.561403509</v>
      </c>
      <c r="H1129" s="1">
        <v>30</v>
      </c>
      <c r="I1129" s="1">
        <v>45.6</v>
      </c>
      <c r="J1129" s="1">
        <v>0.67320165133333332</v>
      </c>
      <c r="K1129" s="1">
        <v>0.46780425199999998</v>
      </c>
      <c r="L1129" s="1">
        <v>0.54149707400000002</v>
      </c>
      <c r="M1129" s="3">
        <v>0.61626236400000001</v>
      </c>
      <c r="N1129" s="1" t="s">
        <v>88</v>
      </c>
      <c r="O1129" s="1">
        <v>1.395454545</v>
      </c>
      <c r="P1129" s="1">
        <v>65.2</v>
      </c>
      <c r="Q1129" s="1">
        <v>110</v>
      </c>
      <c r="R1129" s="1">
        <v>0.54185456333333337</v>
      </c>
      <c r="S1129" s="1">
        <v>0.22759639231638429</v>
      </c>
      <c r="T1129" t="s">
        <v>1276</v>
      </c>
      <c r="U1129" s="1">
        <v>1083</v>
      </c>
      <c r="V1129">
        <f t="shared" si="68"/>
        <v>0.33718093962503559</v>
      </c>
      <c r="W1129" s="1">
        <f t="shared" si="69"/>
        <v>35.200000000000003</v>
      </c>
      <c r="X1129">
        <f t="shared" si="70"/>
        <v>0.16594896400000003</v>
      </c>
      <c r="Y1129">
        <f t="shared" si="71"/>
        <v>64.400000000000006</v>
      </c>
      <c r="Z1129" s="1">
        <v>1</v>
      </c>
      <c r="AA1129">
        <v>99</v>
      </c>
      <c r="AB1129">
        <v>1.01E-2</v>
      </c>
      <c r="AC1129">
        <v>2</v>
      </c>
      <c r="AD1129">
        <v>81</v>
      </c>
      <c r="AE1129">
        <v>2.47E-2</v>
      </c>
      <c r="AF1129" t="s">
        <v>2591</v>
      </c>
      <c r="AG1129" t="s">
        <v>2590</v>
      </c>
    </row>
    <row r="1130" spans="1:33">
      <c r="A1130" s="2" t="s">
        <v>111</v>
      </c>
      <c r="B1130" s="2" t="s">
        <v>89</v>
      </c>
      <c r="C1130" s="1">
        <v>0.60132418300000001</v>
      </c>
      <c r="D1130">
        <v>0.67605095299999995</v>
      </c>
      <c r="E1130">
        <v>0.74222981799999999</v>
      </c>
      <c r="F1130" s="1" t="s">
        <v>112</v>
      </c>
      <c r="G1130" s="1">
        <v>1.561403509</v>
      </c>
      <c r="H1130" s="1">
        <v>30</v>
      </c>
      <c r="I1130" s="1">
        <v>45.6</v>
      </c>
      <c r="J1130" s="1">
        <v>0.67320165133333332</v>
      </c>
      <c r="K1130" s="1">
        <v>0.51097051500000001</v>
      </c>
      <c r="L1130" s="1">
        <v>0.61917891400000002</v>
      </c>
      <c r="M1130" s="3">
        <v>0.60984479800000002</v>
      </c>
      <c r="N1130" s="1" t="s">
        <v>90</v>
      </c>
      <c r="O1130" s="1">
        <v>1.429752066</v>
      </c>
      <c r="P1130" s="1">
        <v>59.8</v>
      </c>
      <c r="Q1130" s="1">
        <v>108.9</v>
      </c>
      <c r="R1130" s="1">
        <v>0.57999807566666661</v>
      </c>
      <c r="S1130" s="1">
        <v>0.17007059611076844</v>
      </c>
      <c r="T1130" t="s">
        <v>1277</v>
      </c>
      <c r="U1130" s="1">
        <v>771</v>
      </c>
      <c r="V1130">
        <f t="shared" si="68"/>
        <v>0.32078381978343962</v>
      </c>
      <c r="W1130" s="1">
        <f t="shared" si="69"/>
        <v>29.799999999999997</v>
      </c>
      <c r="X1130">
        <f t="shared" si="70"/>
        <v>0.13165144299999998</v>
      </c>
      <c r="Y1130">
        <f t="shared" si="71"/>
        <v>63.300000000000004</v>
      </c>
      <c r="Z1130" s="1">
        <v>1</v>
      </c>
      <c r="AA1130">
        <v>99</v>
      </c>
      <c r="AB1130">
        <v>1.01E-2</v>
      </c>
      <c r="AC1130">
        <v>2</v>
      </c>
      <c r="AD1130">
        <v>90</v>
      </c>
      <c r="AE1130">
        <v>2.2200000000000001E-2</v>
      </c>
      <c r="AF1130" t="s">
        <v>2591</v>
      </c>
      <c r="AG1130" t="s">
        <v>2589</v>
      </c>
    </row>
    <row r="1131" spans="1:33">
      <c r="A1131" s="2" t="s">
        <v>111</v>
      </c>
      <c r="B1131" s="2" t="s">
        <v>91</v>
      </c>
      <c r="C1131" s="1">
        <v>0.60132418300000001</v>
      </c>
      <c r="D1131">
        <v>0.67605095299999995</v>
      </c>
      <c r="E1131">
        <v>0.74222981799999999</v>
      </c>
      <c r="F1131" s="1" t="s">
        <v>112</v>
      </c>
      <c r="G1131" s="1">
        <v>1.561403509</v>
      </c>
      <c r="H1131" s="1">
        <v>30</v>
      </c>
      <c r="I1131" s="1">
        <v>45.6</v>
      </c>
      <c r="J1131" s="1">
        <v>0.67320165133333332</v>
      </c>
      <c r="K1131" s="1">
        <v>0.37439919700000002</v>
      </c>
      <c r="L1131" s="1">
        <v>0.508839347</v>
      </c>
      <c r="M1131" s="3">
        <v>0.52701193599999996</v>
      </c>
      <c r="N1131" s="1" t="s">
        <v>92</v>
      </c>
      <c r="O1131" s="1">
        <v>1.911504425</v>
      </c>
      <c r="P1131" s="1">
        <v>24.6</v>
      </c>
      <c r="Q1131" s="1">
        <v>33.9</v>
      </c>
      <c r="R1131" s="1">
        <v>0.47008349333333332</v>
      </c>
      <c r="S1131" s="1">
        <v>0.35464546688878651</v>
      </c>
      <c r="T1131" t="s">
        <v>1278</v>
      </c>
      <c r="U1131" s="1">
        <v>712</v>
      </c>
      <c r="V1131">
        <f t="shared" si="68"/>
        <v>0.31694222151520629</v>
      </c>
      <c r="W1131" s="1">
        <f t="shared" si="69"/>
        <v>5.3999999999999986</v>
      </c>
      <c r="X1131">
        <f t="shared" si="70"/>
        <v>0.35010091599999993</v>
      </c>
      <c r="Y1131">
        <f t="shared" si="71"/>
        <v>11.700000000000003</v>
      </c>
      <c r="Z1131" s="1">
        <v>1</v>
      </c>
      <c r="AA1131">
        <v>99</v>
      </c>
      <c r="AB1131">
        <v>1.01E-2</v>
      </c>
      <c r="AC1131">
        <v>2</v>
      </c>
      <c r="AD1131">
        <v>97</v>
      </c>
      <c r="AE1131">
        <v>2.06E-2</v>
      </c>
      <c r="AF1131" t="s">
        <v>2591</v>
      </c>
      <c r="AG1131" t="s">
        <v>2590</v>
      </c>
    </row>
    <row r="1132" spans="1:33">
      <c r="A1132" s="2" t="s">
        <v>111</v>
      </c>
      <c r="B1132" s="2" t="s">
        <v>93</v>
      </c>
      <c r="C1132" s="1">
        <v>0.60132418300000001</v>
      </c>
      <c r="D1132">
        <v>0.67605095299999995</v>
      </c>
      <c r="E1132">
        <v>0.74222981799999999</v>
      </c>
      <c r="F1132" s="1" t="s">
        <v>112</v>
      </c>
      <c r="G1132" s="1">
        <v>1.561403509</v>
      </c>
      <c r="H1132" s="1">
        <v>30</v>
      </c>
      <c r="I1132" s="1">
        <v>45.6</v>
      </c>
      <c r="J1132" s="1">
        <v>0.67320165133333332</v>
      </c>
      <c r="K1132" s="1">
        <v>0.54134617200000001</v>
      </c>
      <c r="L1132" s="1">
        <v>0.674899633</v>
      </c>
      <c r="M1132" s="3">
        <v>0.719840174</v>
      </c>
      <c r="N1132" s="1" t="s">
        <v>94</v>
      </c>
      <c r="O1132" s="1">
        <v>1.175388967</v>
      </c>
      <c r="P1132" s="1">
        <v>36.6</v>
      </c>
      <c r="Q1132" s="1">
        <v>70.7</v>
      </c>
      <c r="R1132" s="1">
        <v>0.64536199299999997</v>
      </c>
      <c r="S1132" s="1">
        <v>6.4031113528543737E-2</v>
      </c>
      <c r="T1132" t="s">
        <v>1279</v>
      </c>
      <c r="U1132" s="1">
        <v>428</v>
      </c>
      <c r="V1132">
        <f t="shared" si="68"/>
        <v>0.29238264100146361</v>
      </c>
      <c r="W1132" s="1">
        <f t="shared" si="69"/>
        <v>6.6000000000000014</v>
      </c>
      <c r="X1132">
        <f t="shared" si="70"/>
        <v>0.38601454200000007</v>
      </c>
      <c r="Y1132">
        <f t="shared" si="71"/>
        <v>25.1</v>
      </c>
      <c r="Z1132" s="1">
        <v>1</v>
      </c>
      <c r="AA1132">
        <v>99</v>
      </c>
      <c r="AB1132">
        <v>1.01E-2</v>
      </c>
      <c r="AC1132">
        <v>2</v>
      </c>
      <c r="AD1132">
        <v>88</v>
      </c>
      <c r="AE1132">
        <v>2.2700000000000001E-2</v>
      </c>
      <c r="AF1132" t="s">
        <v>2591</v>
      </c>
      <c r="AG1132" t="s">
        <v>2589</v>
      </c>
    </row>
    <row r="1133" spans="1:33">
      <c r="A1133" s="2" t="s">
        <v>111</v>
      </c>
      <c r="B1133" s="2" t="s">
        <v>95</v>
      </c>
      <c r="C1133" s="1">
        <v>0.60132418300000001</v>
      </c>
      <c r="D1133">
        <v>0.67605095299999995</v>
      </c>
      <c r="E1133">
        <v>0.74222981799999999</v>
      </c>
      <c r="F1133" s="1" t="s">
        <v>112</v>
      </c>
      <c r="G1133" s="1">
        <v>1.561403509</v>
      </c>
      <c r="H1133" s="1">
        <v>30</v>
      </c>
      <c r="I1133" s="1">
        <v>45.6</v>
      </c>
      <c r="J1133" s="1">
        <v>0.67320165133333332</v>
      </c>
      <c r="K1133" s="1">
        <v>0.59462093100000002</v>
      </c>
      <c r="L1133" s="1">
        <v>0.68038960500000001</v>
      </c>
      <c r="M1133" s="3">
        <v>0.72533004899999998</v>
      </c>
      <c r="N1133" s="1" t="s">
        <v>96</v>
      </c>
      <c r="O1133" s="1">
        <v>1.9717647060000001</v>
      </c>
      <c r="P1133" s="1">
        <v>34.6</v>
      </c>
      <c r="Q1133" s="1">
        <v>42.5</v>
      </c>
      <c r="R1133" s="1">
        <v>0.66678019499999996</v>
      </c>
      <c r="S1133" s="1">
        <v>1.8691165849298155E-2</v>
      </c>
      <c r="T1133" t="s">
        <v>1280</v>
      </c>
      <c r="U1133" s="1">
        <v>13159</v>
      </c>
      <c r="V1133">
        <f t="shared" si="68"/>
        <v>0.45769143188039813</v>
      </c>
      <c r="W1133" s="1">
        <f t="shared" si="69"/>
        <v>4.6000000000000014</v>
      </c>
      <c r="X1133">
        <f t="shared" si="70"/>
        <v>0.41036119700000007</v>
      </c>
      <c r="Y1133">
        <f t="shared" si="71"/>
        <v>3.1000000000000014</v>
      </c>
      <c r="Z1133" s="1">
        <v>32</v>
      </c>
      <c r="AA1133">
        <v>68</v>
      </c>
      <c r="AB1133">
        <v>0.47060000000000002</v>
      </c>
      <c r="AC1133">
        <v>35</v>
      </c>
      <c r="AD1133">
        <v>61</v>
      </c>
      <c r="AE1133">
        <v>0.57379999999999998</v>
      </c>
      <c r="AF1133" t="s">
        <v>2591</v>
      </c>
      <c r="AG1133" t="s">
        <v>2593</v>
      </c>
    </row>
    <row r="1134" spans="1:33">
      <c r="A1134" s="2" t="s">
        <v>111</v>
      </c>
      <c r="B1134" s="2" t="s">
        <v>97</v>
      </c>
      <c r="C1134" s="1">
        <v>0.60132418300000001</v>
      </c>
      <c r="D1134">
        <v>0.67605095299999995</v>
      </c>
      <c r="E1134">
        <v>0.74222981799999999</v>
      </c>
      <c r="F1134" s="1" t="s">
        <v>112</v>
      </c>
      <c r="G1134" s="1">
        <v>1.561403509</v>
      </c>
      <c r="H1134" s="1">
        <v>30</v>
      </c>
      <c r="I1134" s="1">
        <v>45.6</v>
      </c>
      <c r="J1134" s="1">
        <v>0.67320165133333332</v>
      </c>
      <c r="K1134" s="1">
        <v>0.63674842300000001</v>
      </c>
      <c r="L1134" s="1">
        <v>0.68532635500000005</v>
      </c>
      <c r="M1134" s="3">
        <v>0.727031494</v>
      </c>
      <c r="N1134" s="1" t="s">
        <v>98</v>
      </c>
      <c r="O1134" s="1">
        <v>2.360103627</v>
      </c>
      <c r="P1134" s="1">
        <v>36.799999999999997</v>
      </c>
      <c r="Q1134" s="1">
        <v>38.6</v>
      </c>
      <c r="R1134" s="1">
        <v>0.68303542400000017</v>
      </c>
      <c r="S1134" s="1">
        <v>3.9647180407289762E-2</v>
      </c>
      <c r="T1134" t="s">
        <v>1281</v>
      </c>
      <c r="U1134" s="1">
        <v>11069</v>
      </c>
      <c r="V1134">
        <f t="shared" si="68"/>
        <v>0.44934537638290223</v>
      </c>
      <c r="W1134" s="1">
        <f t="shared" si="69"/>
        <v>6.7999999999999972</v>
      </c>
      <c r="X1134">
        <f t="shared" si="70"/>
        <v>0.79870011799999996</v>
      </c>
      <c r="Y1134">
        <f t="shared" si="71"/>
        <v>7</v>
      </c>
      <c r="Z1134" s="1">
        <v>20</v>
      </c>
      <c r="AA1134">
        <v>80</v>
      </c>
      <c r="AB1134">
        <v>0.25</v>
      </c>
      <c r="AC1134">
        <v>25</v>
      </c>
      <c r="AD1134">
        <v>71</v>
      </c>
      <c r="AE1134">
        <v>0.35210000000000002</v>
      </c>
      <c r="AF1134" t="s">
        <v>2591</v>
      </c>
      <c r="AG1134" t="s">
        <v>2593</v>
      </c>
    </row>
    <row r="1135" spans="1:33">
      <c r="A1135" s="2" t="s">
        <v>111</v>
      </c>
      <c r="B1135" s="2" t="s">
        <v>99</v>
      </c>
      <c r="C1135" s="1">
        <v>0.60132418300000001</v>
      </c>
      <c r="D1135">
        <v>0.67605095299999995</v>
      </c>
      <c r="E1135">
        <v>0.74222981799999999</v>
      </c>
      <c r="F1135" s="1" t="s">
        <v>112</v>
      </c>
      <c r="G1135" s="1">
        <v>1.561403509</v>
      </c>
      <c r="H1135" s="1">
        <v>30</v>
      </c>
      <c r="I1135" s="1">
        <v>45.6</v>
      </c>
      <c r="J1135" s="1">
        <v>0.67320165133333332</v>
      </c>
      <c r="K1135" s="1">
        <v>0.52525630099999998</v>
      </c>
      <c r="L1135" s="1">
        <v>0.68706170200000005</v>
      </c>
      <c r="M1135" s="3">
        <v>0.71473597300000002</v>
      </c>
      <c r="N1135" s="1" t="s">
        <v>100</v>
      </c>
      <c r="O1135" s="1">
        <v>1.72605042</v>
      </c>
      <c r="P1135" s="1">
        <v>46.5</v>
      </c>
      <c r="Q1135" s="1">
        <v>59.5</v>
      </c>
      <c r="R1135" s="1">
        <v>0.64235132533333339</v>
      </c>
      <c r="S1135" s="1">
        <v>8.163008500786309E-2</v>
      </c>
      <c r="T1135" t="s">
        <v>1282</v>
      </c>
      <c r="U1135" s="1">
        <v>353</v>
      </c>
      <c r="V1135">
        <f t="shared" si="68"/>
        <v>0.28308607837642469</v>
      </c>
      <c r="W1135" s="1">
        <f t="shared" si="69"/>
        <v>16.5</v>
      </c>
      <c r="X1135">
        <f t="shared" si="70"/>
        <v>0.16464691099999995</v>
      </c>
      <c r="Y1135">
        <f t="shared" si="71"/>
        <v>13.899999999999999</v>
      </c>
      <c r="Z1135" s="1">
        <v>0</v>
      </c>
      <c r="AA1135">
        <v>100</v>
      </c>
      <c r="AB1135">
        <v>0</v>
      </c>
      <c r="AC1135">
        <v>0</v>
      </c>
      <c r="AD1135">
        <v>98</v>
      </c>
      <c r="AE1135">
        <v>0</v>
      </c>
      <c r="AF1135" t="s">
        <v>2591</v>
      </c>
      <c r="AG1135" t="s">
        <v>2589</v>
      </c>
    </row>
    <row r="1136" spans="1:33">
      <c r="A1136" s="2" t="s">
        <v>111</v>
      </c>
      <c r="B1136" s="2" t="s">
        <v>148</v>
      </c>
      <c r="C1136" s="1">
        <v>0.60132418300000001</v>
      </c>
      <c r="D1136">
        <v>0.67605095299999995</v>
      </c>
      <c r="E1136">
        <v>0.74222981799999999</v>
      </c>
      <c r="F1136" s="1" t="s">
        <v>112</v>
      </c>
      <c r="G1136" s="1">
        <v>1.561403509</v>
      </c>
      <c r="H1136" s="1">
        <v>30</v>
      </c>
      <c r="I1136" s="1">
        <v>45.6</v>
      </c>
      <c r="J1136" s="1">
        <v>0.67320165133333332</v>
      </c>
      <c r="K1136" s="1">
        <v>0.52246277500000005</v>
      </c>
      <c r="L1136" s="1">
        <v>0.64036274199999998</v>
      </c>
      <c r="M1136" s="3">
        <v>0.62317592099999997</v>
      </c>
      <c r="N1136" s="1" t="s">
        <v>149</v>
      </c>
      <c r="O1136" s="1">
        <v>1.201000834</v>
      </c>
      <c r="P1136" s="1">
        <v>59.2</v>
      </c>
      <c r="Q1136" s="1">
        <v>119.9</v>
      </c>
      <c r="R1136" s="1">
        <v>0.59533381266666663</v>
      </c>
      <c r="S1136" s="1">
        <v>0.14719578956957155</v>
      </c>
      <c r="T1136" t="s">
        <v>1288</v>
      </c>
      <c r="U1136" s="1">
        <v>1272</v>
      </c>
      <c r="V1136">
        <f t="shared" si="68"/>
        <v>0.34494301236804392</v>
      </c>
      <c r="W1136" s="1">
        <f t="shared" si="69"/>
        <v>29.200000000000003</v>
      </c>
      <c r="X1136">
        <f t="shared" si="70"/>
        <v>0.36040267500000001</v>
      </c>
      <c r="Y1136">
        <f t="shared" si="71"/>
        <v>74.300000000000011</v>
      </c>
      <c r="Z1136" s="1">
        <v>1</v>
      </c>
      <c r="AA1136">
        <v>99</v>
      </c>
      <c r="AB1136">
        <v>1.01E-2</v>
      </c>
      <c r="AC1136">
        <v>2</v>
      </c>
      <c r="AD1136">
        <v>91</v>
      </c>
      <c r="AE1136">
        <v>2.1999999999999999E-2</v>
      </c>
      <c r="AF1136" t="s">
        <v>2591</v>
      </c>
      <c r="AG1136" t="s">
        <v>2589</v>
      </c>
    </row>
    <row r="1137" spans="1:33">
      <c r="A1137" s="2" t="s">
        <v>111</v>
      </c>
      <c r="B1137" s="2" t="s">
        <v>101</v>
      </c>
      <c r="C1137" s="1">
        <v>0.60132418300000001</v>
      </c>
      <c r="D1137">
        <v>0.67605095299999995</v>
      </c>
      <c r="E1137">
        <v>0.74222981799999999</v>
      </c>
      <c r="F1137" s="1" t="s">
        <v>112</v>
      </c>
      <c r="G1137" s="1">
        <v>1.561403509</v>
      </c>
      <c r="H1137" s="1">
        <v>30</v>
      </c>
      <c r="I1137" s="1">
        <v>45.6</v>
      </c>
      <c r="J1137" s="1">
        <v>0.67320165133333332</v>
      </c>
      <c r="K1137" s="1">
        <v>0.57277697599999999</v>
      </c>
      <c r="L1137" s="1">
        <v>0.64568820599999999</v>
      </c>
      <c r="M1137" s="3">
        <v>0.70909993500000001</v>
      </c>
      <c r="N1137" s="1" t="s">
        <v>102</v>
      </c>
      <c r="O1137" s="1">
        <v>1.2818181820000001</v>
      </c>
      <c r="P1137" s="1">
        <v>58</v>
      </c>
      <c r="Q1137" s="1">
        <v>110</v>
      </c>
      <c r="R1137" s="1">
        <v>0.64252170566666666</v>
      </c>
      <c r="S1137" s="1">
        <v>5.3239351803722627E-2</v>
      </c>
      <c r="T1137" t="s">
        <v>1283</v>
      </c>
      <c r="U1137" s="1">
        <v>1257</v>
      </c>
      <c r="V1137">
        <f t="shared" si="68"/>
        <v>0.34437058640955087</v>
      </c>
      <c r="W1137" s="1">
        <f t="shared" si="69"/>
        <v>28</v>
      </c>
      <c r="X1137">
        <f t="shared" si="70"/>
        <v>0.27958532699999994</v>
      </c>
      <c r="Y1137">
        <f t="shared" si="71"/>
        <v>64.400000000000006</v>
      </c>
      <c r="Z1137" s="1">
        <v>2</v>
      </c>
      <c r="AA1137">
        <v>98</v>
      </c>
      <c r="AB1137">
        <v>2.0400000000000001E-2</v>
      </c>
      <c r="AC1137">
        <v>3</v>
      </c>
      <c r="AD1137">
        <v>88</v>
      </c>
      <c r="AE1137">
        <v>3.4099999999999998E-2</v>
      </c>
      <c r="AF1137" t="s">
        <v>2591</v>
      </c>
      <c r="AG1137" t="s">
        <v>2589</v>
      </c>
    </row>
    <row r="1138" spans="1:33">
      <c r="A1138" s="2" t="s">
        <v>111</v>
      </c>
      <c r="B1138" s="2" t="s">
        <v>103</v>
      </c>
      <c r="C1138" s="1">
        <v>0.60132418300000001</v>
      </c>
      <c r="D1138">
        <v>0.67605095299999995</v>
      </c>
      <c r="E1138">
        <v>0.74222981799999999</v>
      </c>
      <c r="F1138" s="1" t="s">
        <v>112</v>
      </c>
      <c r="G1138" s="1">
        <v>1.561403509</v>
      </c>
      <c r="H1138" s="1">
        <v>30</v>
      </c>
      <c r="I1138" s="1">
        <v>45.6</v>
      </c>
      <c r="J1138" s="1">
        <v>0.67320165133333332</v>
      </c>
      <c r="K1138" s="1">
        <v>0.58538445800000005</v>
      </c>
      <c r="L1138" s="1">
        <v>0.70461059999999998</v>
      </c>
      <c r="M1138" s="3">
        <v>0.67846608399999997</v>
      </c>
      <c r="N1138" s="1" t="s">
        <v>104</v>
      </c>
      <c r="O1138" s="1">
        <v>1.1020080320000001</v>
      </c>
      <c r="P1138" s="1">
        <v>58.7</v>
      </c>
      <c r="Q1138" s="1">
        <v>124.5</v>
      </c>
      <c r="R1138" s="1">
        <v>0.65615371400000011</v>
      </c>
      <c r="S1138" s="1">
        <v>7.166269631728206E-2</v>
      </c>
      <c r="T1138" t="s">
        <v>1284</v>
      </c>
      <c r="U1138" s="1">
        <v>512</v>
      </c>
      <c r="V1138">
        <f t="shared" si="68"/>
        <v>0.3010299956639812</v>
      </c>
      <c r="W1138" s="1">
        <f t="shared" si="69"/>
        <v>28.700000000000003</v>
      </c>
      <c r="X1138">
        <f t="shared" si="70"/>
        <v>0.45939547699999994</v>
      </c>
      <c r="Y1138">
        <f t="shared" si="71"/>
        <v>78.900000000000006</v>
      </c>
      <c r="Z1138" s="1">
        <v>0</v>
      </c>
      <c r="AA1138">
        <v>100</v>
      </c>
      <c r="AB1138">
        <v>0</v>
      </c>
      <c r="AC1138">
        <v>1</v>
      </c>
      <c r="AD1138">
        <v>91</v>
      </c>
      <c r="AE1138">
        <v>1.0999999999999999E-2</v>
      </c>
      <c r="AF1138" t="s">
        <v>2591</v>
      </c>
      <c r="AG1138" t="s">
        <v>2589</v>
      </c>
    </row>
    <row r="1139" spans="1:33">
      <c r="A1139" s="2" t="s">
        <v>111</v>
      </c>
      <c r="B1139" s="2" t="s">
        <v>105</v>
      </c>
      <c r="C1139" s="1">
        <v>0.60132418300000001</v>
      </c>
      <c r="D1139">
        <v>0.67605095299999995</v>
      </c>
      <c r="E1139">
        <v>0.74222981799999999</v>
      </c>
      <c r="F1139" s="1" t="s">
        <v>112</v>
      </c>
      <c r="G1139" s="1">
        <v>1.561403509</v>
      </c>
      <c r="H1139" s="1">
        <v>30</v>
      </c>
      <c r="I1139" s="1">
        <v>45.6</v>
      </c>
      <c r="J1139" s="1">
        <v>0.67320165133333332</v>
      </c>
      <c r="K1139" s="1">
        <v>0.56210716000000005</v>
      </c>
      <c r="L1139" s="1">
        <v>0.68032504299999996</v>
      </c>
      <c r="M1139" s="3">
        <v>0.71115907899999997</v>
      </c>
      <c r="N1139" s="1" t="s">
        <v>106</v>
      </c>
      <c r="O1139" s="1">
        <v>1.0978593270000001</v>
      </c>
      <c r="P1139" s="1">
        <v>43.5</v>
      </c>
      <c r="Q1139" s="1">
        <v>98.1</v>
      </c>
      <c r="R1139" s="1">
        <v>0.65119709399999992</v>
      </c>
      <c r="S1139" s="1">
        <v>5.0215869606298244E-2</v>
      </c>
      <c r="T1139" t="s">
        <v>1285</v>
      </c>
      <c r="U1139" s="1">
        <v>47428</v>
      </c>
      <c r="V1139">
        <f t="shared" si="68"/>
        <v>0.51955942346606898</v>
      </c>
      <c r="W1139" s="1">
        <f t="shared" si="69"/>
        <v>13.5</v>
      </c>
      <c r="X1139">
        <f t="shared" si="70"/>
        <v>0.46354418199999992</v>
      </c>
      <c r="Y1139">
        <f t="shared" si="71"/>
        <v>52.499999999999993</v>
      </c>
      <c r="Z1139" s="1">
        <v>15</v>
      </c>
      <c r="AA1139">
        <v>85</v>
      </c>
      <c r="AB1139">
        <v>0.17649999999999999</v>
      </c>
      <c r="AC1139">
        <v>15</v>
      </c>
      <c r="AD1139">
        <v>95</v>
      </c>
      <c r="AE1139">
        <v>0.15790000000000001</v>
      </c>
      <c r="AF1139" t="s">
        <v>2591</v>
      </c>
      <c r="AG1139" t="s">
        <v>2589</v>
      </c>
    </row>
    <row r="1140" spans="1:33">
      <c r="A1140" s="2" t="s">
        <v>111</v>
      </c>
      <c r="B1140" s="2" t="s">
        <v>107</v>
      </c>
      <c r="C1140" s="1">
        <v>0.60132418300000001</v>
      </c>
      <c r="D1140">
        <v>0.67605095299999995</v>
      </c>
      <c r="E1140">
        <v>0.74222981799999999</v>
      </c>
      <c r="F1140" s="1" t="s">
        <v>112</v>
      </c>
      <c r="G1140" s="1">
        <v>1.561403509</v>
      </c>
      <c r="H1140" s="1">
        <v>30</v>
      </c>
      <c r="I1140" s="1">
        <v>45.6</v>
      </c>
      <c r="J1140" s="1">
        <v>0.67320165133333332</v>
      </c>
      <c r="K1140" s="1">
        <v>0.61734740899999996</v>
      </c>
      <c r="L1140" s="1">
        <v>0.68293216999999995</v>
      </c>
      <c r="M1140" s="3">
        <v>0.69981194099999999</v>
      </c>
      <c r="N1140" s="1" t="s">
        <v>108</v>
      </c>
      <c r="O1140" s="1">
        <v>2</v>
      </c>
      <c r="P1140" s="1">
        <v>19</v>
      </c>
      <c r="Q1140" s="1">
        <v>21.1</v>
      </c>
      <c r="R1140" s="1">
        <v>0.66669717333333323</v>
      </c>
      <c r="S1140" s="1">
        <v>4.5862525094408961E-2</v>
      </c>
      <c r="T1140" t="s">
        <v>1286</v>
      </c>
      <c r="U1140" s="1">
        <v>431</v>
      </c>
      <c r="V1140">
        <f t="shared" si="68"/>
        <v>0.29271969668452574</v>
      </c>
      <c r="W1140" s="1">
        <f t="shared" si="69"/>
        <v>11</v>
      </c>
      <c r="X1140">
        <f t="shared" si="70"/>
        <v>0.43859649099999998</v>
      </c>
      <c r="Y1140">
        <f t="shared" si="71"/>
        <v>24.5</v>
      </c>
      <c r="Z1140" s="1">
        <v>0</v>
      </c>
      <c r="AA1140">
        <v>100</v>
      </c>
      <c r="AB1140">
        <v>0</v>
      </c>
      <c r="AC1140">
        <v>0</v>
      </c>
      <c r="AD1140">
        <v>86</v>
      </c>
      <c r="AE1140">
        <v>0</v>
      </c>
      <c r="AF1140" t="s">
        <v>2591</v>
      </c>
      <c r="AG1140" t="s">
        <v>2588</v>
      </c>
    </row>
    <row r="1141" spans="1:33">
      <c r="A1141" s="2" t="s">
        <v>111</v>
      </c>
      <c r="B1141" s="2" t="s">
        <v>109</v>
      </c>
      <c r="C1141" s="1">
        <v>0.60132418300000001</v>
      </c>
      <c r="D1141">
        <v>0.67605095299999995</v>
      </c>
      <c r="E1141">
        <v>0.74222981799999999</v>
      </c>
      <c r="F1141" s="1" t="s">
        <v>112</v>
      </c>
      <c r="G1141" s="1">
        <v>1.561403509</v>
      </c>
      <c r="H1141" s="1">
        <v>30</v>
      </c>
      <c r="I1141" s="1">
        <v>45.6</v>
      </c>
      <c r="J1141" s="1">
        <v>0.67320165133333332</v>
      </c>
      <c r="K1141" s="1">
        <v>0.51638908800000005</v>
      </c>
      <c r="L1141" s="1">
        <v>0.68684605300000001</v>
      </c>
      <c r="M1141" s="3">
        <v>0.66065444600000001</v>
      </c>
      <c r="N1141" s="1" t="s">
        <v>110</v>
      </c>
      <c r="O1141" s="1">
        <v>1.2897862229999999</v>
      </c>
      <c r="P1141" s="1">
        <v>49.4</v>
      </c>
      <c r="Q1141" s="1">
        <v>84.2</v>
      </c>
      <c r="R1141" s="1">
        <v>0.62129652899999999</v>
      </c>
      <c r="S1141" s="1">
        <v>0.11825838601810613</v>
      </c>
      <c r="T1141" t="s">
        <v>1287</v>
      </c>
      <c r="U1141" s="1">
        <v>380</v>
      </c>
      <c r="V1141">
        <f t="shared" si="68"/>
        <v>0.28664262184631223</v>
      </c>
      <c r="W1141" s="1">
        <f t="shared" si="69"/>
        <v>19.399999999999999</v>
      </c>
      <c r="X1141">
        <f t="shared" si="70"/>
        <v>0.27161728600000012</v>
      </c>
      <c r="Y1141">
        <f t="shared" si="71"/>
        <v>38.6</v>
      </c>
      <c r="Z1141" s="1">
        <v>1</v>
      </c>
      <c r="AA1141">
        <v>99</v>
      </c>
      <c r="AB1141">
        <v>1.01E-2</v>
      </c>
      <c r="AC1141">
        <v>2</v>
      </c>
      <c r="AD1141">
        <v>105</v>
      </c>
      <c r="AE1141">
        <v>1.9E-2</v>
      </c>
      <c r="AF1141" t="s">
        <v>2591</v>
      </c>
      <c r="AG1141" t="s">
        <v>2589</v>
      </c>
    </row>
    <row r="1142" spans="1:33">
      <c r="A1142" s="2" t="s">
        <v>109</v>
      </c>
      <c r="B1142" s="2" t="s">
        <v>10</v>
      </c>
      <c r="C1142" s="1">
        <v>0.51638908800000005</v>
      </c>
      <c r="D1142">
        <v>0.68684605300000001</v>
      </c>
      <c r="E1142">
        <v>0.66065444600000001</v>
      </c>
      <c r="F1142" s="1" t="s">
        <v>110</v>
      </c>
      <c r="G1142" s="1">
        <v>1.2897862229999999</v>
      </c>
      <c r="H1142" s="1">
        <v>49.4</v>
      </c>
      <c r="I1142" s="1">
        <v>84.2</v>
      </c>
      <c r="J1142" s="1">
        <v>0.62129652899999999</v>
      </c>
      <c r="K1142" s="1">
        <v>0.52456325500000001</v>
      </c>
      <c r="L1142" s="1">
        <v>0.61925627999999999</v>
      </c>
      <c r="M1142" s="3">
        <v>0.72111139899999999</v>
      </c>
      <c r="N1142" s="1" t="s">
        <v>12</v>
      </c>
      <c r="O1142" s="1">
        <v>0.61690647499999995</v>
      </c>
      <c r="P1142" s="1">
        <v>30</v>
      </c>
      <c r="Q1142" s="1">
        <v>111.2</v>
      </c>
      <c r="R1142" s="1">
        <v>0.62164364466666666</v>
      </c>
      <c r="S1142" s="1">
        <v>9.1050741822236839E-2</v>
      </c>
      <c r="T1142" t="s">
        <v>1289</v>
      </c>
      <c r="U1142" s="1">
        <v>501</v>
      </c>
      <c r="V1142">
        <f t="shared" si="68"/>
        <v>0.29998196954080508</v>
      </c>
      <c r="W1142" s="1">
        <f t="shared" si="69"/>
        <v>19.399999999999999</v>
      </c>
      <c r="X1142">
        <f t="shared" si="70"/>
        <v>0.67287974799999994</v>
      </c>
      <c r="Y1142">
        <f t="shared" si="71"/>
        <v>27</v>
      </c>
      <c r="Z1142" s="1">
        <v>5</v>
      </c>
      <c r="AA1142">
        <v>95</v>
      </c>
      <c r="AB1142">
        <v>5.2600000000000001E-2</v>
      </c>
      <c r="AC1142">
        <v>6</v>
      </c>
      <c r="AD1142">
        <v>157</v>
      </c>
      <c r="AE1142">
        <v>3.8199999999999998E-2</v>
      </c>
      <c r="AF1142" t="s">
        <v>2589</v>
      </c>
      <c r="AG1142" t="s">
        <v>2588</v>
      </c>
    </row>
    <row r="1143" spans="1:33">
      <c r="A1143" s="2" t="s">
        <v>109</v>
      </c>
      <c r="B1143" s="2" t="s">
        <v>13</v>
      </c>
      <c r="C1143" s="1">
        <v>0.51638908800000005</v>
      </c>
      <c r="D1143">
        <v>0.68684605300000001</v>
      </c>
      <c r="E1143">
        <v>0.66065444600000001</v>
      </c>
      <c r="F1143" s="1" t="s">
        <v>110</v>
      </c>
      <c r="G1143" s="1">
        <v>1.2897862229999999</v>
      </c>
      <c r="H1143" s="1">
        <v>49.4</v>
      </c>
      <c r="I1143" s="1">
        <v>84.2</v>
      </c>
      <c r="J1143" s="1">
        <v>0.62129652899999999</v>
      </c>
      <c r="K1143" s="1">
        <v>0.48695497399999998</v>
      </c>
      <c r="L1143" s="1">
        <v>0.54991327199999995</v>
      </c>
      <c r="M1143" s="3">
        <v>0.67282609299999996</v>
      </c>
      <c r="N1143" s="1" t="s">
        <v>14</v>
      </c>
      <c r="O1143" s="1">
        <v>1.6052009460000001</v>
      </c>
      <c r="P1143" s="1">
        <v>26.6</v>
      </c>
      <c r="Q1143" s="1">
        <v>42.3</v>
      </c>
      <c r="R1143" s="1">
        <v>0.56989811299999993</v>
      </c>
      <c r="S1143" s="1">
        <v>0.14058841549022305</v>
      </c>
      <c r="T1143" t="s">
        <v>1290</v>
      </c>
      <c r="U1143" s="1">
        <v>217</v>
      </c>
      <c r="V1143">
        <f t="shared" si="68"/>
        <v>0.25960663709428106</v>
      </c>
      <c r="W1143" s="1">
        <f t="shared" si="69"/>
        <v>22.799999999999997</v>
      </c>
      <c r="X1143">
        <f t="shared" si="70"/>
        <v>0.31541472300000017</v>
      </c>
      <c r="Y1143">
        <f t="shared" si="71"/>
        <v>41.900000000000006</v>
      </c>
      <c r="Z1143" s="1">
        <v>1</v>
      </c>
      <c r="AA1143">
        <v>99</v>
      </c>
      <c r="AB1143">
        <v>1.01E-2</v>
      </c>
      <c r="AC1143">
        <v>2</v>
      </c>
      <c r="AD1143">
        <v>108</v>
      </c>
      <c r="AE1143">
        <v>1.8499999999999999E-2</v>
      </c>
      <c r="AF1143" t="s">
        <v>2589</v>
      </c>
      <c r="AG1143" t="s">
        <v>2590</v>
      </c>
    </row>
    <row r="1144" spans="1:33">
      <c r="A1144" s="2" t="s">
        <v>109</v>
      </c>
      <c r="B1144" s="2" t="s">
        <v>15</v>
      </c>
      <c r="C1144" s="1">
        <v>0.51638908800000005</v>
      </c>
      <c r="D1144">
        <v>0.68684605300000001</v>
      </c>
      <c r="E1144">
        <v>0.66065444600000001</v>
      </c>
      <c r="F1144" s="1" t="s">
        <v>110</v>
      </c>
      <c r="G1144" s="1">
        <v>1.2897862229999999</v>
      </c>
      <c r="H1144" s="1">
        <v>49.4</v>
      </c>
      <c r="I1144" s="1">
        <v>84.2</v>
      </c>
      <c r="J1144" s="1">
        <v>0.62129652899999999</v>
      </c>
      <c r="K1144" s="1">
        <v>0.54560998800000005</v>
      </c>
      <c r="L1144" s="1">
        <v>0.66721428400000005</v>
      </c>
      <c r="M1144" s="3">
        <v>0.72650398400000005</v>
      </c>
      <c r="N1144" s="1" t="s">
        <v>16</v>
      </c>
      <c r="O1144" s="1">
        <v>5.1392405060000002</v>
      </c>
      <c r="P1144" s="1">
        <v>35.9</v>
      </c>
      <c r="Q1144" s="1">
        <v>15.8</v>
      </c>
      <c r="R1144" s="1">
        <v>0.64644275200000012</v>
      </c>
      <c r="S1144" s="1">
        <v>7.4668795394681492E-2</v>
      </c>
      <c r="T1144" t="s">
        <v>1291</v>
      </c>
      <c r="U1144" s="1">
        <v>389</v>
      </c>
      <c r="V1144">
        <f t="shared" si="68"/>
        <v>0.28777217792507864</v>
      </c>
      <c r="W1144" s="1">
        <f t="shared" si="69"/>
        <v>13.5</v>
      </c>
      <c r="X1144">
        <f t="shared" si="70"/>
        <v>3.849454283</v>
      </c>
      <c r="Y1144">
        <f t="shared" si="71"/>
        <v>68.400000000000006</v>
      </c>
      <c r="Z1144" s="1">
        <v>0</v>
      </c>
      <c r="AA1144">
        <v>100</v>
      </c>
      <c r="AB1144">
        <v>0</v>
      </c>
      <c r="AC1144">
        <v>0</v>
      </c>
      <c r="AD1144">
        <v>106</v>
      </c>
      <c r="AE1144">
        <v>0</v>
      </c>
      <c r="AF1144" t="s">
        <v>2589</v>
      </c>
      <c r="AG1144" t="s">
        <v>2591</v>
      </c>
    </row>
    <row r="1145" spans="1:33">
      <c r="A1145" s="2" t="s">
        <v>109</v>
      </c>
      <c r="B1145" s="2" t="s">
        <v>17</v>
      </c>
      <c r="C1145" s="1">
        <v>0.51638908800000005</v>
      </c>
      <c r="D1145">
        <v>0.68684605300000001</v>
      </c>
      <c r="E1145">
        <v>0.66065444600000001</v>
      </c>
      <c r="F1145" s="1" t="s">
        <v>110</v>
      </c>
      <c r="G1145" s="1">
        <v>1.2897862229999999</v>
      </c>
      <c r="H1145" s="1">
        <v>49.4</v>
      </c>
      <c r="I1145" s="1">
        <v>84.2</v>
      </c>
      <c r="J1145" s="1">
        <v>0.62129652899999999</v>
      </c>
      <c r="K1145" s="1">
        <v>0.659112378</v>
      </c>
      <c r="L1145" s="1">
        <v>0.68333493499999998</v>
      </c>
      <c r="M1145" s="3">
        <v>0.70345495199999997</v>
      </c>
      <c r="N1145" s="1" t="s">
        <v>18</v>
      </c>
      <c r="O1145" s="1">
        <v>1.9463955639999999</v>
      </c>
      <c r="P1145" s="1">
        <v>46.3</v>
      </c>
      <c r="Q1145" s="1">
        <v>54.1</v>
      </c>
      <c r="R1145" s="1">
        <v>0.68196742166666668</v>
      </c>
      <c r="S1145" s="1">
        <v>0.14904411686440375</v>
      </c>
      <c r="T1145" t="s">
        <v>1292</v>
      </c>
      <c r="U1145" s="1">
        <v>1398</v>
      </c>
      <c r="V1145">
        <f t="shared" si="68"/>
        <v>0.34950079682329588</v>
      </c>
      <c r="W1145" s="1">
        <f t="shared" si="69"/>
        <v>3.1000000000000014</v>
      </c>
      <c r="X1145">
        <f t="shared" si="70"/>
        <v>0.65660934100000001</v>
      </c>
      <c r="Y1145">
        <f t="shared" si="71"/>
        <v>30.1</v>
      </c>
      <c r="Z1145" s="1">
        <v>0</v>
      </c>
      <c r="AA1145">
        <v>100</v>
      </c>
      <c r="AB1145">
        <v>0</v>
      </c>
      <c r="AC1145">
        <v>0</v>
      </c>
      <c r="AD1145">
        <v>120</v>
      </c>
      <c r="AE1145">
        <v>0</v>
      </c>
      <c r="AF1145" t="s">
        <v>2589</v>
      </c>
      <c r="AG1145" t="s">
        <v>2591</v>
      </c>
    </row>
    <row r="1146" spans="1:33">
      <c r="A1146" s="2" t="s">
        <v>109</v>
      </c>
      <c r="B1146" s="2" t="s">
        <v>19</v>
      </c>
      <c r="C1146" s="1">
        <v>0.51638908800000005</v>
      </c>
      <c r="D1146">
        <v>0.68684605300000001</v>
      </c>
      <c r="E1146">
        <v>0.66065444600000001</v>
      </c>
      <c r="F1146" s="1" t="s">
        <v>110</v>
      </c>
      <c r="G1146" s="1">
        <v>1.2897862229999999</v>
      </c>
      <c r="H1146" s="1">
        <v>49.4</v>
      </c>
      <c r="I1146" s="1">
        <v>84.2</v>
      </c>
      <c r="J1146" s="1">
        <v>0.62129652899999999</v>
      </c>
      <c r="K1146" s="1">
        <v>0.49391595300000002</v>
      </c>
      <c r="L1146" s="1">
        <v>0.603599314</v>
      </c>
      <c r="M1146" s="3">
        <v>0.63481471599999995</v>
      </c>
      <c r="N1146" s="1" t="s">
        <v>20</v>
      </c>
      <c r="O1146" s="1">
        <v>1.2140902870000001</v>
      </c>
      <c r="P1146" s="1">
        <v>64.900000000000006</v>
      </c>
      <c r="Q1146" s="1">
        <v>146.19999999999999</v>
      </c>
      <c r="R1146" s="1">
        <v>0.57744332766666662</v>
      </c>
      <c r="S1146" s="1">
        <v>9.0015293130307872E-2</v>
      </c>
      <c r="T1146" t="s">
        <v>1293</v>
      </c>
      <c r="U1146" s="1">
        <v>2685</v>
      </c>
      <c r="V1146">
        <f t="shared" si="68"/>
        <v>0.38099381000395272</v>
      </c>
      <c r="W1146" s="1">
        <f t="shared" si="69"/>
        <v>15.500000000000007</v>
      </c>
      <c r="X1146">
        <f t="shared" si="70"/>
        <v>7.5695935999999797E-2</v>
      </c>
      <c r="Y1146">
        <f t="shared" si="71"/>
        <v>61.999999999999986</v>
      </c>
      <c r="Z1146" s="1">
        <v>17</v>
      </c>
      <c r="AA1146">
        <v>83</v>
      </c>
      <c r="AB1146">
        <v>0.20480000000000001</v>
      </c>
      <c r="AC1146">
        <v>18</v>
      </c>
      <c r="AD1146">
        <v>82</v>
      </c>
      <c r="AE1146">
        <v>0.2195</v>
      </c>
      <c r="AF1146" t="s">
        <v>2589</v>
      </c>
      <c r="AG1146" t="s">
        <v>2593</v>
      </c>
    </row>
    <row r="1147" spans="1:33">
      <c r="A1147" s="2" t="s">
        <v>109</v>
      </c>
      <c r="B1147" s="2" t="s">
        <v>21</v>
      </c>
      <c r="C1147" s="1">
        <v>0.51638908800000005</v>
      </c>
      <c r="D1147">
        <v>0.68684605300000001</v>
      </c>
      <c r="E1147">
        <v>0.66065444600000001</v>
      </c>
      <c r="F1147" s="1" t="s">
        <v>110</v>
      </c>
      <c r="G1147" s="1">
        <v>1.2897862229999999</v>
      </c>
      <c r="H1147" s="1">
        <v>49.4</v>
      </c>
      <c r="I1147" s="1">
        <v>84.2</v>
      </c>
      <c r="J1147" s="1">
        <v>0.62129652899999999</v>
      </c>
      <c r="K1147" s="1">
        <v>0.53276376800000003</v>
      </c>
      <c r="L1147" s="1">
        <v>0.65428149899999999</v>
      </c>
      <c r="M1147" s="3">
        <v>0.70160154799999996</v>
      </c>
      <c r="N1147" s="1" t="s">
        <v>22</v>
      </c>
      <c r="O1147" s="1">
        <v>1.2440604749999999</v>
      </c>
      <c r="P1147" s="1">
        <v>24.6</v>
      </c>
      <c r="Q1147" s="1">
        <v>46.3</v>
      </c>
      <c r="R1147" s="1">
        <v>0.62954893833333336</v>
      </c>
      <c r="S1147" s="1">
        <v>5.4820119340619068E-2</v>
      </c>
      <c r="T1147" t="s">
        <v>1294</v>
      </c>
      <c r="U1147" s="1">
        <v>80456</v>
      </c>
      <c r="V1147">
        <f t="shared" si="68"/>
        <v>0.5450620485689196</v>
      </c>
      <c r="W1147" s="1">
        <f t="shared" si="69"/>
        <v>24.799999999999997</v>
      </c>
      <c r="X1147">
        <f t="shared" si="70"/>
        <v>4.5725747999999955E-2</v>
      </c>
      <c r="Y1147">
        <f t="shared" si="71"/>
        <v>37.900000000000006</v>
      </c>
      <c r="Z1147" s="1">
        <v>7</v>
      </c>
      <c r="AA1147">
        <v>93</v>
      </c>
      <c r="AB1147">
        <v>7.5300000000000006E-2</v>
      </c>
      <c r="AC1147">
        <v>8</v>
      </c>
      <c r="AD1147">
        <v>98</v>
      </c>
      <c r="AE1147">
        <v>8.1600000000000006E-2</v>
      </c>
      <c r="AF1147" t="s">
        <v>2589</v>
      </c>
      <c r="AG1147" t="s">
        <v>2589</v>
      </c>
    </row>
    <row r="1148" spans="1:33">
      <c r="A1148" s="2" t="s">
        <v>109</v>
      </c>
      <c r="B1148" s="2" t="s">
        <v>23</v>
      </c>
      <c r="C1148" s="1">
        <v>0.51638908800000005</v>
      </c>
      <c r="D1148">
        <v>0.68684605300000001</v>
      </c>
      <c r="E1148">
        <v>0.66065444600000001</v>
      </c>
      <c r="F1148" s="1" t="s">
        <v>110</v>
      </c>
      <c r="G1148" s="1">
        <v>1.2897862229999999</v>
      </c>
      <c r="H1148" s="1">
        <v>49.4</v>
      </c>
      <c r="I1148" s="1">
        <v>84.2</v>
      </c>
      <c r="J1148" s="1">
        <v>0.62129652899999999</v>
      </c>
      <c r="K1148" s="1">
        <v>0.49415677200000002</v>
      </c>
      <c r="L1148" s="1">
        <v>0.62090818999999997</v>
      </c>
      <c r="M1148" s="3">
        <v>0.63381026900000004</v>
      </c>
      <c r="N1148" s="1" t="s">
        <v>24</v>
      </c>
      <c r="O1148" s="1">
        <v>1.141304348</v>
      </c>
      <c r="P1148" s="1">
        <v>44.4</v>
      </c>
      <c r="Q1148" s="1">
        <v>101.2</v>
      </c>
      <c r="R1148" s="1">
        <v>0.58295841033333329</v>
      </c>
      <c r="S1148" s="1">
        <v>7.4583426379712256E-2</v>
      </c>
      <c r="T1148" t="s">
        <v>1295</v>
      </c>
      <c r="U1148" s="1">
        <v>666</v>
      </c>
      <c r="V1148">
        <f t="shared" si="68"/>
        <v>0.3137193587967001</v>
      </c>
      <c r="W1148" s="1">
        <f t="shared" si="69"/>
        <v>5</v>
      </c>
      <c r="X1148">
        <f t="shared" si="70"/>
        <v>0.14848187499999987</v>
      </c>
      <c r="Y1148">
        <f t="shared" si="71"/>
        <v>17</v>
      </c>
      <c r="Z1148" s="1">
        <v>3</v>
      </c>
      <c r="AA1148">
        <v>97</v>
      </c>
      <c r="AB1148">
        <v>3.09E-2</v>
      </c>
      <c r="AC1148">
        <v>5</v>
      </c>
      <c r="AD1148">
        <v>97</v>
      </c>
      <c r="AE1148">
        <v>5.1499999999999997E-2</v>
      </c>
      <c r="AF1148" t="s">
        <v>2589</v>
      </c>
      <c r="AG1148" t="s">
        <v>2590</v>
      </c>
    </row>
    <row r="1149" spans="1:33">
      <c r="A1149" s="2" t="s">
        <v>109</v>
      </c>
      <c r="B1149" s="2" t="s">
        <v>25</v>
      </c>
      <c r="C1149" s="1">
        <v>0.51638908800000005</v>
      </c>
      <c r="D1149">
        <v>0.68684605300000001</v>
      </c>
      <c r="E1149">
        <v>0.66065444600000001</v>
      </c>
      <c r="F1149" s="1" t="s">
        <v>110</v>
      </c>
      <c r="G1149" s="1">
        <v>1.2897862229999999</v>
      </c>
      <c r="H1149" s="1">
        <v>49.4</v>
      </c>
      <c r="I1149" s="1">
        <v>84.2</v>
      </c>
      <c r="J1149" s="1">
        <v>0.62129652899999999</v>
      </c>
      <c r="K1149" s="1">
        <v>0.53959274199999996</v>
      </c>
      <c r="L1149" s="1">
        <v>0.64971567399999997</v>
      </c>
      <c r="M1149" s="3">
        <v>0.65028459999999999</v>
      </c>
      <c r="N1149" s="1" t="s">
        <v>26</v>
      </c>
      <c r="O1149" s="1">
        <v>1.623046875</v>
      </c>
      <c r="P1149" s="1">
        <v>34.700000000000003</v>
      </c>
      <c r="Q1149" s="1">
        <v>51.2</v>
      </c>
      <c r="R1149" s="1">
        <v>0.61319767199999997</v>
      </c>
      <c r="S1149" s="1">
        <v>4.4995647675070451E-2</v>
      </c>
      <c r="T1149" t="s">
        <v>1296</v>
      </c>
      <c r="U1149" s="1">
        <v>2329</v>
      </c>
      <c r="V1149">
        <f t="shared" si="68"/>
        <v>0.37412994317052006</v>
      </c>
      <c r="W1149" s="1">
        <f t="shared" si="69"/>
        <v>14.699999999999996</v>
      </c>
      <c r="X1149">
        <f t="shared" si="70"/>
        <v>0.3332606520000001</v>
      </c>
      <c r="Y1149">
        <f t="shared" si="71"/>
        <v>33</v>
      </c>
      <c r="Z1149" s="1">
        <v>0</v>
      </c>
      <c r="AA1149">
        <v>100</v>
      </c>
      <c r="AB1149">
        <v>0</v>
      </c>
      <c r="AC1149">
        <v>0</v>
      </c>
      <c r="AD1149">
        <v>104</v>
      </c>
      <c r="AE1149">
        <v>0</v>
      </c>
      <c r="AF1149" t="s">
        <v>2589</v>
      </c>
      <c r="AG1149" t="s">
        <v>2594</v>
      </c>
    </row>
    <row r="1150" spans="1:33">
      <c r="A1150" s="2" t="s">
        <v>109</v>
      </c>
      <c r="B1150" s="2" t="s">
        <v>27</v>
      </c>
      <c r="C1150" s="1">
        <v>0.51638908800000005</v>
      </c>
      <c r="D1150">
        <v>0.68684605300000001</v>
      </c>
      <c r="E1150">
        <v>0.66065444600000001</v>
      </c>
      <c r="F1150" s="1" t="s">
        <v>110</v>
      </c>
      <c r="G1150" s="1">
        <v>1.2897862229999999</v>
      </c>
      <c r="H1150" s="1">
        <v>49.4</v>
      </c>
      <c r="I1150" s="1">
        <v>84.2</v>
      </c>
      <c r="J1150" s="1">
        <v>0.62129652899999999</v>
      </c>
      <c r="K1150" s="1">
        <v>0.518608662</v>
      </c>
      <c r="L1150" s="1">
        <v>0.64320369700000002</v>
      </c>
      <c r="M1150" s="3">
        <v>0.62228994199999998</v>
      </c>
      <c r="N1150" s="1" t="s">
        <v>28</v>
      </c>
      <c r="O1150" s="1">
        <v>1.8717391299999999</v>
      </c>
      <c r="P1150" s="1">
        <v>33.700000000000003</v>
      </c>
      <c r="Q1150" s="1">
        <v>46</v>
      </c>
      <c r="R1150" s="1">
        <v>0.59470076699999996</v>
      </c>
      <c r="S1150" s="1">
        <v>5.8149951961615834E-2</v>
      </c>
      <c r="T1150" t="s">
        <v>1297</v>
      </c>
      <c r="U1150" s="1">
        <v>1071</v>
      </c>
      <c r="V1150">
        <f t="shared" si="68"/>
        <v>0.33664327453687287</v>
      </c>
      <c r="W1150" s="1">
        <f t="shared" si="69"/>
        <v>15.699999999999996</v>
      </c>
      <c r="X1150">
        <f t="shared" si="70"/>
        <v>0.58195290700000002</v>
      </c>
      <c r="Y1150">
        <f t="shared" si="71"/>
        <v>38.200000000000003</v>
      </c>
      <c r="Z1150" s="1">
        <v>2</v>
      </c>
      <c r="AA1150">
        <v>98</v>
      </c>
      <c r="AB1150">
        <v>2.0400000000000001E-2</v>
      </c>
      <c r="AC1150">
        <v>4</v>
      </c>
      <c r="AD1150">
        <v>107</v>
      </c>
      <c r="AE1150">
        <v>3.7400000000000003E-2</v>
      </c>
      <c r="AF1150" t="s">
        <v>2589</v>
      </c>
      <c r="AG1150" t="s">
        <v>2590</v>
      </c>
    </row>
    <row r="1151" spans="1:33">
      <c r="A1151" s="2" t="s">
        <v>109</v>
      </c>
      <c r="B1151" s="2" t="s">
        <v>29</v>
      </c>
      <c r="C1151" s="1">
        <v>0.51638908800000005</v>
      </c>
      <c r="D1151">
        <v>0.68684605300000001</v>
      </c>
      <c r="E1151">
        <v>0.66065444600000001</v>
      </c>
      <c r="F1151" s="1" t="s">
        <v>110</v>
      </c>
      <c r="G1151" s="1">
        <v>1.2897862229999999</v>
      </c>
      <c r="H1151" s="1">
        <v>49.4</v>
      </c>
      <c r="I1151" s="1">
        <v>84.2</v>
      </c>
      <c r="J1151" s="1">
        <v>0.62129652899999999</v>
      </c>
      <c r="K1151" s="1">
        <v>0.59351545100000003</v>
      </c>
      <c r="L1151" s="1">
        <v>0.68136602400000001</v>
      </c>
      <c r="M1151" s="3">
        <v>0.73518087600000004</v>
      </c>
      <c r="N1151" s="1" t="s">
        <v>30</v>
      </c>
      <c r="O1151" s="1">
        <v>2.849112426</v>
      </c>
      <c r="P1151" s="1">
        <v>37.9</v>
      </c>
      <c r="Q1151" s="1">
        <v>33.799999999999997</v>
      </c>
      <c r="R1151" s="1">
        <v>0.67002078366666673</v>
      </c>
      <c r="S1151" s="1">
        <v>0.1073903876331281</v>
      </c>
      <c r="T1151" t="s">
        <v>1298</v>
      </c>
      <c r="U1151" s="1">
        <v>350</v>
      </c>
      <c r="V1151">
        <f t="shared" si="68"/>
        <v>0.28267422715003065</v>
      </c>
      <c r="W1151" s="1">
        <f t="shared" si="69"/>
        <v>11.5</v>
      </c>
      <c r="X1151">
        <f t="shared" si="70"/>
        <v>1.5593262030000001</v>
      </c>
      <c r="Y1151">
        <f t="shared" si="71"/>
        <v>50.400000000000006</v>
      </c>
      <c r="Z1151" s="1">
        <v>0</v>
      </c>
      <c r="AA1151">
        <v>100</v>
      </c>
      <c r="AB1151">
        <v>0</v>
      </c>
      <c r="AC1151">
        <v>0</v>
      </c>
      <c r="AD1151">
        <v>100</v>
      </c>
      <c r="AE1151">
        <v>0</v>
      </c>
      <c r="AF1151" t="s">
        <v>2589</v>
      </c>
      <c r="AG1151" t="s">
        <v>2593</v>
      </c>
    </row>
    <row r="1152" spans="1:33">
      <c r="A1152" s="2" t="s">
        <v>109</v>
      </c>
      <c r="B1152" s="2" t="s">
        <v>31</v>
      </c>
      <c r="C1152" s="1">
        <v>0.51638908800000005</v>
      </c>
      <c r="D1152">
        <v>0.68684605300000001</v>
      </c>
      <c r="E1152">
        <v>0.66065444600000001</v>
      </c>
      <c r="F1152" s="1" t="s">
        <v>110</v>
      </c>
      <c r="G1152" s="1">
        <v>1.2897862229999999</v>
      </c>
      <c r="H1152" s="1">
        <v>49.4</v>
      </c>
      <c r="I1152" s="1">
        <v>84.2</v>
      </c>
      <c r="J1152" s="1">
        <v>0.62129652899999999</v>
      </c>
      <c r="K1152" s="1">
        <v>0.47727961800000002</v>
      </c>
      <c r="L1152" s="1">
        <v>0.66941086400000005</v>
      </c>
      <c r="M1152" s="3">
        <v>0.69294815300000001</v>
      </c>
      <c r="N1152" s="1" t="s">
        <v>32</v>
      </c>
      <c r="O1152" s="1">
        <v>1.341891892</v>
      </c>
      <c r="P1152" s="1">
        <v>42.1</v>
      </c>
      <c r="Q1152" s="1">
        <v>74</v>
      </c>
      <c r="R1152" s="1">
        <v>0.61321287833333338</v>
      </c>
      <c r="S1152" s="1">
        <v>5.3632266136612872E-2</v>
      </c>
      <c r="T1152" t="s">
        <v>1299</v>
      </c>
      <c r="U1152" s="1">
        <v>7227</v>
      </c>
      <c r="V1152">
        <f t="shared" si="68"/>
        <v>0.42877311719088956</v>
      </c>
      <c r="W1152" s="1">
        <f t="shared" si="69"/>
        <v>7.2999999999999972</v>
      </c>
      <c r="X1152">
        <f t="shared" si="70"/>
        <v>5.2105669000000132E-2</v>
      </c>
      <c r="Y1152">
        <f t="shared" si="71"/>
        <v>10.200000000000003</v>
      </c>
      <c r="Z1152" s="1">
        <v>12</v>
      </c>
      <c r="AA1152">
        <v>88</v>
      </c>
      <c r="AB1152">
        <v>0.13639999999999999</v>
      </c>
      <c r="AC1152">
        <v>13</v>
      </c>
      <c r="AD1152">
        <v>95</v>
      </c>
      <c r="AE1152">
        <v>0.1368</v>
      </c>
      <c r="AF1152" t="s">
        <v>2589</v>
      </c>
      <c r="AG1152" t="s">
        <v>2589</v>
      </c>
    </row>
    <row r="1153" spans="1:33">
      <c r="A1153" s="2" t="s">
        <v>109</v>
      </c>
      <c r="B1153" s="2" t="s">
        <v>33</v>
      </c>
      <c r="C1153" s="1">
        <v>0.51638908800000005</v>
      </c>
      <c r="D1153">
        <v>0.68684605300000001</v>
      </c>
      <c r="E1153">
        <v>0.66065444600000001</v>
      </c>
      <c r="F1153" s="1" t="s">
        <v>110</v>
      </c>
      <c r="G1153" s="1">
        <v>1.2897862229999999</v>
      </c>
      <c r="H1153" s="1">
        <v>49.4</v>
      </c>
      <c r="I1153" s="1">
        <v>84.2</v>
      </c>
      <c r="J1153" s="1">
        <v>0.62129652899999999</v>
      </c>
      <c r="K1153" s="1">
        <v>0.51347926600000005</v>
      </c>
      <c r="L1153" s="1">
        <v>0.63144379399999995</v>
      </c>
      <c r="M1153" s="3">
        <v>0.64189093500000005</v>
      </c>
      <c r="N1153" s="1" t="s">
        <v>34</v>
      </c>
      <c r="O1153" s="1">
        <v>2.3123667380000001</v>
      </c>
      <c r="P1153" s="1">
        <v>79.099999999999994</v>
      </c>
      <c r="Q1153" s="1">
        <v>93.8</v>
      </c>
      <c r="R1153" s="1">
        <v>0.59560466500000009</v>
      </c>
      <c r="S1153" s="1">
        <v>5.8565746912524662E-2</v>
      </c>
      <c r="T1153" t="s">
        <v>1300</v>
      </c>
      <c r="U1153" s="1">
        <v>3402</v>
      </c>
      <c r="V1153">
        <f t="shared" si="68"/>
        <v>0.39241492325295002</v>
      </c>
      <c r="W1153" s="1">
        <f t="shared" si="69"/>
        <v>29.699999999999996</v>
      </c>
      <c r="X1153">
        <f t="shared" si="70"/>
        <v>1.0225805150000002</v>
      </c>
      <c r="Y1153">
        <f t="shared" si="71"/>
        <v>9.5999999999999943</v>
      </c>
      <c r="Z1153" s="1">
        <v>12</v>
      </c>
      <c r="AA1153">
        <v>88</v>
      </c>
      <c r="AB1153">
        <v>0.13639999999999999</v>
      </c>
      <c r="AC1153">
        <v>14</v>
      </c>
      <c r="AD1153">
        <v>88</v>
      </c>
      <c r="AE1153">
        <v>0.15909999999999999</v>
      </c>
      <c r="AF1153" t="s">
        <v>2589</v>
      </c>
      <c r="AG1153" t="s">
        <v>2590</v>
      </c>
    </row>
    <row r="1154" spans="1:33">
      <c r="A1154" s="2" t="s">
        <v>109</v>
      </c>
      <c r="B1154" s="2" t="s">
        <v>35</v>
      </c>
      <c r="C1154" s="1">
        <v>0.51638908800000005</v>
      </c>
      <c r="D1154">
        <v>0.68684605300000001</v>
      </c>
      <c r="E1154">
        <v>0.66065444600000001</v>
      </c>
      <c r="F1154" s="1" t="s">
        <v>110</v>
      </c>
      <c r="G1154" s="1">
        <v>1.2897862229999999</v>
      </c>
      <c r="H1154" s="1">
        <v>49.4</v>
      </c>
      <c r="I1154" s="1">
        <v>84.2</v>
      </c>
      <c r="J1154" s="1">
        <v>0.62129652899999999</v>
      </c>
      <c r="K1154" s="1">
        <v>0.52542897600000005</v>
      </c>
      <c r="L1154" s="1">
        <v>0.60774736299999998</v>
      </c>
      <c r="M1154" s="3">
        <v>0.62585751700000003</v>
      </c>
      <c r="N1154" s="1" t="s">
        <v>36</v>
      </c>
      <c r="O1154" s="1">
        <v>0.98848810399999998</v>
      </c>
      <c r="P1154" s="1">
        <v>54.2</v>
      </c>
      <c r="Q1154" s="1">
        <v>130.30000000000001</v>
      </c>
      <c r="R1154" s="1">
        <v>0.58634461866666665</v>
      </c>
      <c r="S1154" s="1">
        <v>8.6885836605281569E-2</v>
      </c>
      <c r="T1154" t="s">
        <v>1301</v>
      </c>
      <c r="U1154" s="1">
        <v>35832</v>
      </c>
      <c r="V1154">
        <f t="shared" ref="V1154:V1217" si="72">LOG10(U1154) / 9</f>
        <v>0.50603011660407016</v>
      </c>
      <c r="W1154" s="1">
        <f t="shared" ref="W1154:W1217" si="73">ABS(H1154-P1154)</f>
        <v>4.8000000000000043</v>
      </c>
      <c r="X1154">
        <f t="shared" ref="X1154:X1217" si="74">ABS(G1154-O1154)</f>
        <v>0.30129811899999992</v>
      </c>
      <c r="Y1154">
        <f t="shared" ref="Y1154:Y1217" si="75">ABS(I1154-Q1154)</f>
        <v>46.100000000000009</v>
      </c>
      <c r="Z1154" s="1">
        <v>15</v>
      </c>
      <c r="AA1154">
        <v>85</v>
      </c>
      <c r="AB1154">
        <v>0.17649999999999999</v>
      </c>
      <c r="AC1154">
        <v>16</v>
      </c>
      <c r="AD1154">
        <v>85</v>
      </c>
      <c r="AE1154">
        <v>0.18820000000000001</v>
      </c>
      <c r="AF1154" t="s">
        <v>2589</v>
      </c>
      <c r="AG1154" t="s">
        <v>2589</v>
      </c>
    </row>
    <row r="1155" spans="1:33">
      <c r="A1155" s="2" t="s">
        <v>109</v>
      </c>
      <c r="B1155" s="2" t="s">
        <v>37</v>
      </c>
      <c r="C1155" s="1">
        <v>0.51638908800000005</v>
      </c>
      <c r="D1155">
        <v>0.68684605300000001</v>
      </c>
      <c r="E1155">
        <v>0.66065444600000001</v>
      </c>
      <c r="F1155" s="1" t="s">
        <v>110</v>
      </c>
      <c r="G1155" s="1">
        <v>1.2897862229999999</v>
      </c>
      <c r="H1155" s="1">
        <v>49.4</v>
      </c>
      <c r="I1155" s="1">
        <v>84.2</v>
      </c>
      <c r="J1155" s="1">
        <v>0.62129652899999999</v>
      </c>
      <c r="K1155" s="1">
        <v>0.50856695500000004</v>
      </c>
      <c r="L1155" s="1">
        <v>0.654733224</v>
      </c>
      <c r="M1155" s="3">
        <v>0.61418267199999999</v>
      </c>
      <c r="N1155" s="1" t="s">
        <v>38</v>
      </c>
      <c r="O1155" s="1">
        <v>0.64065708399999999</v>
      </c>
      <c r="P1155" s="1">
        <v>41.9</v>
      </c>
      <c r="Q1155" s="1">
        <v>146.1</v>
      </c>
      <c r="R1155" s="1">
        <v>0.59249428366666679</v>
      </c>
      <c r="S1155" s="1">
        <v>5.7026707162171029E-2</v>
      </c>
      <c r="T1155" t="s">
        <v>1302</v>
      </c>
      <c r="U1155" s="1">
        <v>598</v>
      </c>
      <c r="V1155">
        <f t="shared" si="72"/>
        <v>0.30852235377649007</v>
      </c>
      <c r="W1155" s="1">
        <f t="shared" si="73"/>
        <v>7.5</v>
      </c>
      <c r="X1155">
        <f t="shared" si="74"/>
        <v>0.64912913899999991</v>
      </c>
      <c r="Y1155">
        <f t="shared" si="75"/>
        <v>61.899999999999991</v>
      </c>
      <c r="Z1155" s="1">
        <v>12</v>
      </c>
      <c r="AA1155">
        <v>88</v>
      </c>
      <c r="AB1155">
        <v>0.13639999999999999</v>
      </c>
      <c r="AC1155">
        <v>14</v>
      </c>
      <c r="AD1155">
        <v>86</v>
      </c>
      <c r="AE1155">
        <v>0.1628</v>
      </c>
      <c r="AF1155" t="s">
        <v>2589</v>
      </c>
      <c r="AG1155" t="s">
        <v>2590</v>
      </c>
    </row>
    <row r="1156" spans="1:33">
      <c r="A1156" s="2" t="s">
        <v>109</v>
      </c>
      <c r="B1156" s="2" t="s">
        <v>39</v>
      </c>
      <c r="C1156" s="1">
        <v>0.51638908800000005</v>
      </c>
      <c r="D1156">
        <v>0.68684605300000001</v>
      </c>
      <c r="E1156">
        <v>0.66065444600000001</v>
      </c>
      <c r="F1156" s="1" t="s">
        <v>110</v>
      </c>
      <c r="G1156" s="1">
        <v>1.2897862229999999</v>
      </c>
      <c r="H1156" s="1">
        <v>49.4</v>
      </c>
      <c r="I1156" s="1">
        <v>84.2</v>
      </c>
      <c r="J1156" s="1">
        <v>0.62129652899999999</v>
      </c>
      <c r="K1156" s="1">
        <v>0.60811616199999996</v>
      </c>
      <c r="L1156" s="1">
        <v>0.721105683</v>
      </c>
      <c r="M1156" s="3">
        <v>0.741016169</v>
      </c>
      <c r="N1156" s="1" t="s">
        <v>40</v>
      </c>
      <c r="O1156" s="1">
        <v>1.0601915180000001</v>
      </c>
      <c r="P1156" s="1">
        <v>34</v>
      </c>
      <c r="Q1156" s="1">
        <v>73.099999999999994</v>
      </c>
      <c r="R1156" s="1">
        <v>0.69007933799999999</v>
      </c>
      <c r="S1156" s="1">
        <v>0.12667116828965891</v>
      </c>
      <c r="T1156" t="s">
        <v>1303</v>
      </c>
      <c r="U1156" s="1">
        <v>3834</v>
      </c>
      <c r="V1156">
        <f t="shared" si="72"/>
        <v>0.39818356761578261</v>
      </c>
      <c r="W1156" s="1">
        <f t="shared" si="73"/>
        <v>15.399999999999999</v>
      </c>
      <c r="X1156">
        <f t="shared" si="74"/>
        <v>0.22959470499999979</v>
      </c>
      <c r="Y1156">
        <f t="shared" si="75"/>
        <v>11.100000000000009</v>
      </c>
      <c r="Z1156" s="1">
        <v>6</v>
      </c>
      <c r="AA1156">
        <v>94</v>
      </c>
      <c r="AB1156">
        <v>6.3799999999999996E-2</v>
      </c>
      <c r="AC1156">
        <v>8</v>
      </c>
      <c r="AD1156">
        <v>95</v>
      </c>
      <c r="AE1156">
        <v>8.4199999999999997E-2</v>
      </c>
      <c r="AF1156" t="s">
        <v>2589</v>
      </c>
      <c r="AG1156" t="s">
        <v>2589</v>
      </c>
    </row>
    <row r="1157" spans="1:33">
      <c r="A1157" s="2" t="s">
        <v>109</v>
      </c>
      <c r="B1157" s="2" t="s">
        <v>41</v>
      </c>
      <c r="C1157" s="1">
        <v>0.51638908800000005</v>
      </c>
      <c r="D1157">
        <v>0.68684605300000001</v>
      </c>
      <c r="E1157">
        <v>0.66065444600000001</v>
      </c>
      <c r="F1157" s="1" t="s">
        <v>110</v>
      </c>
      <c r="G1157" s="1">
        <v>1.2897862229999999</v>
      </c>
      <c r="H1157" s="1">
        <v>49.4</v>
      </c>
      <c r="I1157" s="1">
        <v>84.2</v>
      </c>
      <c r="J1157" s="1">
        <v>0.62129652899999999</v>
      </c>
      <c r="K1157" s="1">
        <v>0.60402244999999999</v>
      </c>
      <c r="L1157" s="1">
        <v>0.669189213</v>
      </c>
      <c r="M1157" s="3">
        <v>0.69821693799999995</v>
      </c>
      <c r="N1157" s="1" t="s">
        <v>42</v>
      </c>
      <c r="O1157" s="1">
        <v>1.3243902439999999</v>
      </c>
      <c r="P1157" s="1">
        <v>23</v>
      </c>
      <c r="Q1157" s="1">
        <v>41</v>
      </c>
      <c r="R1157" s="1">
        <v>0.65714286700000002</v>
      </c>
      <c r="S1157" s="1">
        <v>9.6965514176219861E-2</v>
      </c>
      <c r="T1157" t="s">
        <v>1304</v>
      </c>
      <c r="U1157" s="1">
        <v>448</v>
      </c>
      <c r="V1157">
        <f t="shared" si="72"/>
        <v>0.29458644599979378</v>
      </c>
      <c r="W1157" s="1">
        <f t="shared" si="73"/>
        <v>26.4</v>
      </c>
      <c r="X1157">
        <f t="shared" si="74"/>
        <v>3.460402100000004E-2</v>
      </c>
      <c r="Y1157">
        <f t="shared" si="75"/>
        <v>43.2</v>
      </c>
      <c r="Z1157" s="1">
        <v>0</v>
      </c>
      <c r="AA1157">
        <v>100</v>
      </c>
      <c r="AB1157">
        <v>0</v>
      </c>
      <c r="AC1157">
        <v>0</v>
      </c>
      <c r="AD1157">
        <v>117</v>
      </c>
      <c r="AE1157">
        <v>0</v>
      </c>
      <c r="AF1157" t="s">
        <v>2589</v>
      </c>
      <c r="AG1157" t="s">
        <v>2591</v>
      </c>
    </row>
    <row r="1158" spans="1:33">
      <c r="A1158" s="2" t="s">
        <v>109</v>
      </c>
      <c r="B1158" s="2" t="s">
        <v>43</v>
      </c>
      <c r="C1158" s="1">
        <v>0.51638908800000005</v>
      </c>
      <c r="D1158">
        <v>0.68684605300000001</v>
      </c>
      <c r="E1158">
        <v>0.66065444600000001</v>
      </c>
      <c r="F1158" s="1" t="s">
        <v>110</v>
      </c>
      <c r="G1158" s="1">
        <v>1.2897862229999999</v>
      </c>
      <c r="H1158" s="1">
        <v>49.4</v>
      </c>
      <c r="I1158" s="1">
        <v>84.2</v>
      </c>
      <c r="J1158" s="1">
        <v>0.62129652899999999</v>
      </c>
      <c r="K1158" s="1">
        <v>0.54180634699999997</v>
      </c>
      <c r="L1158" s="1">
        <v>0.59470779900000004</v>
      </c>
      <c r="M1158" s="3">
        <v>0.69518155599999998</v>
      </c>
      <c r="N1158" s="1" t="s">
        <v>44</v>
      </c>
      <c r="O1158" s="1">
        <v>1.7403685090000001</v>
      </c>
      <c r="P1158" s="1">
        <v>41.2</v>
      </c>
      <c r="Q1158" s="1">
        <v>59.7</v>
      </c>
      <c r="R1158" s="1">
        <v>0.61056523400000007</v>
      </c>
      <c r="S1158" s="1">
        <v>0.10162487997628182</v>
      </c>
      <c r="T1158" t="s">
        <v>1305</v>
      </c>
      <c r="U1158" s="1">
        <v>8664</v>
      </c>
      <c r="V1158">
        <f t="shared" si="72"/>
        <v>0.43752427151302936</v>
      </c>
      <c r="W1158" s="1">
        <f t="shared" si="73"/>
        <v>8.1999999999999957</v>
      </c>
      <c r="X1158">
        <f t="shared" si="74"/>
        <v>0.45058228600000017</v>
      </c>
      <c r="Y1158">
        <f t="shared" si="75"/>
        <v>24.5</v>
      </c>
      <c r="Z1158" s="1">
        <v>10</v>
      </c>
      <c r="AA1158">
        <v>90</v>
      </c>
      <c r="AB1158">
        <v>0.1111</v>
      </c>
      <c r="AC1158">
        <v>16</v>
      </c>
      <c r="AD1158">
        <v>123</v>
      </c>
      <c r="AE1158">
        <v>0.13009999999999999</v>
      </c>
      <c r="AF1158" t="s">
        <v>2589</v>
      </c>
      <c r="AG1158" t="s">
        <v>2589</v>
      </c>
    </row>
    <row r="1159" spans="1:33">
      <c r="A1159" s="2" t="s">
        <v>109</v>
      </c>
      <c r="B1159" s="2" t="s">
        <v>45</v>
      </c>
      <c r="C1159" s="1">
        <v>0.51638908800000005</v>
      </c>
      <c r="D1159">
        <v>0.68684605300000001</v>
      </c>
      <c r="E1159">
        <v>0.66065444600000001</v>
      </c>
      <c r="F1159" s="1" t="s">
        <v>110</v>
      </c>
      <c r="G1159" s="1">
        <v>1.2897862229999999</v>
      </c>
      <c r="H1159" s="1">
        <v>49.4</v>
      </c>
      <c r="I1159" s="1">
        <v>84.2</v>
      </c>
      <c r="J1159" s="1">
        <v>0.62129652899999999</v>
      </c>
      <c r="K1159" s="1">
        <v>0.50907007599999998</v>
      </c>
      <c r="L1159" s="1">
        <v>0.68428041399999995</v>
      </c>
      <c r="M1159" s="3">
        <v>0.67454742099999998</v>
      </c>
      <c r="N1159" s="1" t="s">
        <v>46</v>
      </c>
      <c r="O1159" s="1">
        <v>0.98140043799999999</v>
      </c>
      <c r="P1159" s="1">
        <v>38.9</v>
      </c>
      <c r="Q1159" s="1">
        <v>91.4</v>
      </c>
      <c r="R1159" s="1">
        <v>0.62263263699999993</v>
      </c>
      <c r="S1159" s="1">
        <v>1.5911165717353667E-2</v>
      </c>
      <c r="T1159" t="s">
        <v>1306</v>
      </c>
      <c r="U1159" s="1">
        <v>9361</v>
      </c>
      <c r="V1159">
        <f t="shared" si="72"/>
        <v>0.44125802724920143</v>
      </c>
      <c r="W1159" s="1">
        <f t="shared" si="73"/>
        <v>10.5</v>
      </c>
      <c r="X1159">
        <f t="shared" si="74"/>
        <v>0.30838578499999991</v>
      </c>
      <c r="Y1159">
        <f t="shared" si="75"/>
        <v>7.2000000000000028</v>
      </c>
      <c r="Z1159" s="1">
        <v>14</v>
      </c>
      <c r="AA1159">
        <v>86</v>
      </c>
      <c r="AB1159">
        <v>0.1628</v>
      </c>
      <c r="AC1159">
        <v>16</v>
      </c>
      <c r="AD1159">
        <v>103</v>
      </c>
      <c r="AE1159">
        <v>0.15529999999999999</v>
      </c>
      <c r="AF1159" t="s">
        <v>2589</v>
      </c>
      <c r="AG1159" t="s">
        <v>2589</v>
      </c>
    </row>
    <row r="1160" spans="1:33">
      <c r="A1160" s="2" t="s">
        <v>109</v>
      </c>
      <c r="B1160" s="2" t="s">
        <v>47</v>
      </c>
      <c r="C1160" s="1">
        <v>0.51638908800000005</v>
      </c>
      <c r="D1160">
        <v>0.68684605300000001</v>
      </c>
      <c r="E1160">
        <v>0.66065444600000001</v>
      </c>
      <c r="F1160" s="1" t="s">
        <v>110</v>
      </c>
      <c r="G1160" s="1">
        <v>1.2897862229999999</v>
      </c>
      <c r="H1160" s="1">
        <v>49.4</v>
      </c>
      <c r="I1160" s="1">
        <v>84.2</v>
      </c>
      <c r="J1160" s="1">
        <v>0.62129652899999999</v>
      </c>
      <c r="K1160" s="1">
        <v>0.50612154099999995</v>
      </c>
      <c r="L1160" s="1">
        <v>0.55940039100000005</v>
      </c>
      <c r="M1160" s="3">
        <v>0.66789001699999995</v>
      </c>
      <c r="N1160" s="1" t="s">
        <v>48</v>
      </c>
      <c r="O1160" s="1">
        <v>1.242622951</v>
      </c>
      <c r="P1160" s="1">
        <v>17.8</v>
      </c>
      <c r="Q1160" s="1">
        <v>30.5</v>
      </c>
      <c r="R1160" s="1">
        <v>0.57780398300000002</v>
      </c>
      <c r="S1160" s="1">
        <v>0.12806315930708365</v>
      </c>
      <c r="T1160" t="s">
        <v>1307</v>
      </c>
      <c r="U1160" s="1">
        <v>897</v>
      </c>
      <c r="V1160">
        <f t="shared" si="72"/>
        <v>0.32808804922712137</v>
      </c>
      <c r="W1160" s="1">
        <f t="shared" si="73"/>
        <v>31.599999999999998</v>
      </c>
      <c r="X1160">
        <f t="shared" si="74"/>
        <v>4.7163271999999923E-2</v>
      </c>
      <c r="Y1160">
        <f t="shared" si="75"/>
        <v>53.7</v>
      </c>
      <c r="Z1160" s="1">
        <v>1</v>
      </c>
      <c r="AA1160">
        <v>99</v>
      </c>
      <c r="AB1160">
        <v>1.01E-2</v>
      </c>
      <c r="AC1160">
        <v>2</v>
      </c>
      <c r="AD1160">
        <v>124</v>
      </c>
      <c r="AE1160">
        <v>1.61E-2</v>
      </c>
      <c r="AF1160" t="s">
        <v>2589</v>
      </c>
      <c r="AG1160" t="s">
        <v>2590</v>
      </c>
    </row>
    <row r="1161" spans="1:33">
      <c r="A1161" s="2" t="s">
        <v>109</v>
      </c>
      <c r="B1161" s="2" t="s">
        <v>49</v>
      </c>
      <c r="C1161" s="1">
        <v>0.51638908800000005</v>
      </c>
      <c r="D1161">
        <v>0.68684605300000001</v>
      </c>
      <c r="E1161">
        <v>0.66065444600000001</v>
      </c>
      <c r="F1161" s="1" t="s">
        <v>110</v>
      </c>
      <c r="G1161" s="1">
        <v>1.2897862229999999</v>
      </c>
      <c r="H1161" s="1">
        <v>49.4</v>
      </c>
      <c r="I1161" s="1">
        <v>84.2</v>
      </c>
      <c r="J1161" s="1">
        <v>0.62129652899999999</v>
      </c>
      <c r="K1161" s="1">
        <v>0.50647110500000003</v>
      </c>
      <c r="L1161" s="1">
        <v>0.55713136799999996</v>
      </c>
      <c r="M1161" s="3">
        <v>0.63402682300000002</v>
      </c>
      <c r="N1161" s="1" t="s">
        <v>50</v>
      </c>
      <c r="O1161" s="1">
        <v>1.876675603</v>
      </c>
      <c r="P1161" s="1">
        <v>28.8</v>
      </c>
      <c r="Q1161" s="1">
        <v>37.299999999999997</v>
      </c>
      <c r="R1161" s="1">
        <v>0.56587643200000004</v>
      </c>
      <c r="S1161" s="1">
        <v>0.13279042208709049</v>
      </c>
      <c r="T1161" t="s">
        <v>1308</v>
      </c>
      <c r="U1161" s="1">
        <v>615</v>
      </c>
      <c r="V1161">
        <f t="shared" si="72"/>
        <v>0.30987501286393521</v>
      </c>
      <c r="W1161" s="1">
        <f t="shared" si="73"/>
        <v>20.599999999999998</v>
      </c>
      <c r="X1161">
        <f t="shared" si="74"/>
        <v>0.58688938000000013</v>
      </c>
      <c r="Y1161">
        <f t="shared" si="75"/>
        <v>46.900000000000006</v>
      </c>
      <c r="Z1161" s="1">
        <v>3</v>
      </c>
      <c r="AA1161">
        <v>97</v>
      </c>
      <c r="AB1161">
        <v>3.09E-2</v>
      </c>
      <c r="AC1161">
        <v>4</v>
      </c>
      <c r="AD1161">
        <v>96</v>
      </c>
      <c r="AE1161">
        <v>4.1700000000000001E-2</v>
      </c>
      <c r="AF1161" t="s">
        <v>2589</v>
      </c>
      <c r="AG1161" t="s">
        <v>2590</v>
      </c>
    </row>
    <row r="1162" spans="1:33">
      <c r="A1162" s="2" t="s">
        <v>109</v>
      </c>
      <c r="B1162" s="2" t="s">
        <v>51</v>
      </c>
      <c r="C1162" s="1">
        <v>0.51638908800000005</v>
      </c>
      <c r="D1162">
        <v>0.68684605300000001</v>
      </c>
      <c r="E1162">
        <v>0.66065444600000001</v>
      </c>
      <c r="F1162" s="1" t="s">
        <v>110</v>
      </c>
      <c r="G1162" s="1">
        <v>1.2897862229999999</v>
      </c>
      <c r="H1162" s="1">
        <v>49.4</v>
      </c>
      <c r="I1162" s="1">
        <v>84.2</v>
      </c>
      <c r="J1162" s="1">
        <v>0.62129652899999999</v>
      </c>
      <c r="K1162" s="1">
        <v>0.60067161999999996</v>
      </c>
      <c r="L1162" s="1">
        <v>0.68094129999999997</v>
      </c>
      <c r="M1162" s="3">
        <v>0.73595931299999995</v>
      </c>
      <c r="N1162" s="1" t="s">
        <v>52</v>
      </c>
      <c r="O1162" s="1">
        <v>1.858638743</v>
      </c>
      <c r="P1162" s="1">
        <v>29.4</v>
      </c>
      <c r="Q1162" s="1">
        <v>38.200000000000003</v>
      </c>
      <c r="R1162" s="1">
        <v>0.67252407766666666</v>
      </c>
      <c r="S1162" s="1">
        <v>0.11317788786777079</v>
      </c>
      <c r="T1162" t="s">
        <v>1309</v>
      </c>
      <c r="U1162" s="1">
        <v>375</v>
      </c>
      <c r="V1162">
        <f t="shared" si="72"/>
        <v>0.28600347419196875</v>
      </c>
      <c r="W1162" s="1">
        <f t="shared" si="73"/>
        <v>20</v>
      </c>
      <c r="X1162">
        <f t="shared" si="74"/>
        <v>0.56885252000000008</v>
      </c>
      <c r="Y1162">
        <f t="shared" si="75"/>
        <v>46</v>
      </c>
      <c r="Z1162" s="1">
        <v>3</v>
      </c>
      <c r="AA1162">
        <v>97</v>
      </c>
      <c r="AB1162">
        <v>3.09E-2</v>
      </c>
      <c r="AC1162">
        <v>4</v>
      </c>
      <c r="AD1162">
        <v>105</v>
      </c>
      <c r="AE1162">
        <v>3.8100000000000002E-2</v>
      </c>
      <c r="AF1162" t="s">
        <v>2589</v>
      </c>
      <c r="AG1162" t="s">
        <v>2591</v>
      </c>
    </row>
    <row r="1163" spans="1:33">
      <c r="A1163" s="2" t="s">
        <v>109</v>
      </c>
      <c r="B1163" s="2" t="s">
        <v>53</v>
      </c>
      <c r="C1163" s="1">
        <v>0.51638908800000005</v>
      </c>
      <c r="D1163">
        <v>0.68684605300000001</v>
      </c>
      <c r="E1163">
        <v>0.66065444600000001</v>
      </c>
      <c r="F1163" s="1" t="s">
        <v>110</v>
      </c>
      <c r="G1163" s="1">
        <v>1.2897862229999999</v>
      </c>
      <c r="H1163" s="1">
        <v>49.4</v>
      </c>
      <c r="I1163" s="1">
        <v>84.2</v>
      </c>
      <c r="J1163" s="1">
        <v>0.62129652899999999</v>
      </c>
      <c r="K1163" s="1">
        <v>0.54695832700000002</v>
      </c>
      <c r="L1163" s="1">
        <v>0.659790137</v>
      </c>
      <c r="M1163" s="3">
        <v>0.70662085500000005</v>
      </c>
      <c r="N1163" s="1" t="s">
        <v>54</v>
      </c>
      <c r="O1163" s="1">
        <v>2.5053995680000001</v>
      </c>
      <c r="P1163" s="1">
        <v>43.9</v>
      </c>
      <c r="Q1163" s="1">
        <v>46.3</v>
      </c>
      <c r="R1163" s="1">
        <v>0.63778977300000006</v>
      </c>
      <c r="S1163" s="1">
        <v>6.1476920222091967E-2</v>
      </c>
      <c r="T1163" t="s">
        <v>1310</v>
      </c>
      <c r="U1163" s="1">
        <v>706</v>
      </c>
      <c r="V1163">
        <f t="shared" si="72"/>
        <v>0.31653385567242265</v>
      </c>
      <c r="W1163" s="1">
        <f t="shared" si="73"/>
        <v>5.5</v>
      </c>
      <c r="X1163">
        <f t="shared" si="74"/>
        <v>1.2156133450000002</v>
      </c>
      <c r="Y1163">
        <f t="shared" si="75"/>
        <v>37.900000000000006</v>
      </c>
      <c r="Z1163" s="1">
        <v>1</v>
      </c>
      <c r="AA1163">
        <v>99</v>
      </c>
      <c r="AB1163">
        <v>1.01E-2</v>
      </c>
      <c r="AC1163">
        <v>2</v>
      </c>
      <c r="AD1163">
        <v>107</v>
      </c>
      <c r="AE1163">
        <v>1.8700000000000001E-2</v>
      </c>
      <c r="AF1163" t="s">
        <v>2589</v>
      </c>
      <c r="AG1163" t="s">
        <v>2593</v>
      </c>
    </row>
    <row r="1164" spans="1:33">
      <c r="A1164" s="2" t="s">
        <v>109</v>
      </c>
      <c r="B1164" s="2" t="s">
        <v>55</v>
      </c>
      <c r="C1164" s="1">
        <v>0.51638908800000005</v>
      </c>
      <c r="D1164">
        <v>0.68684605300000001</v>
      </c>
      <c r="E1164">
        <v>0.66065444600000001</v>
      </c>
      <c r="F1164" s="1" t="s">
        <v>110</v>
      </c>
      <c r="G1164" s="1">
        <v>1.2897862229999999</v>
      </c>
      <c r="H1164" s="1">
        <v>49.4</v>
      </c>
      <c r="I1164" s="1">
        <v>84.2</v>
      </c>
      <c r="J1164" s="1">
        <v>0.62129652899999999</v>
      </c>
      <c r="K1164" s="1">
        <v>0.52971861799999997</v>
      </c>
      <c r="L1164" s="1">
        <v>0.62258244500000004</v>
      </c>
      <c r="M1164" s="3">
        <v>0.63939760400000001</v>
      </c>
      <c r="N1164" s="1" t="s">
        <v>56</v>
      </c>
      <c r="O1164" s="1">
        <v>1.0796934869999999</v>
      </c>
      <c r="P1164" s="1">
        <v>55.3</v>
      </c>
      <c r="Q1164" s="1">
        <v>130.5</v>
      </c>
      <c r="R1164" s="1">
        <v>0.59723288899999993</v>
      </c>
      <c r="S1164" s="1">
        <v>6.8987977322222768E-2</v>
      </c>
      <c r="T1164" t="s">
        <v>1311</v>
      </c>
      <c r="U1164" s="1">
        <v>8210</v>
      </c>
      <c r="V1164">
        <f t="shared" si="72"/>
        <v>0.43492701745771561</v>
      </c>
      <c r="W1164" s="1">
        <f t="shared" si="73"/>
        <v>5.8999999999999986</v>
      </c>
      <c r="X1164">
        <f t="shared" si="74"/>
        <v>0.210092736</v>
      </c>
      <c r="Y1164">
        <f t="shared" si="75"/>
        <v>46.3</v>
      </c>
      <c r="Z1164" s="1">
        <v>19</v>
      </c>
      <c r="AA1164">
        <v>81</v>
      </c>
      <c r="AB1164">
        <v>0.2346</v>
      </c>
      <c r="AC1164">
        <v>21</v>
      </c>
      <c r="AD1164">
        <v>80</v>
      </c>
      <c r="AE1164">
        <v>0.26250000000000001</v>
      </c>
      <c r="AF1164" t="s">
        <v>2589</v>
      </c>
      <c r="AG1164" t="s">
        <v>2592</v>
      </c>
    </row>
    <row r="1165" spans="1:33">
      <c r="A1165" s="2" t="s">
        <v>109</v>
      </c>
      <c r="B1165" s="2" t="s">
        <v>57</v>
      </c>
      <c r="C1165" s="1">
        <v>0.51638908800000005</v>
      </c>
      <c r="D1165">
        <v>0.68684605300000001</v>
      </c>
      <c r="E1165">
        <v>0.66065444600000001</v>
      </c>
      <c r="F1165" s="1" t="s">
        <v>110</v>
      </c>
      <c r="G1165" s="1">
        <v>1.2897862229999999</v>
      </c>
      <c r="H1165" s="1">
        <v>49.4</v>
      </c>
      <c r="I1165" s="1">
        <v>84.2</v>
      </c>
      <c r="J1165" s="1">
        <v>0.62129652899999999</v>
      </c>
      <c r="K1165" s="1">
        <v>0.528732855</v>
      </c>
      <c r="L1165" s="1">
        <v>0.63387497599999998</v>
      </c>
      <c r="M1165" s="3">
        <v>0.63337360200000004</v>
      </c>
      <c r="N1165" s="1" t="s">
        <v>58</v>
      </c>
      <c r="O1165" s="1">
        <v>1.386610879</v>
      </c>
      <c r="P1165" s="1">
        <v>69</v>
      </c>
      <c r="Q1165" s="1">
        <v>119.5</v>
      </c>
      <c r="R1165" s="1">
        <v>0.59866047766666663</v>
      </c>
      <c r="S1165" s="1">
        <v>6.0848566389378106E-2</v>
      </c>
      <c r="T1165" t="s">
        <v>1312</v>
      </c>
      <c r="U1165" s="1">
        <v>43599</v>
      </c>
      <c r="V1165">
        <f t="shared" si="72"/>
        <v>0.51549739203019351</v>
      </c>
      <c r="W1165" s="1">
        <f t="shared" si="73"/>
        <v>19.600000000000001</v>
      </c>
      <c r="X1165">
        <f t="shared" si="74"/>
        <v>9.682465600000012E-2</v>
      </c>
      <c r="Y1165">
        <f t="shared" si="75"/>
        <v>35.299999999999997</v>
      </c>
      <c r="Z1165" s="1">
        <v>17</v>
      </c>
      <c r="AA1165">
        <v>83</v>
      </c>
      <c r="AB1165">
        <v>0.20480000000000001</v>
      </c>
      <c r="AC1165">
        <v>17</v>
      </c>
      <c r="AD1165">
        <v>90</v>
      </c>
      <c r="AE1165">
        <v>0.18890000000000001</v>
      </c>
      <c r="AF1165" t="s">
        <v>2589</v>
      </c>
      <c r="AG1165" t="s">
        <v>2589</v>
      </c>
    </row>
    <row r="1166" spans="1:33">
      <c r="A1166" s="2" t="s">
        <v>109</v>
      </c>
      <c r="B1166" s="2" t="s">
        <v>59</v>
      </c>
      <c r="C1166" s="1">
        <v>0.51638908800000005</v>
      </c>
      <c r="D1166">
        <v>0.68684605300000001</v>
      </c>
      <c r="E1166">
        <v>0.66065444600000001</v>
      </c>
      <c r="F1166" s="1" t="s">
        <v>110</v>
      </c>
      <c r="G1166" s="1">
        <v>1.2897862229999999</v>
      </c>
      <c r="H1166" s="1">
        <v>49.4</v>
      </c>
      <c r="I1166" s="1">
        <v>84.2</v>
      </c>
      <c r="J1166" s="1">
        <v>0.62129652899999999</v>
      </c>
      <c r="K1166" s="1">
        <v>0.56225432799999997</v>
      </c>
      <c r="L1166" s="1">
        <v>0.68100706499999997</v>
      </c>
      <c r="M1166" s="3">
        <v>0.67505263699999996</v>
      </c>
      <c r="N1166" s="1" t="s">
        <v>60</v>
      </c>
      <c r="O1166" s="1">
        <v>1.1501154730000001</v>
      </c>
      <c r="P1166" s="1">
        <v>60.5</v>
      </c>
      <c r="Q1166" s="1">
        <v>129.9</v>
      </c>
      <c r="R1166" s="1">
        <v>0.63943801</v>
      </c>
      <c r="S1166" s="1">
        <v>4.8425426432755513E-2</v>
      </c>
      <c r="T1166" t="s">
        <v>1313</v>
      </c>
      <c r="U1166" s="1">
        <v>14101</v>
      </c>
      <c r="V1166">
        <f t="shared" si="72"/>
        <v>0.46102776806558687</v>
      </c>
      <c r="W1166" s="1">
        <f t="shared" si="73"/>
        <v>11.100000000000001</v>
      </c>
      <c r="X1166">
        <f t="shared" si="74"/>
        <v>0.13967074999999984</v>
      </c>
      <c r="Y1166">
        <f t="shared" si="75"/>
        <v>45.7</v>
      </c>
      <c r="Z1166" s="1">
        <v>14</v>
      </c>
      <c r="AA1166">
        <v>86</v>
      </c>
      <c r="AB1166">
        <v>0.1628</v>
      </c>
      <c r="AC1166">
        <v>18</v>
      </c>
      <c r="AD1166">
        <v>108</v>
      </c>
      <c r="AE1166">
        <v>0.16669999999999999</v>
      </c>
      <c r="AF1166" t="s">
        <v>2589</v>
      </c>
      <c r="AG1166" t="s">
        <v>2589</v>
      </c>
    </row>
    <row r="1167" spans="1:33">
      <c r="A1167" s="2" t="s">
        <v>109</v>
      </c>
      <c r="B1167" s="2" t="s">
        <v>61</v>
      </c>
      <c r="C1167" s="1">
        <v>0.51638908800000005</v>
      </c>
      <c r="D1167">
        <v>0.68684605300000001</v>
      </c>
      <c r="E1167">
        <v>0.66065444600000001</v>
      </c>
      <c r="F1167" s="1" t="s">
        <v>110</v>
      </c>
      <c r="G1167" s="1">
        <v>1.2897862229999999</v>
      </c>
      <c r="H1167" s="1">
        <v>49.4</v>
      </c>
      <c r="I1167" s="1">
        <v>84.2</v>
      </c>
      <c r="J1167" s="1">
        <v>0.62129652899999999</v>
      </c>
      <c r="K1167" s="1">
        <v>0.62063455999999995</v>
      </c>
      <c r="L1167" s="1">
        <v>0.67798104299999995</v>
      </c>
      <c r="M1167" s="3">
        <v>0.72175371600000005</v>
      </c>
      <c r="N1167" s="1" t="s">
        <v>62</v>
      </c>
      <c r="O1167" s="1">
        <v>7.5471698109999998</v>
      </c>
      <c r="P1167" s="1">
        <v>26.4</v>
      </c>
      <c r="Q1167" s="1">
        <v>10.6</v>
      </c>
      <c r="R1167" s="1">
        <v>0.6734564396666668</v>
      </c>
      <c r="S1167" s="1">
        <v>0.12115621168283434</v>
      </c>
      <c r="T1167" t="s">
        <v>1314</v>
      </c>
      <c r="U1167" s="1">
        <v>2469</v>
      </c>
      <c r="V1167">
        <f t="shared" si="72"/>
        <v>0.37694678777021473</v>
      </c>
      <c r="W1167" s="1">
        <f t="shared" si="73"/>
        <v>23</v>
      </c>
      <c r="X1167">
        <f t="shared" si="74"/>
        <v>6.2573835879999997</v>
      </c>
      <c r="Y1167">
        <f t="shared" si="75"/>
        <v>73.600000000000009</v>
      </c>
      <c r="Z1167" s="1">
        <v>0</v>
      </c>
      <c r="AA1167">
        <v>100</v>
      </c>
      <c r="AB1167">
        <v>0</v>
      </c>
      <c r="AC1167">
        <v>0</v>
      </c>
      <c r="AD1167">
        <v>101</v>
      </c>
      <c r="AE1167">
        <v>0</v>
      </c>
      <c r="AF1167" t="s">
        <v>2589</v>
      </c>
      <c r="AG1167" t="s">
        <v>2588</v>
      </c>
    </row>
    <row r="1168" spans="1:33">
      <c r="A1168" s="2" t="s">
        <v>109</v>
      </c>
      <c r="B1168" s="2" t="s">
        <v>63</v>
      </c>
      <c r="C1168" s="1">
        <v>0.51638908800000005</v>
      </c>
      <c r="D1168">
        <v>0.68684605300000001</v>
      </c>
      <c r="E1168">
        <v>0.66065444600000001</v>
      </c>
      <c r="F1168" s="1" t="s">
        <v>110</v>
      </c>
      <c r="G1168" s="1">
        <v>1.2897862229999999</v>
      </c>
      <c r="H1168" s="1">
        <v>49.4</v>
      </c>
      <c r="I1168" s="1">
        <v>84.2</v>
      </c>
      <c r="J1168" s="1">
        <v>0.62129652899999999</v>
      </c>
      <c r="K1168" s="1">
        <v>0.44311141399999998</v>
      </c>
      <c r="L1168" s="1">
        <v>0.57053969199999999</v>
      </c>
      <c r="M1168" s="3">
        <v>0.59266330599999995</v>
      </c>
      <c r="N1168" s="1" t="s">
        <v>64</v>
      </c>
      <c r="O1168" s="1">
        <v>0.89618138400000003</v>
      </c>
      <c r="P1168" s="1">
        <v>29.7</v>
      </c>
      <c r="Q1168" s="1">
        <v>83.8</v>
      </c>
      <c r="R1168" s="1">
        <v>0.53543813733333334</v>
      </c>
      <c r="S1168" s="1">
        <v>0.15336095407375444</v>
      </c>
      <c r="T1168" t="s">
        <v>1315</v>
      </c>
      <c r="U1168" s="1">
        <v>569</v>
      </c>
      <c r="V1168">
        <f t="shared" si="72"/>
        <v>0.30612358515500793</v>
      </c>
      <c r="W1168" s="1">
        <f t="shared" si="73"/>
        <v>19.7</v>
      </c>
      <c r="X1168">
        <f t="shared" si="74"/>
        <v>0.39360483899999987</v>
      </c>
      <c r="Y1168">
        <f t="shared" si="75"/>
        <v>0.40000000000000568</v>
      </c>
      <c r="Z1168" s="1">
        <v>7</v>
      </c>
      <c r="AA1168">
        <v>93</v>
      </c>
      <c r="AB1168">
        <v>7.5300000000000006E-2</v>
      </c>
      <c r="AC1168">
        <v>10</v>
      </c>
      <c r="AD1168">
        <v>98</v>
      </c>
      <c r="AE1168">
        <v>0.10199999999999999</v>
      </c>
      <c r="AF1168" t="s">
        <v>2589</v>
      </c>
      <c r="AG1168" t="s">
        <v>2590</v>
      </c>
    </row>
    <row r="1169" spans="1:33">
      <c r="A1169" s="2" t="s">
        <v>109</v>
      </c>
      <c r="B1169" s="2" t="s">
        <v>65</v>
      </c>
      <c r="C1169" s="1">
        <v>0.51638908800000005</v>
      </c>
      <c r="D1169">
        <v>0.68684605300000001</v>
      </c>
      <c r="E1169">
        <v>0.66065444600000001</v>
      </c>
      <c r="F1169" s="1" t="s">
        <v>110</v>
      </c>
      <c r="G1169" s="1">
        <v>1.2897862229999999</v>
      </c>
      <c r="H1169" s="1">
        <v>49.4</v>
      </c>
      <c r="I1169" s="1">
        <v>84.2</v>
      </c>
      <c r="J1169" s="1">
        <v>0.62129652899999999</v>
      </c>
      <c r="K1169" s="1">
        <v>0.67377447499999998</v>
      </c>
      <c r="L1169" s="1">
        <v>0.69144672900000004</v>
      </c>
      <c r="M1169" s="3">
        <v>0.73046409700000003</v>
      </c>
      <c r="N1169" s="1" t="s">
        <v>66</v>
      </c>
      <c r="O1169" s="1">
        <v>1.8507462690000001</v>
      </c>
      <c r="P1169" s="1">
        <v>34.5</v>
      </c>
      <c r="Q1169" s="1">
        <v>46.9</v>
      </c>
      <c r="R1169" s="1">
        <v>0.69856176700000006</v>
      </c>
      <c r="S1169" s="1">
        <v>0.1722344728372881</v>
      </c>
      <c r="T1169" t="s">
        <v>1316</v>
      </c>
      <c r="U1169" s="1">
        <v>442</v>
      </c>
      <c r="V1169">
        <f t="shared" si="72"/>
        <v>0.29393580770545463</v>
      </c>
      <c r="W1169" s="1">
        <f t="shared" si="73"/>
        <v>14.899999999999999</v>
      </c>
      <c r="X1169">
        <f t="shared" si="74"/>
        <v>0.56096004600000016</v>
      </c>
      <c r="Y1169">
        <f t="shared" si="75"/>
        <v>37.300000000000004</v>
      </c>
      <c r="Z1169" s="1">
        <v>0</v>
      </c>
      <c r="AA1169">
        <v>100</v>
      </c>
      <c r="AB1169">
        <v>0</v>
      </c>
      <c r="AC1169">
        <v>0</v>
      </c>
      <c r="AD1169">
        <v>90</v>
      </c>
      <c r="AE1169">
        <v>0</v>
      </c>
      <c r="AF1169" t="s">
        <v>2589</v>
      </c>
      <c r="AG1169" t="s">
        <v>2593</v>
      </c>
    </row>
    <row r="1170" spans="1:33">
      <c r="A1170" s="2" t="s">
        <v>109</v>
      </c>
      <c r="B1170" s="2" t="s">
        <v>67</v>
      </c>
      <c r="C1170" s="1">
        <v>0.51638908800000005</v>
      </c>
      <c r="D1170">
        <v>0.68684605300000001</v>
      </c>
      <c r="E1170">
        <v>0.66065444600000001</v>
      </c>
      <c r="F1170" s="1" t="s">
        <v>110</v>
      </c>
      <c r="G1170" s="1">
        <v>1.2897862229999999</v>
      </c>
      <c r="H1170" s="1">
        <v>49.4</v>
      </c>
      <c r="I1170" s="1">
        <v>84.2</v>
      </c>
      <c r="J1170" s="1">
        <v>0.62129652899999999</v>
      </c>
      <c r="K1170" s="1">
        <v>0.53971122199999999</v>
      </c>
      <c r="L1170" s="1">
        <v>0.621203065</v>
      </c>
      <c r="M1170" s="3">
        <v>0.67806811499999997</v>
      </c>
      <c r="N1170" s="1" t="s">
        <v>68</v>
      </c>
      <c r="O1170" s="1">
        <v>1.5131894480000001</v>
      </c>
      <c r="P1170" s="1">
        <v>27.2</v>
      </c>
      <c r="Q1170" s="1">
        <v>41.7</v>
      </c>
      <c r="R1170" s="1">
        <v>0.61299413400000002</v>
      </c>
      <c r="S1170" s="1">
        <v>7.1806404142831556E-2</v>
      </c>
      <c r="T1170" t="s">
        <v>1317</v>
      </c>
      <c r="U1170" s="1">
        <v>768</v>
      </c>
      <c r="V1170">
        <f t="shared" si="72"/>
        <v>0.32059569111461245</v>
      </c>
      <c r="W1170" s="1">
        <f t="shared" si="73"/>
        <v>22.2</v>
      </c>
      <c r="X1170">
        <f t="shared" si="74"/>
        <v>0.22340322500000021</v>
      </c>
      <c r="Y1170">
        <f t="shared" si="75"/>
        <v>42.5</v>
      </c>
      <c r="Z1170" s="1">
        <v>1</v>
      </c>
      <c r="AA1170">
        <v>99</v>
      </c>
      <c r="AB1170">
        <v>1.01E-2</v>
      </c>
      <c r="AC1170">
        <v>2</v>
      </c>
      <c r="AD1170">
        <v>99</v>
      </c>
      <c r="AE1170">
        <v>2.0199999999999999E-2</v>
      </c>
      <c r="AF1170" t="s">
        <v>2589</v>
      </c>
      <c r="AG1170" t="s">
        <v>2588</v>
      </c>
    </row>
    <row r="1171" spans="1:33">
      <c r="A1171" s="2" t="s">
        <v>109</v>
      </c>
      <c r="B1171" s="2" t="s">
        <v>69</v>
      </c>
      <c r="C1171" s="1">
        <v>0.51638908800000005</v>
      </c>
      <c r="D1171">
        <v>0.68684605300000001</v>
      </c>
      <c r="E1171">
        <v>0.66065444600000001</v>
      </c>
      <c r="F1171" s="1" t="s">
        <v>110</v>
      </c>
      <c r="G1171" s="1">
        <v>1.2897862229999999</v>
      </c>
      <c r="H1171" s="1">
        <v>49.4</v>
      </c>
      <c r="I1171" s="1">
        <v>84.2</v>
      </c>
      <c r="J1171" s="1">
        <v>0.62129652899999999</v>
      </c>
      <c r="K1171" s="1">
        <v>0.50188385300000005</v>
      </c>
      <c r="L1171" s="1">
        <v>0.64580031500000001</v>
      </c>
      <c r="M1171" s="3">
        <v>0.66006355800000005</v>
      </c>
      <c r="N1171" s="1" t="s">
        <v>70</v>
      </c>
      <c r="O1171" s="1">
        <v>1.2401055409999999</v>
      </c>
      <c r="P1171" s="1">
        <v>43.4</v>
      </c>
      <c r="Q1171" s="1">
        <v>75.8</v>
      </c>
      <c r="R1171" s="1">
        <v>0.60258257533333337</v>
      </c>
      <c r="S1171" s="1">
        <v>4.3537381627727835E-2</v>
      </c>
      <c r="T1171" t="s">
        <v>1318</v>
      </c>
      <c r="U1171" s="1">
        <v>284460</v>
      </c>
      <c r="V1171">
        <f t="shared" si="72"/>
        <v>0.60600235618917775</v>
      </c>
      <c r="W1171" s="1">
        <f t="shared" si="73"/>
        <v>6</v>
      </c>
      <c r="X1171">
        <f t="shared" si="74"/>
        <v>4.9680681999999976E-2</v>
      </c>
      <c r="Y1171">
        <f t="shared" si="75"/>
        <v>8.4000000000000057</v>
      </c>
      <c r="Z1171" s="1">
        <v>29</v>
      </c>
      <c r="AA1171">
        <v>71</v>
      </c>
      <c r="AB1171">
        <v>0.40849999999999997</v>
      </c>
      <c r="AC1171">
        <v>32</v>
      </c>
      <c r="AD1171">
        <v>76</v>
      </c>
      <c r="AE1171">
        <v>0.42109999999999997</v>
      </c>
      <c r="AF1171" t="s">
        <v>2589</v>
      </c>
      <c r="AG1171" t="s">
        <v>2589</v>
      </c>
    </row>
    <row r="1172" spans="1:33">
      <c r="A1172" s="2" t="s">
        <v>109</v>
      </c>
      <c r="B1172" s="2" t="s">
        <v>71</v>
      </c>
      <c r="C1172" s="1">
        <v>0.51638908800000005</v>
      </c>
      <c r="D1172">
        <v>0.68684605300000001</v>
      </c>
      <c r="E1172">
        <v>0.66065444600000001</v>
      </c>
      <c r="F1172" s="1" t="s">
        <v>110</v>
      </c>
      <c r="G1172" s="1">
        <v>1.2897862229999999</v>
      </c>
      <c r="H1172" s="1">
        <v>49.4</v>
      </c>
      <c r="I1172" s="1">
        <v>84.2</v>
      </c>
      <c r="J1172" s="1">
        <v>0.62129652899999999</v>
      </c>
      <c r="K1172" s="1">
        <v>0.53267569100000001</v>
      </c>
      <c r="L1172" s="1">
        <v>0.64507433599999997</v>
      </c>
      <c r="M1172" s="3">
        <v>0.66598465100000004</v>
      </c>
      <c r="N1172" s="1" t="s">
        <v>72</v>
      </c>
      <c r="O1172" s="1">
        <v>0.97289666900000005</v>
      </c>
      <c r="P1172" s="1">
        <v>64.8</v>
      </c>
      <c r="Q1172" s="1">
        <v>177.1</v>
      </c>
      <c r="R1172" s="1">
        <v>0.61457822600000001</v>
      </c>
      <c r="S1172" s="1">
        <v>4.5150203363326341E-2</v>
      </c>
      <c r="T1172" t="s">
        <v>1319</v>
      </c>
      <c r="U1172" s="1">
        <v>42033</v>
      </c>
      <c r="V1172">
        <f t="shared" si="72"/>
        <v>0.51373226531017024</v>
      </c>
      <c r="W1172" s="1">
        <f t="shared" si="73"/>
        <v>15.399999999999999</v>
      </c>
      <c r="X1172">
        <f t="shared" si="74"/>
        <v>0.31688955399999985</v>
      </c>
      <c r="Y1172">
        <f t="shared" si="75"/>
        <v>92.899999999999991</v>
      </c>
      <c r="Z1172" s="1">
        <v>18</v>
      </c>
      <c r="AA1172">
        <v>82</v>
      </c>
      <c r="AB1172">
        <v>0.2195</v>
      </c>
      <c r="AC1172">
        <v>23</v>
      </c>
      <c r="AD1172">
        <v>96</v>
      </c>
      <c r="AE1172">
        <v>0.23960000000000001</v>
      </c>
      <c r="AF1172" t="s">
        <v>2589</v>
      </c>
      <c r="AG1172" t="s">
        <v>2589</v>
      </c>
    </row>
    <row r="1173" spans="1:33">
      <c r="A1173" s="2" t="s">
        <v>109</v>
      </c>
      <c r="B1173" s="2" t="s">
        <v>73</v>
      </c>
      <c r="C1173" s="1">
        <v>0.51638908800000005</v>
      </c>
      <c r="D1173">
        <v>0.68684605300000001</v>
      </c>
      <c r="E1173">
        <v>0.66065444600000001</v>
      </c>
      <c r="F1173" s="1" t="s">
        <v>110</v>
      </c>
      <c r="G1173" s="1">
        <v>1.2897862229999999</v>
      </c>
      <c r="H1173" s="1">
        <v>49.4</v>
      </c>
      <c r="I1173" s="1">
        <v>84.2</v>
      </c>
      <c r="J1173" s="1">
        <v>0.62129652899999999</v>
      </c>
      <c r="K1173" s="1">
        <v>0.55697925299999995</v>
      </c>
      <c r="L1173" s="1">
        <v>0.64461978399999997</v>
      </c>
      <c r="M1173" s="3">
        <v>0.69570690000000002</v>
      </c>
      <c r="N1173" s="1" t="s">
        <v>74</v>
      </c>
      <c r="O1173" s="1">
        <v>1.23433584</v>
      </c>
      <c r="P1173" s="1">
        <v>44</v>
      </c>
      <c r="Q1173" s="1">
        <v>79.8</v>
      </c>
      <c r="R1173" s="1">
        <v>0.63243531233333328</v>
      </c>
      <c r="S1173" s="1">
        <v>6.825902006189144E-2</v>
      </c>
      <c r="T1173" t="s">
        <v>1320</v>
      </c>
      <c r="U1173" s="1">
        <v>69601</v>
      </c>
      <c r="V1173">
        <f t="shared" si="72"/>
        <v>0.53806838660322009</v>
      </c>
      <c r="W1173" s="1">
        <f t="shared" si="73"/>
        <v>5.3999999999999986</v>
      </c>
      <c r="X1173">
        <f t="shared" si="74"/>
        <v>5.5450382999999936E-2</v>
      </c>
      <c r="Y1173">
        <f t="shared" si="75"/>
        <v>4.4000000000000057</v>
      </c>
      <c r="Z1173" s="1">
        <v>24</v>
      </c>
      <c r="AA1173">
        <v>76</v>
      </c>
      <c r="AB1173">
        <v>0.31580000000000003</v>
      </c>
      <c r="AC1173">
        <v>27</v>
      </c>
      <c r="AD1173">
        <v>77</v>
      </c>
      <c r="AE1173">
        <v>0.35060000000000002</v>
      </c>
      <c r="AF1173" t="s">
        <v>2589</v>
      </c>
      <c r="AG1173" t="s">
        <v>2589</v>
      </c>
    </row>
    <row r="1174" spans="1:33">
      <c r="A1174" s="2" t="s">
        <v>109</v>
      </c>
      <c r="B1174" s="2" t="s">
        <v>75</v>
      </c>
      <c r="C1174" s="1">
        <v>0.51638908800000005</v>
      </c>
      <c r="D1174">
        <v>0.68684605300000001</v>
      </c>
      <c r="E1174">
        <v>0.66065444600000001</v>
      </c>
      <c r="F1174" s="1" t="s">
        <v>110</v>
      </c>
      <c r="G1174" s="1">
        <v>1.2897862229999999</v>
      </c>
      <c r="H1174" s="1">
        <v>49.4</v>
      </c>
      <c r="I1174" s="1">
        <v>84.2</v>
      </c>
      <c r="J1174" s="1">
        <v>0.62129652899999999</v>
      </c>
      <c r="K1174" s="1">
        <v>0.50354843500000002</v>
      </c>
      <c r="L1174" s="1">
        <v>0.59724402499999996</v>
      </c>
      <c r="M1174" s="3">
        <v>0.70308254199999998</v>
      </c>
      <c r="N1174" s="1" t="s">
        <v>76</v>
      </c>
      <c r="O1174" s="1">
        <v>1.2696850390000001</v>
      </c>
      <c r="P1174" s="1">
        <v>26.6</v>
      </c>
      <c r="Q1174" s="1">
        <v>50.8</v>
      </c>
      <c r="R1174" s="1">
        <v>0.60129166733333339</v>
      </c>
      <c r="S1174" s="1">
        <v>9.9967740403414232E-2</v>
      </c>
      <c r="T1174" t="s">
        <v>1321</v>
      </c>
      <c r="U1174" s="1">
        <v>7418</v>
      </c>
      <c r="V1174">
        <f t="shared" si="72"/>
        <v>0.43003186988806569</v>
      </c>
      <c r="W1174" s="1">
        <f t="shared" si="73"/>
        <v>22.799999999999997</v>
      </c>
      <c r="X1174">
        <f t="shared" si="74"/>
        <v>2.0101183999999828E-2</v>
      </c>
      <c r="Y1174">
        <f t="shared" si="75"/>
        <v>33.400000000000006</v>
      </c>
      <c r="Z1174" s="1">
        <v>6</v>
      </c>
      <c r="AA1174">
        <v>94</v>
      </c>
      <c r="AB1174">
        <v>6.3799999999999996E-2</v>
      </c>
      <c r="AC1174">
        <v>9</v>
      </c>
      <c r="AD1174">
        <v>95</v>
      </c>
      <c r="AE1174">
        <v>9.4700000000000006E-2</v>
      </c>
      <c r="AF1174" t="s">
        <v>2589</v>
      </c>
      <c r="AG1174" t="s">
        <v>2594</v>
      </c>
    </row>
    <row r="1175" spans="1:33">
      <c r="A1175" s="2" t="s">
        <v>109</v>
      </c>
      <c r="B1175" s="2" t="s">
        <v>77</v>
      </c>
      <c r="C1175" s="1">
        <v>0.51638908800000005</v>
      </c>
      <c r="D1175">
        <v>0.68684605300000001</v>
      </c>
      <c r="E1175">
        <v>0.66065444600000001</v>
      </c>
      <c r="F1175" s="1" t="s">
        <v>110</v>
      </c>
      <c r="G1175" s="1">
        <v>1.2897862229999999</v>
      </c>
      <c r="H1175" s="1">
        <v>49.4</v>
      </c>
      <c r="I1175" s="1">
        <v>84.2</v>
      </c>
      <c r="J1175" s="1">
        <v>0.62129652899999999</v>
      </c>
      <c r="K1175" s="1">
        <v>0.54630843299999998</v>
      </c>
      <c r="L1175" s="1">
        <v>0.68935555900000001</v>
      </c>
      <c r="M1175" s="3">
        <v>0.65478744899999997</v>
      </c>
      <c r="N1175" s="1" t="s">
        <v>78</v>
      </c>
      <c r="O1175" s="1">
        <v>1.3914285710000001</v>
      </c>
      <c r="P1175" s="1">
        <v>56.5</v>
      </c>
      <c r="Q1175" s="1">
        <v>105</v>
      </c>
      <c r="R1175" s="1">
        <v>0.63015048033333343</v>
      </c>
      <c r="S1175" s="1">
        <v>3.0592261756710083E-2</v>
      </c>
      <c r="T1175" t="s">
        <v>1322</v>
      </c>
      <c r="U1175" s="1">
        <v>1522</v>
      </c>
      <c r="V1175">
        <f t="shared" si="72"/>
        <v>0.35360162804828377</v>
      </c>
      <c r="W1175" s="1">
        <f t="shared" si="73"/>
        <v>7.1000000000000014</v>
      </c>
      <c r="X1175">
        <f t="shared" si="74"/>
        <v>0.10164234800000016</v>
      </c>
      <c r="Y1175">
        <f t="shared" si="75"/>
        <v>20.799999999999997</v>
      </c>
      <c r="Z1175" s="1">
        <v>2</v>
      </c>
      <c r="AA1175">
        <v>98</v>
      </c>
      <c r="AB1175">
        <v>2.0400000000000001E-2</v>
      </c>
      <c r="AC1175">
        <v>3</v>
      </c>
      <c r="AD1175">
        <v>90</v>
      </c>
      <c r="AE1175">
        <v>3.3300000000000003E-2</v>
      </c>
      <c r="AF1175" t="s">
        <v>2589</v>
      </c>
      <c r="AG1175" t="s">
        <v>2590</v>
      </c>
    </row>
    <row r="1176" spans="1:33">
      <c r="A1176" s="2" t="s">
        <v>109</v>
      </c>
      <c r="B1176" s="2" t="s">
        <v>79</v>
      </c>
      <c r="C1176" s="1">
        <v>0.51638908800000005</v>
      </c>
      <c r="D1176">
        <v>0.68684605300000001</v>
      </c>
      <c r="E1176">
        <v>0.66065444600000001</v>
      </c>
      <c r="F1176" s="1" t="s">
        <v>110</v>
      </c>
      <c r="G1176" s="1">
        <v>1.2897862229999999</v>
      </c>
      <c r="H1176" s="1">
        <v>49.4</v>
      </c>
      <c r="I1176" s="1">
        <v>84.2</v>
      </c>
      <c r="J1176" s="1">
        <v>0.62129652899999999</v>
      </c>
      <c r="K1176" s="1">
        <v>0.63652882899999996</v>
      </c>
      <c r="L1176" s="1">
        <v>0.77536518600000004</v>
      </c>
      <c r="M1176" s="3">
        <v>0.610415606</v>
      </c>
      <c r="N1176" s="1" t="s">
        <v>80</v>
      </c>
      <c r="O1176" s="1">
        <v>0.95325542600000002</v>
      </c>
      <c r="P1176" s="1">
        <v>45.6</v>
      </c>
      <c r="Q1176" s="1">
        <v>119.8</v>
      </c>
      <c r="R1176" s="1">
        <v>0.67410320700000004</v>
      </c>
      <c r="S1176" s="1">
        <v>0.15745836058832938</v>
      </c>
      <c r="T1176" t="s">
        <v>1323</v>
      </c>
      <c r="U1176" s="1">
        <v>2425</v>
      </c>
      <c r="V1176">
        <f t="shared" si="72"/>
        <v>0.37607908254869804</v>
      </c>
      <c r="W1176" s="1">
        <f t="shared" si="73"/>
        <v>3.7999999999999972</v>
      </c>
      <c r="X1176">
        <f t="shared" si="74"/>
        <v>0.33653079699999988</v>
      </c>
      <c r="Y1176">
        <f t="shared" si="75"/>
        <v>35.599999999999994</v>
      </c>
      <c r="Z1176" s="1">
        <v>1</v>
      </c>
      <c r="AA1176">
        <v>99</v>
      </c>
      <c r="AB1176">
        <v>1.01E-2</v>
      </c>
      <c r="AC1176">
        <v>2</v>
      </c>
      <c r="AD1176">
        <v>82</v>
      </c>
      <c r="AE1176">
        <v>2.4400000000000002E-2</v>
      </c>
      <c r="AF1176" t="s">
        <v>2589</v>
      </c>
      <c r="AG1176" t="s">
        <v>2590</v>
      </c>
    </row>
    <row r="1177" spans="1:33">
      <c r="A1177" s="2" t="s">
        <v>109</v>
      </c>
      <c r="B1177" s="2" t="s">
        <v>81</v>
      </c>
      <c r="C1177" s="1">
        <v>0.51638908800000005</v>
      </c>
      <c r="D1177">
        <v>0.68684605300000001</v>
      </c>
      <c r="E1177">
        <v>0.66065444600000001</v>
      </c>
      <c r="F1177" s="1" t="s">
        <v>110</v>
      </c>
      <c r="G1177" s="1">
        <v>1.2897862229999999</v>
      </c>
      <c r="H1177" s="1">
        <v>49.4</v>
      </c>
      <c r="I1177" s="1">
        <v>84.2</v>
      </c>
      <c r="J1177" s="1">
        <v>0.62129652899999999</v>
      </c>
      <c r="K1177" s="1">
        <v>0.50183280699999999</v>
      </c>
      <c r="L1177" s="1">
        <v>0.68550824600000004</v>
      </c>
      <c r="M1177" s="3">
        <v>0.66941488999999998</v>
      </c>
      <c r="N1177" s="1" t="s">
        <v>82</v>
      </c>
      <c r="O1177" s="1">
        <v>1.4359576970000001</v>
      </c>
      <c r="P1177" s="1">
        <v>51</v>
      </c>
      <c r="Q1177" s="1">
        <v>85.1</v>
      </c>
      <c r="R1177" s="1">
        <v>0.61891864766666671</v>
      </c>
      <c r="S1177" s="1">
        <v>1.7041725945377343E-2</v>
      </c>
      <c r="T1177" t="s">
        <v>1324</v>
      </c>
      <c r="U1177" s="1">
        <v>6603</v>
      </c>
      <c r="V1177">
        <f t="shared" si="72"/>
        <v>0.42441569969700116</v>
      </c>
      <c r="W1177" s="1">
        <f t="shared" si="73"/>
        <v>1.6000000000000014</v>
      </c>
      <c r="X1177">
        <f t="shared" si="74"/>
        <v>0.14617147400000019</v>
      </c>
      <c r="Y1177">
        <f t="shared" si="75"/>
        <v>0.89999999999999147</v>
      </c>
      <c r="Z1177" s="1">
        <v>0</v>
      </c>
      <c r="AA1177">
        <v>100</v>
      </c>
      <c r="AB1177">
        <v>0</v>
      </c>
      <c r="AC1177">
        <v>0</v>
      </c>
      <c r="AD1177">
        <v>95</v>
      </c>
      <c r="AE1177">
        <v>0</v>
      </c>
      <c r="AF1177" t="s">
        <v>2589</v>
      </c>
      <c r="AG1177" t="s">
        <v>2589</v>
      </c>
    </row>
    <row r="1178" spans="1:33">
      <c r="A1178" s="2" t="s">
        <v>109</v>
      </c>
      <c r="B1178" s="2" t="s">
        <v>83</v>
      </c>
      <c r="C1178" s="1">
        <v>0.51638908800000005</v>
      </c>
      <c r="D1178">
        <v>0.68684605300000001</v>
      </c>
      <c r="E1178">
        <v>0.66065444600000001</v>
      </c>
      <c r="F1178" s="1" t="s">
        <v>110</v>
      </c>
      <c r="G1178" s="1">
        <v>1.2897862229999999</v>
      </c>
      <c r="H1178" s="1">
        <v>49.4</v>
      </c>
      <c r="I1178" s="1">
        <v>84.2</v>
      </c>
      <c r="J1178" s="1">
        <v>0.62129652899999999</v>
      </c>
      <c r="K1178" s="1">
        <v>0.51815179099999997</v>
      </c>
      <c r="L1178" s="1">
        <v>0.50115949400000004</v>
      </c>
      <c r="M1178" s="3">
        <v>0.68053170600000001</v>
      </c>
      <c r="N1178" s="1" t="s">
        <v>84</v>
      </c>
      <c r="O1178" s="1">
        <v>1.760323887</v>
      </c>
      <c r="P1178" s="1">
        <v>83.4</v>
      </c>
      <c r="Q1178" s="1">
        <v>123.5</v>
      </c>
      <c r="R1178" s="1">
        <v>0.56661433033333342</v>
      </c>
      <c r="S1178" s="1">
        <v>0.1867557516657366</v>
      </c>
      <c r="T1178" t="s">
        <v>1325</v>
      </c>
      <c r="U1178" s="1">
        <v>53425</v>
      </c>
      <c r="V1178">
        <f t="shared" si="72"/>
        <v>0.52530494787067861</v>
      </c>
      <c r="W1178" s="1">
        <f t="shared" si="73"/>
        <v>34.000000000000007</v>
      </c>
      <c r="X1178">
        <f t="shared" si="74"/>
        <v>0.47053766400000008</v>
      </c>
      <c r="Y1178">
        <f t="shared" si="75"/>
        <v>39.299999999999997</v>
      </c>
      <c r="Z1178" s="1">
        <v>7</v>
      </c>
      <c r="AA1178">
        <v>93</v>
      </c>
      <c r="AB1178">
        <v>7.5300000000000006E-2</v>
      </c>
      <c r="AC1178">
        <v>8</v>
      </c>
      <c r="AD1178">
        <v>82</v>
      </c>
      <c r="AE1178">
        <v>9.7600000000000006E-2</v>
      </c>
      <c r="AF1178" t="s">
        <v>2589</v>
      </c>
      <c r="AG1178" t="s">
        <v>2589</v>
      </c>
    </row>
    <row r="1179" spans="1:33">
      <c r="A1179" s="2" t="s">
        <v>109</v>
      </c>
      <c r="B1179" s="2" t="s">
        <v>85</v>
      </c>
      <c r="C1179" s="1">
        <v>0.51638908800000005</v>
      </c>
      <c r="D1179">
        <v>0.68684605300000001</v>
      </c>
      <c r="E1179">
        <v>0.66065444600000001</v>
      </c>
      <c r="F1179" s="1" t="s">
        <v>110</v>
      </c>
      <c r="G1179" s="1">
        <v>1.2897862229999999</v>
      </c>
      <c r="H1179" s="1">
        <v>49.4</v>
      </c>
      <c r="I1179" s="1">
        <v>84.2</v>
      </c>
      <c r="J1179" s="1">
        <v>0.62129652899999999</v>
      </c>
      <c r="K1179" s="1">
        <v>0.522280945</v>
      </c>
      <c r="L1179" s="1">
        <v>0.58016629799999997</v>
      </c>
      <c r="M1179" s="3">
        <v>0.62446713499999995</v>
      </c>
      <c r="N1179" s="1" t="s">
        <v>86</v>
      </c>
      <c r="O1179" s="1">
        <v>0.57177615599999998</v>
      </c>
      <c r="P1179" s="1">
        <v>19.5</v>
      </c>
      <c r="Q1179" s="1">
        <v>82.2</v>
      </c>
      <c r="R1179" s="1">
        <v>0.57563812599999997</v>
      </c>
      <c r="S1179" s="1">
        <v>0.11280427998608566</v>
      </c>
      <c r="T1179" t="s">
        <v>1326</v>
      </c>
      <c r="U1179" s="1">
        <v>345</v>
      </c>
      <c r="V1179">
        <f t="shared" si="72"/>
        <v>0.281979899452586</v>
      </c>
      <c r="W1179" s="1">
        <f t="shared" si="73"/>
        <v>29.9</v>
      </c>
      <c r="X1179">
        <f t="shared" si="74"/>
        <v>0.71801006699999992</v>
      </c>
      <c r="Y1179">
        <f t="shared" si="75"/>
        <v>2</v>
      </c>
      <c r="Z1179" s="1">
        <v>1</v>
      </c>
      <c r="AA1179">
        <v>99</v>
      </c>
      <c r="AB1179">
        <v>1.01E-2</v>
      </c>
      <c r="AC1179">
        <v>2</v>
      </c>
      <c r="AD1179">
        <v>153</v>
      </c>
      <c r="AE1179">
        <v>1.3100000000000001E-2</v>
      </c>
      <c r="AF1179" t="s">
        <v>2589</v>
      </c>
      <c r="AG1179" t="s">
        <v>2590</v>
      </c>
    </row>
    <row r="1180" spans="1:33">
      <c r="A1180" s="2" t="s">
        <v>109</v>
      </c>
      <c r="B1180" s="2" t="s">
        <v>87</v>
      </c>
      <c r="C1180" s="1">
        <v>0.51638908800000005</v>
      </c>
      <c r="D1180">
        <v>0.68684605300000001</v>
      </c>
      <c r="E1180">
        <v>0.66065444600000001</v>
      </c>
      <c r="F1180" s="1" t="s">
        <v>110</v>
      </c>
      <c r="G1180" s="1">
        <v>1.2897862229999999</v>
      </c>
      <c r="H1180" s="1">
        <v>49.4</v>
      </c>
      <c r="I1180" s="1">
        <v>84.2</v>
      </c>
      <c r="J1180" s="1">
        <v>0.62129652899999999</v>
      </c>
      <c r="K1180" s="1">
        <v>0.46780425199999998</v>
      </c>
      <c r="L1180" s="1">
        <v>0.54149707400000002</v>
      </c>
      <c r="M1180" s="3">
        <v>0.61626236400000001</v>
      </c>
      <c r="N1180" s="1" t="s">
        <v>88</v>
      </c>
      <c r="O1180" s="1">
        <v>1.395454545</v>
      </c>
      <c r="P1180" s="1">
        <v>65.2</v>
      </c>
      <c r="Q1180" s="1">
        <v>110</v>
      </c>
      <c r="R1180" s="1">
        <v>0.54185456333333337</v>
      </c>
      <c r="S1180" s="1">
        <v>0.15955396870583965</v>
      </c>
      <c r="T1180" t="s">
        <v>1327</v>
      </c>
      <c r="U1180" s="1">
        <v>8786</v>
      </c>
      <c r="V1180">
        <f t="shared" si="72"/>
        <v>0.43819902210325573</v>
      </c>
      <c r="W1180" s="1">
        <f t="shared" si="73"/>
        <v>15.800000000000004</v>
      </c>
      <c r="X1180">
        <f t="shared" si="74"/>
        <v>0.10566832200000009</v>
      </c>
      <c r="Y1180">
        <f t="shared" si="75"/>
        <v>25.799999999999997</v>
      </c>
      <c r="Z1180" s="1">
        <v>7</v>
      </c>
      <c r="AA1180">
        <v>93</v>
      </c>
      <c r="AB1180">
        <v>7.5300000000000006E-2</v>
      </c>
      <c r="AC1180">
        <v>9</v>
      </c>
      <c r="AD1180">
        <v>79</v>
      </c>
      <c r="AE1180">
        <v>0.1139</v>
      </c>
      <c r="AF1180" t="s">
        <v>2589</v>
      </c>
      <c r="AG1180" t="s">
        <v>2590</v>
      </c>
    </row>
    <row r="1181" spans="1:33">
      <c r="A1181" s="2" t="s">
        <v>109</v>
      </c>
      <c r="B1181" s="2" t="s">
        <v>89</v>
      </c>
      <c r="C1181" s="1">
        <v>0.51638908800000005</v>
      </c>
      <c r="D1181">
        <v>0.68684605300000001</v>
      </c>
      <c r="E1181">
        <v>0.66065444600000001</v>
      </c>
      <c r="F1181" s="1" t="s">
        <v>110</v>
      </c>
      <c r="G1181" s="1">
        <v>1.2897862229999999</v>
      </c>
      <c r="H1181" s="1">
        <v>49.4</v>
      </c>
      <c r="I1181" s="1">
        <v>84.2</v>
      </c>
      <c r="J1181" s="1">
        <v>0.62129652899999999</v>
      </c>
      <c r="K1181" s="1">
        <v>0.51097051500000001</v>
      </c>
      <c r="L1181" s="1">
        <v>0.61917891400000002</v>
      </c>
      <c r="M1181" s="3">
        <v>0.60984479800000002</v>
      </c>
      <c r="N1181" s="1" t="s">
        <v>90</v>
      </c>
      <c r="O1181" s="1">
        <v>1.429752066</v>
      </c>
      <c r="P1181" s="1">
        <v>59.8</v>
      </c>
      <c r="Q1181" s="1">
        <v>108.9</v>
      </c>
      <c r="R1181" s="1">
        <v>0.57999807566666661</v>
      </c>
      <c r="S1181" s="1">
        <v>8.479282377468951E-2</v>
      </c>
      <c r="T1181" t="s">
        <v>1328</v>
      </c>
      <c r="U1181" s="1">
        <v>23486</v>
      </c>
      <c r="V1181">
        <f t="shared" si="72"/>
        <v>0.48564545072727722</v>
      </c>
      <c r="W1181" s="1">
        <f t="shared" si="73"/>
        <v>10.399999999999999</v>
      </c>
      <c r="X1181">
        <f t="shared" si="74"/>
        <v>0.13996584300000015</v>
      </c>
      <c r="Y1181">
        <f t="shared" si="75"/>
        <v>24.700000000000003</v>
      </c>
      <c r="Z1181" s="1">
        <v>19</v>
      </c>
      <c r="AA1181">
        <v>81</v>
      </c>
      <c r="AB1181">
        <v>0.2346</v>
      </c>
      <c r="AC1181">
        <v>21</v>
      </c>
      <c r="AD1181">
        <v>76</v>
      </c>
      <c r="AE1181">
        <v>0.27629999999999999</v>
      </c>
      <c r="AF1181" t="s">
        <v>2589</v>
      </c>
      <c r="AG1181" t="s">
        <v>2589</v>
      </c>
    </row>
    <row r="1182" spans="1:33">
      <c r="A1182" s="2" t="s">
        <v>109</v>
      </c>
      <c r="B1182" s="2" t="s">
        <v>91</v>
      </c>
      <c r="C1182" s="1">
        <v>0.51638908800000005</v>
      </c>
      <c r="D1182">
        <v>0.68684605300000001</v>
      </c>
      <c r="E1182">
        <v>0.66065444600000001</v>
      </c>
      <c r="F1182" s="1" t="s">
        <v>110</v>
      </c>
      <c r="G1182" s="1">
        <v>1.2897862229999999</v>
      </c>
      <c r="H1182" s="1">
        <v>49.4</v>
      </c>
      <c r="I1182" s="1">
        <v>84.2</v>
      </c>
      <c r="J1182" s="1">
        <v>0.62129652899999999</v>
      </c>
      <c r="K1182" s="1">
        <v>0.37439919700000002</v>
      </c>
      <c r="L1182" s="1">
        <v>0.508839347</v>
      </c>
      <c r="M1182" s="3">
        <v>0.52701193599999996</v>
      </c>
      <c r="N1182" s="1" t="s">
        <v>92</v>
      </c>
      <c r="O1182" s="1">
        <v>1.911504425</v>
      </c>
      <c r="P1182" s="1">
        <v>24.6</v>
      </c>
      <c r="Q1182" s="1">
        <v>33.9</v>
      </c>
      <c r="R1182" s="1">
        <v>0.47008349333333332</v>
      </c>
      <c r="S1182" s="1">
        <v>0.26402241762066803</v>
      </c>
      <c r="T1182" t="s">
        <v>1329</v>
      </c>
      <c r="U1182" s="1">
        <v>328</v>
      </c>
      <c r="V1182">
        <f t="shared" si="72"/>
        <v>0.27954153819018657</v>
      </c>
      <c r="W1182" s="1">
        <f t="shared" si="73"/>
        <v>24.799999999999997</v>
      </c>
      <c r="X1182">
        <f t="shared" si="74"/>
        <v>0.62171820200000005</v>
      </c>
      <c r="Y1182">
        <f t="shared" si="75"/>
        <v>50.300000000000004</v>
      </c>
      <c r="Z1182" s="1">
        <v>4</v>
      </c>
      <c r="AA1182">
        <v>96</v>
      </c>
      <c r="AB1182">
        <v>4.1700000000000001E-2</v>
      </c>
      <c r="AC1182">
        <v>5</v>
      </c>
      <c r="AD1182">
        <v>99</v>
      </c>
      <c r="AE1182">
        <v>5.0500000000000003E-2</v>
      </c>
      <c r="AF1182" t="s">
        <v>2589</v>
      </c>
      <c r="AG1182" t="s">
        <v>2590</v>
      </c>
    </row>
    <row r="1183" spans="1:33">
      <c r="A1183" s="2" t="s">
        <v>109</v>
      </c>
      <c r="B1183" s="2" t="s">
        <v>93</v>
      </c>
      <c r="C1183" s="1">
        <v>0.51638908800000005</v>
      </c>
      <c r="D1183">
        <v>0.68684605300000001</v>
      </c>
      <c r="E1183">
        <v>0.66065444600000001</v>
      </c>
      <c r="F1183" s="1" t="s">
        <v>110</v>
      </c>
      <c r="G1183" s="1">
        <v>1.2897862229999999</v>
      </c>
      <c r="H1183" s="1">
        <v>49.4</v>
      </c>
      <c r="I1183" s="1">
        <v>84.2</v>
      </c>
      <c r="J1183" s="1">
        <v>0.62129652899999999</v>
      </c>
      <c r="K1183" s="1">
        <v>0.54134617200000001</v>
      </c>
      <c r="L1183" s="1">
        <v>0.674899633</v>
      </c>
      <c r="M1183" s="3">
        <v>0.719840174</v>
      </c>
      <c r="N1183" s="1" t="s">
        <v>94</v>
      </c>
      <c r="O1183" s="1">
        <v>1.175388967</v>
      </c>
      <c r="P1183" s="1">
        <v>36.6</v>
      </c>
      <c r="Q1183" s="1">
        <v>70.7</v>
      </c>
      <c r="R1183" s="1">
        <v>0.64536199299999997</v>
      </c>
      <c r="S1183" s="1">
        <v>6.5333937517108504E-2</v>
      </c>
      <c r="T1183" t="s">
        <v>1330</v>
      </c>
      <c r="U1183" s="1">
        <v>7046</v>
      </c>
      <c r="V1183">
        <f t="shared" si="72"/>
        <v>0.42754918209391374</v>
      </c>
      <c r="W1183" s="1">
        <f t="shared" si="73"/>
        <v>12.799999999999997</v>
      </c>
      <c r="X1183">
        <f t="shared" si="74"/>
        <v>0.11439725599999995</v>
      </c>
      <c r="Y1183">
        <f t="shared" si="75"/>
        <v>13.5</v>
      </c>
      <c r="Z1183" s="1">
        <v>14</v>
      </c>
      <c r="AA1183">
        <v>86</v>
      </c>
      <c r="AB1183">
        <v>0.1628</v>
      </c>
      <c r="AC1183">
        <v>16</v>
      </c>
      <c r="AD1183">
        <v>79</v>
      </c>
      <c r="AE1183">
        <v>0.20250000000000001</v>
      </c>
      <c r="AF1183" t="s">
        <v>2589</v>
      </c>
      <c r="AG1183" t="s">
        <v>2589</v>
      </c>
    </row>
    <row r="1184" spans="1:33">
      <c r="A1184" s="2" t="s">
        <v>109</v>
      </c>
      <c r="B1184" s="2" t="s">
        <v>95</v>
      </c>
      <c r="C1184" s="1">
        <v>0.51638908800000005</v>
      </c>
      <c r="D1184">
        <v>0.68684605300000001</v>
      </c>
      <c r="E1184">
        <v>0.66065444600000001</v>
      </c>
      <c r="F1184" s="1" t="s">
        <v>110</v>
      </c>
      <c r="G1184" s="1">
        <v>1.2897862229999999</v>
      </c>
      <c r="H1184" s="1">
        <v>49.4</v>
      </c>
      <c r="I1184" s="1">
        <v>84.2</v>
      </c>
      <c r="J1184" s="1">
        <v>0.62129652899999999</v>
      </c>
      <c r="K1184" s="1">
        <v>0.59462093100000002</v>
      </c>
      <c r="L1184" s="1">
        <v>0.68038960500000001</v>
      </c>
      <c r="M1184" s="3">
        <v>0.72533004899999998</v>
      </c>
      <c r="N1184" s="1" t="s">
        <v>96</v>
      </c>
      <c r="O1184" s="1">
        <v>1.9717647060000001</v>
      </c>
      <c r="P1184" s="1">
        <v>34.6</v>
      </c>
      <c r="Q1184" s="1">
        <v>42.5</v>
      </c>
      <c r="R1184" s="1">
        <v>0.66678019499999996</v>
      </c>
      <c r="S1184" s="1">
        <v>0.10170958953494481</v>
      </c>
      <c r="T1184" t="s">
        <v>1331</v>
      </c>
      <c r="U1184" s="1">
        <v>329</v>
      </c>
      <c r="V1184">
        <f t="shared" si="72"/>
        <v>0.27968843310555269</v>
      </c>
      <c r="W1184" s="1">
        <f t="shared" si="73"/>
        <v>14.799999999999997</v>
      </c>
      <c r="X1184">
        <f t="shared" si="74"/>
        <v>0.68197848300000019</v>
      </c>
      <c r="Y1184">
        <f t="shared" si="75"/>
        <v>41.7</v>
      </c>
      <c r="Z1184" s="1">
        <v>0</v>
      </c>
      <c r="AA1184">
        <v>100</v>
      </c>
      <c r="AB1184">
        <v>0</v>
      </c>
      <c r="AC1184">
        <v>0</v>
      </c>
      <c r="AD1184">
        <v>101</v>
      </c>
      <c r="AE1184">
        <v>0</v>
      </c>
      <c r="AF1184" t="s">
        <v>2589</v>
      </c>
      <c r="AG1184" t="s">
        <v>2593</v>
      </c>
    </row>
    <row r="1185" spans="1:33">
      <c r="A1185" s="2" t="s">
        <v>109</v>
      </c>
      <c r="B1185" s="2" t="s">
        <v>97</v>
      </c>
      <c r="C1185" s="1">
        <v>0.51638908800000005</v>
      </c>
      <c r="D1185">
        <v>0.68684605300000001</v>
      </c>
      <c r="E1185">
        <v>0.66065444600000001</v>
      </c>
      <c r="F1185" s="1" t="s">
        <v>110</v>
      </c>
      <c r="G1185" s="1">
        <v>1.2897862229999999</v>
      </c>
      <c r="H1185" s="1">
        <v>49.4</v>
      </c>
      <c r="I1185" s="1">
        <v>84.2</v>
      </c>
      <c r="J1185" s="1">
        <v>0.62129652899999999</v>
      </c>
      <c r="K1185" s="1">
        <v>0.63674842300000001</v>
      </c>
      <c r="L1185" s="1">
        <v>0.68532635500000005</v>
      </c>
      <c r="M1185" s="3">
        <v>0.727031494</v>
      </c>
      <c r="N1185" s="1" t="s">
        <v>98</v>
      </c>
      <c r="O1185" s="1">
        <v>2.360103627</v>
      </c>
      <c r="P1185" s="1">
        <v>36.799999999999997</v>
      </c>
      <c r="Q1185" s="1">
        <v>38.6</v>
      </c>
      <c r="R1185" s="1">
        <v>0.68303542400000017</v>
      </c>
      <c r="S1185" s="1">
        <v>0.13745759893453588</v>
      </c>
      <c r="T1185" t="s">
        <v>1332</v>
      </c>
      <c r="U1185" s="1">
        <v>308</v>
      </c>
      <c r="V1185">
        <f t="shared" si="72"/>
        <v>0.27650563516671606</v>
      </c>
      <c r="W1185" s="1">
        <f t="shared" si="73"/>
        <v>12.600000000000001</v>
      </c>
      <c r="X1185">
        <f t="shared" si="74"/>
        <v>1.0703174040000001</v>
      </c>
      <c r="Y1185">
        <f t="shared" si="75"/>
        <v>45.6</v>
      </c>
      <c r="Z1185" s="1">
        <v>0</v>
      </c>
      <c r="AA1185">
        <v>100</v>
      </c>
      <c r="AB1185">
        <v>0</v>
      </c>
      <c r="AC1185">
        <v>0</v>
      </c>
      <c r="AD1185">
        <v>101</v>
      </c>
      <c r="AE1185">
        <v>0</v>
      </c>
      <c r="AF1185" t="s">
        <v>2589</v>
      </c>
      <c r="AG1185" t="s">
        <v>2593</v>
      </c>
    </row>
    <row r="1186" spans="1:33">
      <c r="A1186" s="2" t="s">
        <v>109</v>
      </c>
      <c r="B1186" s="2" t="s">
        <v>99</v>
      </c>
      <c r="C1186" s="1">
        <v>0.51638908800000005</v>
      </c>
      <c r="D1186">
        <v>0.68684605300000001</v>
      </c>
      <c r="E1186">
        <v>0.66065444600000001</v>
      </c>
      <c r="F1186" s="1" t="s">
        <v>110</v>
      </c>
      <c r="G1186" s="1">
        <v>1.2897862229999999</v>
      </c>
      <c r="H1186" s="1">
        <v>49.4</v>
      </c>
      <c r="I1186" s="1">
        <v>84.2</v>
      </c>
      <c r="J1186" s="1">
        <v>0.62129652899999999</v>
      </c>
      <c r="K1186" s="1">
        <v>0.52525630099999998</v>
      </c>
      <c r="L1186" s="1">
        <v>0.68706170200000005</v>
      </c>
      <c r="M1186" s="3">
        <v>0.71473597300000002</v>
      </c>
      <c r="N1186" s="1" t="s">
        <v>100</v>
      </c>
      <c r="O1186" s="1">
        <v>1.72605042</v>
      </c>
      <c r="P1186" s="1">
        <v>46.5</v>
      </c>
      <c r="Q1186" s="1">
        <v>59.5</v>
      </c>
      <c r="R1186" s="1">
        <v>0.64235132533333339</v>
      </c>
      <c r="S1186" s="1">
        <v>5.4804064936191547E-2</v>
      </c>
      <c r="T1186" t="s">
        <v>1333</v>
      </c>
      <c r="U1186" s="1">
        <v>8085</v>
      </c>
      <c r="V1186">
        <f t="shared" si="72"/>
        <v>0.4341866693602689</v>
      </c>
      <c r="W1186" s="1">
        <f t="shared" si="73"/>
        <v>2.8999999999999986</v>
      </c>
      <c r="X1186">
        <f t="shared" si="74"/>
        <v>0.43626419700000008</v>
      </c>
      <c r="Y1186">
        <f t="shared" si="75"/>
        <v>24.700000000000003</v>
      </c>
      <c r="Z1186" s="1">
        <v>0</v>
      </c>
      <c r="AA1186">
        <v>100</v>
      </c>
      <c r="AB1186">
        <v>0</v>
      </c>
      <c r="AC1186">
        <v>0</v>
      </c>
      <c r="AD1186">
        <v>103</v>
      </c>
      <c r="AE1186">
        <v>0</v>
      </c>
      <c r="AF1186" t="s">
        <v>2589</v>
      </c>
      <c r="AG1186" t="s">
        <v>2589</v>
      </c>
    </row>
    <row r="1187" spans="1:33">
      <c r="A1187" s="2" t="s">
        <v>109</v>
      </c>
      <c r="B1187" s="2" t="s">
        <v>148</v>
      </c>
      <c r="C1187" s="1">
        <v>0.51638908800000005</v>
      </c>
      <c r="D1187">
        <v>0.68684605300000001</v>
      </c>
      <c r="E1187">
        <v>0.66065444600000001</v>
      </c>
      <c r="F1187" s="1" t="s">
        <v>110</v>
      </c>
      <c r="G1187" s="1">
        <v>1.2897862229999999</v>
      </c>
      <c r="H1187" s="1">
        <v>49.4</v>
      </c>
      <c r="I1187" s="1">
        <v>84.2</v>
      </c>
      <c r="J1187" s="1">
        <v>0.62129652899999999</v>
      </c>
      <c r="K1187" s="1">
        <v>0.52246277500000005</v>
      </c>
      <c r="L1187" s="1">
        <v>0.64036274199999998</v>
      </c>
      <c r="M1187" s="3">
        <v>0.62317592099999997</v>
      </c>
      <c r="N1187" s="1" t="s">
        <v>149</v>
      </c>
      <c r="O1187" s="1">
        <v>1.201000834</v>
      </c>
      <c r="P1187" s="1">
        <v>59.2</v>
      </c>
      <c r="Q1187" s="1">
        <v>119.9</v>
      </c>
      <c r="R1187" s="1">
        <v>0.59533381266666663</v>
      </c>
      <c r="S1187" s="1">
        <v>6.0018561391225633E-2</v>
      </c>
      <c r="T1187" t="s">
        <v>1338</v>
      </c>
      <c r="U1187" s="1">
        <v>12145</v>
      </c>
      <c r="V1187">
        <f t="shared" si="72"/>
        <v>0.45382194657123887</v>
      </c>
      <c r="W1187" s="1">
        <f t="shared" si="73"/>
        <v>9.8000000000000043</v>
      </c>
      <c r="X1187">
        <f t="shared" si="74"/>
        <v>8.8785388999999881E-2</v>
      </c>
      <c r="Y1187">
        <f t="shared" si="75"/>
        <v>35.700000000000003</v>
      </c>
      <c r="Z1187" s="1">
        <v>21</v>
      </c>
      <c r="AA1187">
        <v>79</v>
      </c>
      <c r="AB1187">
        <v>0.26579999999999998</v>
      </c>
      <c r="AC1187">
        <v>22</v>
      </c>
      <c r="AD1187">
        <v>76</v>
      </c>
      <c r="AE1187">
        <v>0.28949999999999998</v>
      </c>
      <c r="AF1187" t="s">
        <v>2589</v>
      </c>
      <c r="AG1187" t="s">
        <v>2589</v>
      </c>
    </row>
    <row r="1188" spans="1:33">
      <c r="A1188" s="2" t="s">
        <v>109</v>
      </c>
      <c r="B1188" s="2" t="s">
        <v>101</v>
      </c>
      <c r="C1188" s="1">
        <v>0.51638908800000005</v>
      </c>
      <c r="D1188">
        <v>0.68684605300000001</v>
      </c>
      <c r="E1188">
        <v>0.66065444600000001</v>
      </c>
      <c r="F1188" s="1" t="s">
        <v>110</v>
      </c>
      <c r="G1188" s="1">
        <v>1.2897862229999999</v>
      </c>
      <c r="H1188" s="1">
        <v>49.4</v>
      </c>
      <c r="I1188" s="1">
        <v>84.2</v>
      </c>
      <c r="J1188" s="1">
        <v>0.62129652899999999</v>
      </c>
      <c r="K1188" s="1">
        <v>0.57277697599999999</v>
      </c>
      <c r="L1188" s="1">
        <v>0.64568820599999999</v>
      </c>
      <c r="M1188" s="3">
        <v>0.70909993500000001</v>
      </c>
      <c r="N1188" s="1" t="s">
        <v>102</v>
      </c>
      <c r="O1188" s="1">
        <v>1.2818181820000001</v>
      </c>
      <c r="P1188" s="1">
        <v>58</v>
      </c>
      <c r="Q1188" s="1">
        <v>110</v>
      </c>
      <c r="R1188" s="1">
        <v>0.64252170566666666</v>
      </c>
      <c r="S1188" s="1">
        <v>8.4973688205379608E-2</v>
      </c>
      <c r="T1188" t="s">
        <v>1334</v>
      </c>
      <c r="U1188" s="1">
        <v>4502</v>
      </c>
      <c r="V1188">
        <f t="shared" si="72"/>
        <v>0.40593394340716682</v>
      </c>
      <c r="W1188" s="1">
        <f t="shared" si="73"/>
        <v>8.6000000000000014</v>
      </c>
      <c r="X1188">
        <f t="shared" si="74"/>
        <v>7.9680409999998147E-3</v>
      </c>
      <c r="Y1188">
        <f t="shared" si="75"/>
        <v>25.799999999999997</v>
      </c>
      <c r="Z1188" s="1">
        <v>6</v>
      </c>
      <c r="AA1188">
        <v>94</v>
      </c>
      <c r="AB1188">
        <v>6.3799999999999996E-2</v>
      </c>
      <c r="AC1188">
        <v>8</v>
      </c>
      <c r="AD1188">
        <v>88</v>
      </c>
      <c r="AE1188">
        <v>9.0899999999999995E-2</v>
      </c>
      <c r="AF1188" t="s">
        <v>2589</v>
      </c>
      <c r="AG1188" t="s">
        <v>2589</v>
      </c>
    </row>
    <row r="1189" spans="1:33">
      <c r="A1189" s="2" t="s">
        <v>109</v>
      </c>
      <c r="B1189" s="2" t="s">
        <v>103</v>
      </c>
      <c r="C1189" s="1">
        <v>0.51638908800000005</v>
      </c>
      <c r="D1189">
        <v>0.68684605300000001</v>
      </c>
      <c r="E1189">
        <v>0.66065444600000001</v>
      </c>
      <c r="F1189" s="1" t="s">
        <v>110</v>
      </c>
      <c r="G1189" s="1">
        <v>1.2897862229999999</v>
      </c>
      <c r="H1189" s="1">
        <v>49.4</v>
      </c>
      <c r="I1189" s="1">
        <v>84.2</v>
      </c>
      <c r="J1189" s="1">
        <v>0.62129652899999999</v>
      </c>
      <c r="K1189" s="1">
        <v>0.58538445800000005</v>
      </c>
      <c r="L1189" s="1">
        <v>0.70461059999999998</v>
      </c>
      <c r="M1189" s="3">
        <v>0.67846608399999997</v>
      </c>
      <c r="N1189" s="1" t="s">
        <v>104</v>
      </c>
      <c r="O1189" s="1">
        <v>1.1020080320000001</v>
      </c>
      <c r="P1189" s="1">
        <v>58.7</v>
      </c>
      <c r="Q1189" s="1">
        <v>124.5</v>
      </c>
      <c r="R1189" s="1">
        <v>0.65615371400000011</v>
      </c>
      <c r="S1189" s="1">
        <v>7.3438373210435087E-2</v>
      </c>
      <c r="T1189" t="s">
        <v>1335</v>
      </c>
      <c r="U1189" s="1">
        <v>480975</v>
      </c>
      <c r="V1189">
        <f t="shared" si="72"/>
        <v>0.63134694481210429</v>
      </c>
      <c r="W1189" s="1">
        <f t="shared" si="73"/>
        <v>9.3000000000000043</v>
      </c>
      <c r="X1189">
        <f t="shared" si="74"/>
        <v>0.18777819099999982</v>
      </c>
      <c r="Y1189">
        <f t="shared" si="75"/>
        <v>40.299999999999997</v>
      </c>
      <c r="Z1189" s="1">
        <v>4</v>
      </c>
      <c r="AA1189">
        <v>96</v>
      </c>
      <c r="AB1189">
        <v>4.1700000000000001E-2</v>
      </c>
      <c r="AC1189">
        <v>4</v>
      </c>
      <c r="AD1189">
        <v>93</v>
      </c>
      <c r="AE1189">
        <v>4.2999999999999997E-2</v>
      </c>
      <c r="AF1189" t="s">
        <v>2589</v>
      </c>
      <c r="AG1189" t="s">
        <v>2589</v>
      </c>
    </row>
    <row r="1190" spans="1:33">
      <c r="A1190" s="2" t="s">
        <v>109</v>
      </c>
      <c r="B1190" s="2" t="s">
        <v>105</v>
      </c>
      <c r="C1190" s="1">
        <v>0.51638908800000005</v>
      </c>
      <c r="D1190">
        <v>0.68684605300000001</v>
      </c>
      <c r="E1190">
        <v>0.66065444600000001</v>
      </c>
      <c r="F1190" s="1" t="s">
        <v>110</v>
      </c>
      <c r="G1190" s="1">
        <v>1.2897862229999999</v>
      </c>
      <c r="H1190" s="1">
        <v>49.4</v>
      </c>
      <c r="I1190" s="1">
        <v>84.2</v>
      </c>
      <c r="J1190" s="1">
        <v>0.62129652899999999</v>
      </c>
      <c r="K1190" s="1">
        <v>0.56210716000000005</v>
      </c>
      <c r="L1190" s="1">
        <v>0.68032504299999996</v>
      </c>
      <c r="M1190" s="3">
        <v>0.71115907899999997</v>
      </c>
      <c r="N1190" s="1" t="s">
        <v>106</v>
      </c>
      <c r="O1190" s="1">
        <v>1.0978593270000001</v>
      </c>
      <c r="P1190" s="1">
        <v>43.5</v>
      </c>
      <c r="Q1190" s="1">
        <v>98.1</v>
      </c>
      <c r="R1190" s="1">
        <v>0.65119709399999992</v>
      </c>
      <c r="S1190" s="1">
        <v>6.8435251393430055E-2</v>
      </c>
      <c r="T1190" t="s">
        <v>1336</v>
      </c>
      <c r="U1190" s="1">
        <v>10729</v>
      </c>
      <c r="V1190">
        <f t="shared" si="72"/>
        <v>0.44783991614346175</v>
      </c>
      <c r="W1190" s="1">
        <f t="shared" si="73"/>
        <v>5.8999999999999986</v>
      </c>
      <c r="X1190">
        <f t="shared" si="74"/>
        <v>0.19192689599999979</v>
      </c>
      <c r="Y1190">
        <f t="shared" si="75"/>
        <v>13.899999999999991</v>
      </c>
      <c r="Z1190" s="1">
        <v>0</v>
      </c>
      <c r="AA1190">
        <v>100</v>
      </c>
      <c r="AB1190">
        <v>0</v>
      </c>
      <c r="AC1190">
        <v>0</v>
      </c>
      <c r="AD1190">
        <v>115</v>
      </c>
      <c r="AE1190">
        <v>0</v>
      </c>
      <c r="AF1190" t="s">
        <v>2589</v>
      </c>
      <c r="AG1190" t="s">
        <v>2589</v>
      </c>
    </row>
    <row r="1191" spans="1:33">
      <c r="A1191" s="2" t="s">
        <v>109</v>
      </c>
      <c r="B1191" s="2" t="s">
        <v>107</v>
      </c>
      <c r="C1191" s="1">
        <v>0.51638908800000005</v>
      </c>
      <c r="D1191">
        <v>0.68684605300000001</v>
      </c>
      <c r="E1191">
        <v>0.66065444600000001</v>
      </c>
      <c r="F1191" s="1" t="s">
        <v>110</v>
      </c>
      <c r="G1191" s="1">
        <v>1.2897862229999999</v>
      </c>
      <c r="H1191" s="1">
        <v>49.4</v>
      </c>
      <c r="I1191" s="1">
        <v>84.2</v>
      </c>
      <c r="J1191" s="1">
        <v>0.62129652899999999</v>
      </c>
      <c r="K1191" s="1">
        <v>0.61734740899999996</v>
      </c>
      <c r="L1191" s="1">
        <v>0.68293216999999995</v>
      </c>
      <c r="M1191" s="3">
        <v>0.69981194099999999</v>
      </c>
      <c r="N1191" s="1" t="s">
        <v>108</v>
      </c>
      <c r="O1191" s="1">
        <v>2</v>
      </c>
      <c r="P1191" s="1">
        <v>19</v>
      </c>
      <c r="Q1191" s="1">
        <v>21.1</v>
      </c>
      <c r="R1191" s="1">
        <v>0.66669717333333323</v>
      </c>
      <c r="S1191" s="1">
        <v>0.10835686629813422</v>
      </c>
      <c r="T1191" t="s">
        <v>1337</v>
      </c>
      <c r="U1191" s="1">
        <v>774</v>
      </c>
      <c r="V1191">
        <f t="shared" si="72"/>
        <v>0.32097121785365473</v>
      </c>
      <c r="W1191" s="1">
        <f t="shared" si="73"/>
        <v>30.4</v>
      </c>
      <c r="X1191">
        <f t="shared" si="74"/>
        <v>0.7102137770000001</v>
      </c>
      <c r="Y1191">
        <f t="shared" si="75"/>
        <v>63.1</v>
      </c>
      <c r="Z1191" s="1">
        <v>0</v>
      </c>
      <c r="AA1191">
        <v>100</v>
      </c>
      <c r="AB1191">
        <v>0</v>
      </c>
      <c r="AC1191">
        <v>1</v>
      </c>
      <c r="AD1191">
        <v>90</v>
      </c>
      <c r="AE1191">
        <v>1.11E-2</v>
      </c>
      <c r="AF1191" t="s">
        <v>2589</v>
      </c>
      <c r="AG1191" t="s">
        <v>2588</v>
      </c>
    </row>
    <row r="1192" spans="1:33">
      <c r="A1192" s="2" t="s">
        <v>107</v>
      </c>
      <c r="B1192" s="2" t="s">
        <v>10</v>
      </c>
      <c r="C1192" s="1">
        <v>0.61734740899999996</v>
      </c>
      <c r="D1192">
        <v>0.68293216999999995</v>
      </c>
      <c r="E1192">
        <v>0.69981194099999999</v>
      </c>
      <c r="F1192" s="1" t="s">
        <v>108</v>
      </c>
      <c r="G1192" s="1">
        <v>2</v>
      </c>
      <c r="H1192" s="1">
        <v>19</v>
      </c>
      <c r="I1192" s="1">
        <v>21.1</v>
      </c>
      <c r="J1192" s="1">
        <v>0.66669717333333323</v>
      </c>
      <c r="K1192" s="1">
        <v>0.52456325500000001</v>
      </c>
      <c r="L1192" s="1">
        <v>0.61925627999999999</v>
      </c>
      <c r="M1192" s="3">
        <v>0.72111139899999999</v>
      </c>
      <c r="N1192" s="1" t="s">
        <v>12</v>
      </c>
      <c r="O1192" s="1">
        <v>0.61690647499999995</v>
      </c>
      <c r="P1192" s="1">
        <v>30</v>
      </c>
      <c r="Q1192" s="1">
        <v>111.2</v>
      </c>
      <c r="R1192" s="1">
        <v>0.62164364466666666</v>
      </c>
      <c r="S1192" s="1">
        <v>0.11453028032743814</v>
      </c>
      <c r="T1192" t="s">
        <v>1339</v>
      </c>
      <c r="U1192" s="1">
        <v>509</v>
      </c>
      <c r="V1192">
        <f t="shared" si="72"/>
        <v>0.30074642025963988</v>
      </c>
      <c r="W1192" s="1">
        <f t="shared" si="73"/>
        <v>11</v>
      </c>
      <c r="X1192">
        <f t="shared" si="74"/>
        <v>1.383093525</v>
      </c>
      <c r="Y1192">
        <f t="shared" si="75"/>
        <v>90.1</v>
      </c>
      <c r="Z1192" s="1">
        <v>0</v>
      </c>
      <c r="AA1192">
        <v>100</v>
      </c>
      <c r="AB1192">
        <v>0</v>
      </c>
      <c r="AC1192">
        <v>1</v>
      </c>
      <c r="AD1192">
        <v>141</v>
      </c>
      <c r="AE1192">
        <v>7.1000000000000004E-3</v>
      </c>
      <c r="AF1192" t="s">
        <v>2588</v>
      </c>
      <c r="AG1192" t="s">
        <v>2588</v>
      </c>
    </row>
    <row r="1193" spans="1:33">
      <c r="A1193" s="2" t="s">
        <v>107</v>
      </c>
      <c r="B1193" s="2" t="s">
        <v>13</v>
      </c>
      <c r="C1193" s="1">
        <v>0.61734740899999996</v>
      </c>
      <c r="D1193">
        <v>0.68293216999999995</v>
      </c>
      <c r="E1193">
        <v>0.69981194099999999</v>
      </c>
      <c r="F1193" s="1" t="s">
        <v>108</v>
      </c>
      <c r="G1193" s="1">
        <v>2</v>
      </c>
      <c r="H1193" s="1">
        <v>19</v>
      </c>
      <c r="I1193" s="1">
        <v>21.1</v>
      </c>
      <c r="J1193" s="1">
        <v>0.66669717333333323</v>
      </c>
      <c r="K1193" s="1">
        <v>0.48695497399999998</v>
      </c>
      <c r="L1193" s="1">
        <v>0.54991327199999995</v>
      </c>
      <c r="M1193" s="3">
        <v>0.67282609299999996</v>
      </c>
      <c r="N1193" s="1" t="s">
        <v>14</v>
      </c>
      <c r="O1193" s="1">
        <v>1.6052009460000001</v>
      </c>
      <c r="P1193" s="1">
        <v>26.6</v>
      </c>
      <c r="Q1193" s="1">
        <v>42.3</v>
      </c>
      <c r="R1193" s="1">
        <v>0.56989811299999993</v>
      </c>
      <c r="S1193" s="1">
        <v>0.18821384200595537</v>
      </c>
      <c r="T1193" t="s">
        <v>1340</v>
      </c>
      <c r="U1193" s="1">
        <v>194</v>
      </c>
      <c r="V1193">
        <f t="shared" si="72"/>
        <v>0.25420019221446954</v>
      </c>
      <c r="W1193" s="1">
        <f t="shared" si="73"/>
        <v>7.6000000000000014</v>
      </c>
      <c r="X1193">
        <f t="shared" si="74"/>
        <v>0.39479905399999993</v>
      </c>
      <c r="Y1193">
        <f t="shared" si="75"/>
        <v>21.199999999999996</v>
      </c>
      <c r="Z1193" s="1">
        <v>0</v>
      </c>
      <c r="AA1193">
        <v>100</v>
      </c>
      <c r="AB1193">
        <v>0</v>
      </c>
      <c r="AC1193">
        <v>0</v>
      </c>
      <c r="AD1193">
        <v>89</v>
      </c>
      <c r="AE1193">
        <v>0</v>
      </c>
      <c r="AF1193" t="s">
        <v>2588</v>
      </c>
      <c r="AG1193" t="s">
        <v>2590</v>
      </c>
    </row>
    <row r="1194" spans="1:33">
      <c r="A1194" s="2" t="s">
        <v>107</v>
      </c>
      <c r="B1194" s="2" t="s">
        <v>15</v>
      </c>
      <c r="C1194" s="1">
        <v>0.61734740899999996</v>
      </c>
      <c r="D1194">
        <v>0.68293216999999995</v>
      </c>
      <c r="E1194">
        <v>0.69981194099999999</v>
      </c>
      <c r="F1194" s="1" t="s">
        <v>108</v>
      </c>
      <c r="G1194" s="1">
        <v>2</v>
      </c>
      <c r="H1194" s="1">
        <v>19</v>
      </c>
      <c r="I1194" s="1">
        <v>21.1</v>
      </c>
      <c r="J1194" s="1">
        <v>0.66669717333333323</v>
      </c>
      <c r="K1194" s="1">
        <v>0.54560998800000005</v>
      </c>
      <c r="L1194" s="1">
        <v>0.66721428400000005</v>
      </c>
      <c r="M1194" s="3">
        <v>0.72650398400000005</v>
      </c>
      <c r="N1194" s="1" t="s">
        <v>16</v>
      </c>
      <c r="O1194" s="1">
        <v>5.1392405060000002</v>
      </c>
      <c r="P1194" s="1">
        <v>35.9</v>
      </c>
      <c r="Q1194" s="1">
        <v>15.8</v>
      </c>
      <c r="R1194" s="1">
        <v>0.64644275200000012</v>
      </c>
      <c r="S1194" s="1">
        <v>7.8139456560396378E-2</v>
      </c>
      <c r="T1194" t="s">
        <v>1341</v>
      </c>
      <c r="U1194" s="1">
        <v>1260</v>
      </c>
      <c r="V1194">
        <f t="shared" si="72"/>
        <v>0.34448561612417367</v>
      </c>
      <c r="W1194" s="1">
        <f t="shared" si="73"/>
        <v>16.899999999999999</v>
      </c>
      <c r="X1194">
        <f t="shared" si="74"/>
        <v>3.1392405060000002</v>
      </c>
      <c r="Y1194">
        <f t="shared" si="75"/>
        <v>5.3000000000000007</v>
      </c>
      <c r="Z1194" s="1">
        <v>0</v>
      </c>
      <c r="AA1194">
        <v>100</v>
      </c>
      <c r="AB1194">
        <v>0</v>
      </c>
      <c r="AC1194">
        <v>0</v>
      </c>
      <c r="AD1194">
        <v>85</v>
      </c>
      <c r="AE1194">
        <v>0</v>
      </c>
      <c r="AF1194" t="s">
        <v>2588</v>
      </c>
      <c r="AG1194" t="s">
        <v>2591</v>
      </c>
    </row>
    <row r="1195" spans="1:33">
      <c r="A1195" s="2" t="s">
        <v>107</v>
      </c>
      <c r="B1195" s="2" t="s">
        <v>17</v>
      </c>
      <c r="C1195" s="1">
        <v>0.61734740899999996</v>
      </c>
      <c r="D1195">
        <v>0.68293216999999995</v>
      </c>
      <c r="E1195">
        <v>0.69981194099999999</v>
      </c>
      <c r="F1195" s="1" t="s">
        <v>108</v>
      </c>
      <c r="G1195" s="1">
        <v>2</v>
      </c>
      <c r="H1195" s="1">
        <v>19</v>
      </c>
      <c r="I1195" s="1">
        <v>21.1</v>
      </c>
      <c r="J1195" s="1">
        <v>0.66669717333333323</v>
      </c>
      <c r="K1195" s="1">
        <v>0.659112378</v>
      </c>
      <c r="L1195" s="1">
        <v>0.68333493499999998</v>
      </c>
      <c r="M1195" s="3">
        <v>0.70345495199999997</v>
      </c>
      <c r="N1195" s="1" t="s">
        <v>18</v>
      </c>
      <c r="O1195" s="1">
        <v>1.9463955639999999</v>
      </c>
      <c r="P1195" s="1">
        <v>46.3</v>
      </c>
      <c r="Q1195" s="1">
        <v>54.1</v>
      </c>
      <c r="R1195" s="1">
        <v>0.68196742166666668</v>
      </c>
      <c r="S1195" s="1">
        <v>4.1925486095718799E-2</v>
      </c>
      <c r="T1195" t="s">
        <v>1342</v>
      </c>
      <c r="U1195" s="1">
        <v>387</v>
      </c>
      <c r="V1195">
        <f t="shared" si="72"/>
        <v>0.28752344055765683</v>
      </c>
      <c r="W1195" s="1">
        <f t="shared" si="73"/>
        <v>27.299999999999997</v>
      </c>
      <c r="X1195">
        <f t="shared" si="74"/>
        <v>5.3604436000000089E-2</v>
      </c>
      <c r="Y1195">
        <f t="shared" si="75"/>
        <v>33</v>
      </c>
      <c r="Z1195" s="1">
        <v>0</v>
      </c>
      <c r="AA1195">
        <v>100</v>
      </c>
      <c r="AB1195">
        <v>0</v>
      </c>
      <c r="AC1195">
        <v>0</v>
      </c>
      <c r="AD1195">
        <v>99</v>
      </c>
      <c r="AE1195">
        <v>0</v>
      </c>
      <c r="AF1195" t="s">
        <v>2588</v>
      </c>
      <c r="AG1195" t="s">
        <v>2591</v>
      </c>
    </row>
    <row r="1196" spans="1:33">
      <c r="A1196" s="2" t="s">
        <v>107</v>
      </c>
      <c r="B1196" s="2" t="s">
        <v>19</v>
      </c>
      <c r="C1196" s="1">
        <v>0.61734740899999996</v>
      </c>
      <c r="D1196">
        <v>0.68293216999999995</v>
      </c>
      <c r="E1196">
        <v>0.69981194099999999</v>
      </c>
      <c r="F1196" s="1" t="s">
        <v>108</v>
      </c>
      <c r="G1196" s="1">
        <v>2</v>
      </c>
      <c r="H1196" s="1">
        <v>19</v>
      </c>
      <c r="I1196" s="1">
        <v>21.1</v>
      </c>
      <c r="J1196" s="1">
        <v>0.66669717333333323</v>
      </c>
      <c r="K1196" s="1">
        <v>0.49391595300000002</v>
      </c>
      <c r="L1196" s="1">
        <v>0.603599314</v>
      </c>
      <c r="M1196" s="3">
        <v>0.63481471599999995</v>
      </c>
      <c r="N1196" s="1" t="s">
        <v>20</v>
      </c>
      <c r="O1196" s="1">
        <v>1.2140902870000001</v>
      </c>
      <c r="P1196" s="1">
        <v>64.900000000000006</v>
      </c>
      <c r="Q1196" s="1">
        <v>146.19999999999999</v>
      </c>
      <c r="R1196" s="1">
        <v>0.57744332766666662</v>
      </c>
      <c r="S1196" s="1">
        <v>0.16047948663021477</v>
      </c>
      <c r="T1196" t="s">
        <v>1343</v>
      </c>
      <c r="U1196" s="1">
        <v>1261</v>
      </c>
      <c r="V1196">
        <f t="shared" si="72"/>
        <v>0.34452389850812021</v>
      </c>
      <c r="W1196" s="1">
        <f t="shared" si="73"/>
        <v>45.900000000000006</v>
      </c>
      <c r="X1196">
        <f t="shared" si="74"/>
        <v>0.7859097129999999</v>
      </c>
      <c r="Y1196">
        <f t="shared" si="75"/>
        <v>125.1</v>
      </c>
      <c r="Z1196" s="1">
        <v>1</v>
      </c>
      <c r="AA1196">
        <v>99</v>
      </c>
      <c r="AB1196">
        <v>1.01E-2</v>
      </c>
      <c r="AC1196">
        <v>1</v>
      </c>
      <c r="AD1196">
        <v>78</v>
      </c>
      <c r="AE1196">
        <v>1.2800000000000001E-2</v>
      </c>
      <c r="AF1196" t="s">
        <v>2588</v>
      </c>
      <c r="AG1196" t="s">
        <v>2593</v>
      </c>
    </row>
    <row r="1197" spans="1:33">
      <c r="A1197" s="2" t="s">
        <v>107</v>
      </c>
      <c r="B1197" s="2" t="s">
        <v>21</v>
      </c>
      <c r="C1197" s="1">
        <v>0.61734740899999996</v>
      </c>
      <c r="D1197">
        <v>0.68293216999999995</v>
      </c>
      <c r="E1197">
        <v>0.69981194099999999</v>
      </c>
      <c r="F1197" s="1" t="s">
        <v>108</v>
      </c>
      <c r="G1197" s="1">
        <v>2</v>
      </c>
      <c r="H1197" s="1">
        <v>19</v>
      </c>
      <c r="I1197" s="1">
        <v>21.1</v>
      </c>
      <c r="J1197" s="1">
        <v>0.66669717333333323</v>
      </c>
      <c r="K1197" s="1">
        <v>0.53276376800000003</v>
      </c>
      <c r="L1197" s="1">
        <v>0.65428149899999999</v>
      </c>
      <c r="M1197" s="3">
        <v>0.70160154799999996</v>
      </c>
      <c r="N1197" s="1" t="s">
        <v>22</v>
      </c>
      <c r="O1197" s="1">
        <v>1.2440604749999999</v>
      </c>
      <c r="P1197" s="1">
        <v>24.6</v>
      </c>
      <c r="Q1197" s="1">
        <v>46.3</v>
      </c>
      <c r="R1197" s="1">
        <v>0.62954893833333336</v>
      </c>
      <c r="S1197" s="1">
        <v>8.9322203100805547E-2</v>
      </c>
      <c r="T1197" t="s">
        <v>1344</v>
      </c>
      <c r="U1197" s="1">
        <v>1810</v>
      </c>
      <c r="V1197">
        <f t="shared" si="72"/>
        <v>0.36196428609657605</v>
      </c>
      <c r="W1197" s="1">
        <f t="shared" si="73"/>
        <v>5.6000000000000014</v>
      </c>
      <c r="X1197">
        <f t="shared" si="74"/>
        <v>0.75593952500000006</v>
      </c>
      <c r="Y1197">
        <f t="shared" si="75"/>
        <v>25.199999999999996</v>
      </c>
      <c r="Z1197" s="1">
        <v>0</v>
      </c>
      <c r="AA1197">
        <v>100</v>
      </c>
      <c r="AB1197">
        <v>0</v>
      </c>
      <c r="AC1197">
        <v>0</v>
      </c>
      <c r="AD1197">
        <v>85</v>
      </c>
      <c r="AE1197">
        <v>0</v>
      </c>
      <c r="AF1197" t="s">
        <v>2588</v>
      </c>
      <c r="AG1197" t="s">
        <v>2589</v>
      </c>
    </row>
    <row r="1198" spans="1:33">
      <c r="A1198" s="2" t="s">
        <v>107</v>
      </c>
      <c r="B1198" s="2" t="s">
        <v>23</v>
      </c>
      <c r="C1198" s="1">
        <v>0.61734740899999996</v>
      </c>
      <c r="D1198">
        <v>0.68293216999999995</v>
      </c>
      <c r="E1198">
        <v>0.69981194099999999</v>
      </c>
      <c r="F1198" s="1" t="s">
        <v>108</v>
      </c>
      <c r="G1198" s="1">
        <v>2</v>
      </c>
      <c r="H1198" s="1">
        <v>19</v>
      </c>
      <c r="I1198" s="1">
        <v>21.1</v>
      </c>
      <c r="J1198" s="1">
        <v>0.66669717333333323</v>
      </c>
      <c r="K1198" s="1">
        <v>0.49415677200000002</v>
      </c>
      <c r="L1198" s="1">
        <v>0.62090818999999997</v>
      </c>
      <c r="M1198" s="3">
        <v>0.63381026900000004</v>
      </c>
      <c r="N1198" s="1" t="s">
        <v>24</v>
      </c>
      <c r="O1198" s="1">
        <v>1.141304348</v>
      </c>
      <c r="P1198" s="1">
        <v>44.4</v>
      </c>
      <c r="Q1198" s="1">
        <v>101.2</v>
      </c>
      <c r="R1198" s="1">
        <v>0.58295841033333329</v>
      </c>
      <c r="S1198" s="1">
        <v>0.15290234741919997</v>
      </c>
      <c r="T1198" t="s">
        <v>1345</v>
      </c>
      <c r="U1198" s="1">
        <v>154</v>
      </c>
      <c r="V1198">
        <f t="shared" si="72"/>
        <v>0.24305785787071812</v>
      </c>
      <c r="W1198" s="1">
        <f t="shared" si="73"/>
        <v>25.4</v>
      </c>
      <c r="X1198">
        <f t="shared" si="74"/>
        <v>0.85869565199999998</v>
      </c>
      <c r="Y1198">
        <f t="shared" si="75"/>
        <v>80.099999999999994</v>
      </c>
      <c r="Z1198" s="1">
        <v>0</v>
      </c>
      <c r="AA1198">
        <v>100</v>
      </c>
      <c r="AB1198">
        <v>0</v>
      </c>
      <c r="AC1198">
        <v>1</v>
      </c>
      <c r="AD1198">
        <v>80</v>
      </c>
      <c r="AE1198">
        <v>1.2500000000000001E-2</v>
      </c>
      <c r="AF1198" t="s">
        <v>2588</v>
      </c>
      <c r="AG1198" t="s">
        <v>2590</v>
      </c>
    </row>
    <row r="1199" spans="1:33">
      <c r="A1199" s="2" t="s">
        <v>107</v>
      </c>
      <c r="B1199" s="2" t="s">
        <v>25</v>
      </c>
      <c r="C1199" s="1">
        <v>0.61734740899999996</v>
      </c>
      <c r="D1199">
        <v>0.68293216999999995</v>
      </c>
      <c r="E1199">
        <v>0.69981194099999999</v>
      </c>
      <c r="F1199" s="1" t="s">
        <v>108</v>
      </c>
      <c r="G1199" s="1">
        <v>2</v>
      </c>
      <c r="H1199" s="1">
        <v>19</v>
      </c>
      <c r="I1199" s="1">
        <v>21.1</v>
      </c>
      <c r="J1199" s="1">
        <v>0.66669717333333323</v>
      </c>
      <c r="K1199" s="1">
        <v>0.53959274199999996</v>
      </c>
      <c r="L1199" s="1">
        <v>0.64971567399999997</v>
      </c>
      <c r="M1199" s="3">
        <v>0.65028459999999999</v>
      </c>
      <c r="N1199" s="1" t="s">
        <v>26</v>
      </c>
      <c r="O1199" s="1">
        <v>1.623046875</v>
      </c>
      <c r="P1199" s="1">
        <v>34.700000000000003</v>
      </c>
      <c r="Q1199" s="1">
        <v>51.2</v>
      </c>
      <c r="R1199" s="1">
        <v>0.61319767199999997</v>
      </c>
      <c r="S1199" s="1">
        <v>9.799021049742257E-2</v>
      </c>
      <c r="T1199" t="s">
        <v>1346</v>
      </c>
      <c r="U1199" s="1">
        <v>4747</v>
      </c>
      <c r="V1199">
        <f t="shared" si="72"/>
        <v>0.40849102574648444</v>
      </c>
      <c r="W1199" s="1">
        <f t="shared" si="73"/>
        <v>15.700000000000003</v>
      </c>
      <c r="X1199">
        <f t="shared" si="74"/>
        <v>0.376953125</v>
      </c>
      <c r="Y1199">
        <f t="shared" si="75"/>
        <v>30.1</v>
      </c>
      <c r="Z1199" s="1">
        <v>1</v>
      </c>
      <c r="AA1199">
        <v>99</v>
      </c>
      <c r="AB1199">
        <v>1.01E-2</v>
      </c>
      <c r="AC1199">
        <v>2</v>
      </c>
      <c r="AD1199">
        <v>81</v>
      </c>
      <c r="AE1199">
        <v>2.47E-2</v>
      </c>
      <c r="AF1199" t="s">
        <v>2588</v>
      </c>
      <c r="AG1199" t="s">
        <v>2594</v>
      </c>
    </row>
    <row r="1200" spans="1:33">
      <c r="A1200" s="2" t="s">
        <v>107</v>
      </c>
      <c r="B1200" s="2" t="s">
        <v>27</v>
      </c>
      <c r="C1200" s="1">
        <v>0.61734740899999996</v>
      </c>
      <c r="D1200">
        <v>0.68293216999999995</v>
      </c>
      <c r="E1200">
        <v>0.69981194099999999</v>
      </c>
      <c r="F1200" s="1" t="s">
        <v>108</v>
      </c>
      <c r="G1200" s="1">
        <v>2</v>
      </c>
      <c r="H1200" s="1">
        <v>19</v>
      </c>
      <c r="I1200" s="1">
        <v>21.1</v>
      </c>
      <c r="J1200" s="1">
        <v>0.66669717333333323</v>
      </c>
      <c r="K1200" s="1">
        <v>0.518608662</v>
      </c>
      <c r="L1200" s="1">
        <v>0.64320369700000002</v>
      </c>
      <c r="M1200" s="3">
        <v>0.62228994199999998</v>
      </c>
      <c r="N1200" s="1" t="s">
        <v>28</v>
      </c>
      <c r="O1200" s="1">
        <v>1.8717391299999999</v>
      </c>
      <c r="P1200" s="1">
        <v>33.700000000000003</v>
      </c>
      <c r="Q1200" s="1">
        <v>46</v>
      </c>
      <c r="R1200" s="1">
        <v>0.59470076699999996</v>
      </c>
      <c r="S1200" s="1">
        <v>0.13167137902747783</v>
      </c>
      <c r="T1200" t="s">
        <v>1347</v>
      </c>
      <c r="U1200" s="1">
        <v>321</v>
      </c>
      <c r="V1200">
        <f t="shared" si="72"/>
        <v>0.27850055915609689</v>
      </c>
      <c r="W1200" s="1">
        <f t="shared" si="73"/>
        <v>14.700000000000003</v>
      </c>
      <c r="X1200">
        <f t="shared" si="74"/>
        <v>0.12826087000000008</v>
      </c>
      <c r="Y1200">
        <f t="shared" si="75"/>
        <v>24.9</v>
      </c>
      <c r="Z1200" s="1">
        <v>0</v>
      </c>
      <c r="AA1200">
        <v>100</v>
      </c>
      <c r="AB1200">
        <v>0</v>
      </c>
      <c r="AC1200">
        <v>1</v>
      </c>
      <c r="AD1200">
        <v>89</v>
      </c>
      <c r="AE1200">
        <v>1.12E-2</v>
      </c>
      <c r="AF1200" t="s">
        <v>2588</v>
      </c>
      <c r="AG1200" t="s">
        <v>2590</v>
      </c>
    </row>
    <row r="1201" spans="1:33">
      <c r="A1201" s="2" t="s">
        <v>107</v>
      </c>
      <c r="B1201" s="2" t="s">
        <v>29</v>
      </c>
      <c r="C1201" s="1">
        <v>0.61734740899999996</v>
      </c>
      <c r="D1201">
        <v>0.68293216999999995</v>
      </c>
      <c r="E1201">
        <v>0.69981194099999999</v>
      </c>
      <c r="F1201" s="1" t="s">
        <v>108</v>
      </c>
      <c r="G1201" s="1">
        <v>2</v>
      </c>
      <c r="H1201" s="1">
        <v>19</v>
      </c>
      <c r="I1201" s="1">
        <v>21.1</v>
      </c>
      <c r="J1201" s="1">
        <v>0.66669717333333323</v>
      </c>
      <c r="K1201" s="1">
        <v>0.59351545100000003</v>
      </c>
      <c r="L1201" s="1">
        <v>0.68136602400000001</v>
      </c>
      <c r="M1201" s="3">
        <v>0.73518087600000004</v>
      </c>
      <c r="N1201" s="1" t="s">
        <v>30</v>
      </c>
      <c r="O1201" s="1">
        <v>2.849112426</v>
      </c>
      <c r="P1201" s="1">
        <v>37.9</v>
      </c>
      <c r="Q1201" s="1">
        <v>33.799999999999997</v>
      </c>
      <c r="R1201" s="1">
        <v>0.67002078366666673</v>
      </c>
      <c r="S1201" s="1">
        <v>4.2677588948314603E-2</v>
      </c>
      <c r="T1201" t="s">
        <v>1348</v>
      </c>
      <c r="U1201" s="1">
        <v>483</v>
      </c>
      <c r="V1201">
        <f t="shared" si="72"/>
        <v>0.29821634786127915</v>
      </c>
      <c r="W1201" s="1">
        <f t="shared" si="73"/>
        <v>18.899999999999999</v>
      </c>
      <c r="X1201">
        <f t="shared" si="74"/>
        <v>0.84911242600000003</v>
      </c>
      <c r="Y1201">
        <f t="shared" si="75"/>
        <v>12.699999999999996</v>
      </c>
      <c r="Z1201" s="1">
        <v>0</v>
      </c>
      <c r="AA1201">
        <v>100</v>
      </c>
      <c r="AB1201">
        <v>0</v>
      </c>
      <c r="AC1201">
        <v>0</v>
      </c>
      <c r="AD1201">
        <v>79</v>
      </c>
      <c r="AE1201">
        <v>0</v>
      </c>
      <c r="AF1201" t="s">
        <v>2588</v>
      </c>
      <c r="AG1201" t="s">
        <v>2593</v>
      </c>
    </row>
    <row r="1202" spans="1:33">
      <c r="A1202" s="2" t="s">
        <v>107</v>
      </c>
      <c r="B1202" s="2" t="s">
        <v>31</v>
      </c>
      <c r="C1202" s="1">
        <v>0.61734740899999996</v>
      </c>
      <c r="D1202">
        <v>0.68293216999999995</v>
      </c>
      <c r="E1202">
        <v>0.69981194099999999</v>
      </c>
      <c r="F1202" s="1" t="s">
        <v>108</v>
      </c>
      <c r="G1202" s="1">
        <v>2</v>
      </c>
      <c r="H1202" s="1">
        <v>19</v>
      </c>
      <c r="I1202" s="1">
        <v>21.1</v>
      </c>
      <c r="J1202" s="1">
        <v>0.66669717333333323</v>
      </c>
      <c r="K1202" s="1">
        <v>0.47727961800000002</v>
      </c>
      <c r="L1202" s="1">
        <v>0.66941086400000005</v>
      </c>
      <c r="M1202" s="3">
        <v>0.69294815300000001</v>
      </c>
      <c r="N1202" s="1" t="s">
        <v>32</v>
      </c>
      <c r="O1202" s="1">
        <v>1.341891892</v>
      </c>
      <c r="P1202" s="1">
        <v>42.1</v>
      </c>
      <c r="Q1202" s="1">
        <v>74</v>
      </c>
      <c r="R1202" s="1">
        <v>0.61321287833333338</v>
      </c>
      <c r="S1202" s="1">
        <v>0.14088620719316083</v>
      </c>
      <c r="T1202" t="s">
        <v>1349</v>
      </c>
      <c r="U1202" s="1">
        <v>482</v>
      </c>
      <c r="V1202">
        <f t="shared" si="72"/>
        <v>0.29811633758209438</v>
      </c>
      <c r="W1202" s="1">
        <f t="shared" si="73"/>
        <v>23.1</v>
      </c>
      <c r="X1202">
        <f t="shared" si="74"/>
        <v>0.65810810799999997</v>
      </c>
      <c r="Y1202">
        <f t="shared" si="75"/>
        <v>52.9</v>
      </c>
      <c r="Z1202" s="1">
        <v>0</v>
      </c>
      <c r="AA1202">
        <v>100</v>
      </c>
      <c r="AB1202">
        <v>0</v>
      </c>
      <c r="AC1202">
        <v>1</v>
      </c>
      <c r="AD1202">
        <v>86</v>
      </c>
      <c r="AE1202">
        <v>1.1599999999999999E-2</v>
      </c>
      <c r="AF1202" t="s">
        <v>2588</v>
      </c>
      <c r="AG1202" t="s">
        <v>2589</v>
      </c>
    </row>
    <row r="1203" spans="1:33">
      <c r="A1203" s="2" t="s">
        <v>107</v>
      </c>
      <c r="B1203" s="2" t="s">
        <v>33</v>
      </c>
      <c r="C1203" s="1">
        <v>0.61734740899999996</v>
      </c>
      <c r="D1203">
        <v>0.68293216999999995</v>
      </c>
      <c r="E1203">
        <v>0.69981194099999999</v>
      </c>
      <c r="F1203" s="1" t="s">
        <v>108</v>
      </c>
      <c r="G1203" s="1">
        <v>2</v>
      </c>
      <c r="H1203" s="1">
        <v>19</v>
      </c>
      <c r="I1203" s="1">
        <v>21.1</v>
      </c>
      <c r="J1203" s="1">
        <v>0.66669717333333323</v>
      </c>
      <c r="K1203" s="1">
        <v>0.51347926600000005</v>
      </c>
      <c r="L1203" s="1">
        <v>0.63144379399999995</v>
      </c>
      <c r="M1203" s="3">
        <v>0.64189093500000005</v>
      </c>
      <c r="N1203" s="1" t="s">
        <v>34</v>
      </c>
      <c r="O1203" s="1">
        <v>2.3123667380000001</v>
      </c>
      <c r="P1203" s="1">
        <v>79.099999999999994</v>
      </c>
      <c r="Q1203" s="1">
        <v>93.8</v>
      </c>
      <c r="R1203" s="1">
        <v>0.59560466500000009</v>
      </c>
      <c r="S1203" s="1">
        <v>0.12959354509171295</v>
      </c>
      <c r="T1203" t="s">
        <v>1350</v>
      </c>
      <c r="U1203" s="1">
        <v>569</v>
      </c>
      <c r="V1203">
        <f t="shared" si="72"/>
        <v>0.30612358515500793</v>
      </c>
      <c r="W1203" s="1">
        <f t="shared" si="73"/>
        <v>60.099999999999994</v>
      </c>
      <c r="X1203">
        <f t="shared" si="74"/>
        <v>0.31236673800000014</v>
      </c>
      <c r="Y1203">
        <f t="shared" si="75"/>
        <v>72.699999999999989</v>
      </c>
      <c r="Z1203" s="1">
        <v>1</v>
      </c>
      <c r="AA1203">
        <v>99</v>
      </c>
      <c r="AB1203">
        <v>1.01E-2</v>
      </c>
      <c r="AC1203">
        <v>1</v>
      </c>
      <c r="AD1203">
        <v>80</v>
      </c>
      <c r="AE1203">
        <v>1.2500000000000001E-2</v>
      </c>
      <c r="AF1203" t="s">
        <v>2588</v>
      </c>
      <c r="AG1203" t="s">
        <v>2590</v>
      </c>
    </row>
    <row r="1204" spans="1:33">
      <c r="A1204" s="2" t="s">
        <v>107</v>
      </c>
      <c r="B1204" s="2" t="s">
        <v>35</v>
      </c>
      <c r="C1204" s="1">
        <v>0.61734740899999996</v>
      </c>
      <c r="D1204">
        <v>0.68293216999999995</v>
      </c>
      <c r="E1204">
        <v>0.69981194099999999</v>
      </c>
      <c r="F1204" s="1" t="s">
        <v>108</v>
      </c>
      <c r="G1204" s="1">
        <v>2</v>
      </c>
      <c r="H1204" s="1">
        <v>19</v>
      </c>
      <c r="I1204" s="1">
        <v>21.1</v>
      </c>
      <c r="J1204" s="1">
        <v>0.66669717333333323</v>
      </c>
      <c r="K1204" s="1">
        <v>0.52542897600000005</v>
      </c>
      <c r="L1204" s="1">
        <v>0.60774736299999998</v>
      </c>
      <c r="M1204" s="3">
        <v>0.62585751700000003</v>
      </c>
      <c r="N1204" s="1" t="s">
        <v>36</v>
      </c>
      <c r="O1204" s="1">
        <v>0.98848810399999998</v>
      </c>
      <c r="P1204" s="1">
        <v>54.2</v>
      </c>
      <c r="Q1204" s="1">
        <v>130.30000000000001</v>
      </c>
      <c r="R1204" s="1">
        <v>0.58634461866666665</v>
      </c>
      <c r="S1204" s="1">
        <v>0.13989642725235868</v>
      </c>
      <c r="T1204" t="s">
        <v>1351</v>
      </c>
      <c r="U1204" s="1">
        <v>2133</v>
      </c>
      <c r="V1204">
        <f t="shared" si="72"/>
        <v>0.36988787282771429</v>
      </c>
      <c r="W1204" s="1">
        <f t="shared" si="73"/>
        <v>35.200000000000003</v>
      </c>
      <c r="X1204">
        <f t="shared" si="74"/>
        <v>1.011511896</v>
      </c>
      <c r="Y1204">
        <f t="shared" si="75"/>
        <v>109.20000000000002</v>
      </c>
      <c r="Z1204" s="1">
        <v>0</v>
      </c>
      <c r="AA1204">
        <v>100</v>
      </c>
      <c r="AB1204">
        <v>0</v>
      </c>
      <c r="AC1204">
        <v>1</v>
      </c>
      <c r="AD1204">
        <v>79</v>
      </c>
      <c r="AE1204">
        <v>1.2699999999999999E-2</v>
      </c>
      <c r="AF1204" t="s">
        <v>2588</v>
      </c>
      <c r="AG1204" t="s">
        <v>2589</v>
      </c>
    </row>
    <row r="1205" spans="1:33">
      <c r="A1205" s="2" t="s">
        <v>107</v>
      </c>
      <c r="B1205" s="2" t="s">
        <v>37</v>
      </c>
      <c r="C1205" s="1">
        <v>0.61734740899999996</v>
      </c>
      <c r="D1205">
        <v>0.68293216999999995</v>
      </c>
      <c r="E1205">
        <v>0.69981194099999999</v>
      </c>
      <c r="F1205" s="1" t="s">
        <v>108</v>
      </c>
      <c r="G1205" s="1">
        <v>2</v>
      </c>
      <c r="H1205" s="1">
        <v>19</v>
      </c>
      <c r="I1205" s="1">
        <v>21.1</v>
      </c>
      <c r="J1205" s="1">
        <v>0.66669717333333323</v>
      </c>
      <c r="K1205" s="1">
        <v>0.50856695500000004</v>
      </c>
      <c r="L1205" s="1">
        <v>0.654733224</v>
      </c>
      <c r="M1205" s="3">
        <v>0.61418267199999999</v>
      </c>
      <c r="N1205" s="1" t="s">
        <v>38</v>
      </c>
      <c r="O1205" s="1">
        <v>0.64065708399999999</v>
      </c>
      <c r="P1205" s="1">
        <v>41.9</v>
      </c>
      <c r="Q1205" s="1">
        <v>146.1</v>
      </c>
      <c r="R1205" s="1">
        <v>0.59249428366666679</v>
      </c>
      <c r="S1205" s="1">
        <v>0.14128248099970278</v>
      </c>
      <c r="T1205" t="s">
        <v>1352</v>
      </c>
      <c r="U1205" s="1">
        <v>163036</v>
      </c>
      <c r="V1205">
        <f t="shared" si="72"/>
        <v>0.57914261240145015</v>
      </c>
      <c r="W1205" s="1">
        <f t="shared" si="73"/>
        <v>22.9</v>
      </c>
      <c r="X1205">
        <f t="shared" si="74"/>
        <v>1.3593429160000001</v>
      </c>
      <c r="Y1205">
        <f t="shared" si="75"/>
        <v>125</v>
      </c>
      <c r="Z1205" s="1">
        <v>2</v>
      </c>
      <c r="AA1205">
        <v>98</v>
      </c>
      <c r="AB1205">
        <v>2.0400000000000001E-2</v>
      </c>
      <c r="AC1205">
        <v>3</v>
      </c>
      <c r="AD1205">
        <v>76</v>
      </c>
      <c r="AE1205">
        <v>3.95E-2</v>
      </c>
      <c r="AF1205" t="s">
        <v>2588</v>
      </c>
      <c r="AG1205" t="s">
        <v>2590</v>
      </c>
    </row>
    <row r="1206" spans="1:33">
      <c r="A1206" s="2" t="s">
        <v>107</v>
      </c>
      <c r="B1206" s="2" t="s">
        <v>39</v>
      </c>
      <c r="C1206" s="1">
        <v>0.61734740899999996</v>
      </c>
      <c r="D1206">
        <v>0.68293216999999995</v>
      </c>
      <c r="E1206">
        <v>0.69981194099999999</v>
      </c>
      <c r="F1206" s="1" t="s">
        <v>108</v>
      </c>
      <c r="G1206" s="1">
        <v>2</v>
      </c>
      <c r="H1206" s="1">
        <v>19</v>
      </c>
      <c r="I1206" s="1">
        <v>21.1</v>
      </c>
      <c r="J1206" s="1">
        <v>0.66669717333333323</v>
      </c>
      <c r="K1206" s="1">
        <v>0.60811616199999996</v>
      </c>
      <c r="L1206" s="1">
        <v>0.721105683</v>
      </c>
      <c r="M1206" s="3">
        <v>0.741016169</v>
      </c>
      <c r="N1206" s="1" t="s">
        <v>40</v>
      </c>
      <c r="O1206" s="1">
        <v>1.0601915180000001</v>
      </c>
      <c r="P1206" s="1">
        <v>34</v>
      </c>
      <c r="Q1206" s="1">
        <v>73.099999999999994</v>
      </c>
      <c r="R1206" s="1">
        <v>0.69007933799999999</v>
      </c>
      <c r="S1206" s="1">
        <v>5.6922942835136048E-2</v>
      </c>
      <c r="T1206" t="s">
        <v>1353</v>
      </c>
      <c r="U1206" s="1">
        <v>1200</v>
      </c>
      <c r="V1206">
        <f t="shared" si="72"/>
        <v>0.34213124956084717</v>
      </c>
      <c r="W1206" s="1">
        <f t="shared" si="73"/>
        <v>15</v>
      </c>
      <c r="X1206">
        <f t="shared" si="74"/>
        <v>0.93980848199999989</v>
      </c>
      <c r="Y1206">
        <f t="shared" si="75"/>
        <v>51.999999999999993</v>
      </c>
      <c r="Z1206" s="1">
        <v>0</v>
      </c>
      <c r="AA1206">
        <v>100</v>
      </c>
      <c r="AB1206">
        <v>0</v>
      </c>
      <c r="AC1206">
        <v>0</v>
      </c>
      <c r="AD1206">
        <v>82</v>
      </c>
      <c r="AE1206">
        <v>0</v>
      </c>
      <c r="AF1206" t="s">
        <v>2588</v>
      </c>
      <c r="AG1206" t="s">
        <v>2589</v>
      </c>
    </row>
    <row r="1207" spans="1:33">
      <c r="A1207" s="2" t="s">
        <v>107</v>
      </c>
      <c r="B1207" s="2" t="s">
        <v>41</v>
      </c>
      <c r="C1207" s="1">
        <v>0.61734740899999996</v>
      </c>
      <c r="D1207">
        <v>0.68293216999999995</v>
      </c>
      <c r="E1207">
        <v>0.69981194099999999</v>
      </c>
      <c r="F1207" s="1" t="s">
        <v>108</v>
      </c>
      <c r="G1207" s="1">
        <v>2</v>
      </c>
      <c r="H1207" s="1">
        <v>19</v>
      </c>
      <c r="I1207" s="1">
        <v>21.1</v>
      </c>
      <c r="J1207" s="1">
        <v>0.66669717333333323</v>
      </c>
      <c r="K1207" s="1">
        <v>0.60402244999999999</v>
      </c>
      <c r="L1207" s="1">
        <v>0.669189213</v>
      </c>
      <c r="M1207" s="3">
        <v>0.69821693799999995</v>
      </c>
      <c r="N1207" s="1" t="s">
        <v>42</v>
      </c>
      <c r="O1207" s="1">
        <v>1.3243902439999999</v>
      </c>
      <c r="P1207" s="1">
        <v>23</v>
      </c>
      <c r="Q1207" s="1">
        <v>41</v>
      </c>
      <c r="R1207" s="1">
        <v>0.65714286700000002</v>
      </c>
      <c r="S1207" s="1">
        <v>1.9208525035138351E-2</v>
      </c>
      <c r="T1207" t="s">
        <v>1354</v>
      </c>
      <c r="U1207" s="1">
        <v>994</v>
      </c>
      <c r="V1207">
        <f t="shared" si="72"/>
        <v>0.33304293159970144</v>
      </c>
      <c r="W1207" s="1">
        <f t="shared" si="73"/>
        <v>4</v>
      </c>
      <c r="X1207">
        <f t="shared" si="74"/>
        <v>0.67560975600000006</v>
      </c>
      <c r="Y1207">
        <f t="shared" si="75"/>
        <v>19.899999999999999</v>
      </c>
      <c r="Z1207" s="1">
        <v>0</v>
      </c>
      <c r="AA1207">
        <v>100</v>
      </c>
      <c r="AB1207">
        <v>0</v>
      </c>
      <c r="AC1207">
        <v>0</v>
      </c>
      <c r="AD1207">
        <v>96</v>
      </c>
      <c r="AE1207">
        <v>0</v>
      </c>
      <c r="AF1207" t="s">
        <v>2588</v>
      </c>
      <c r="AG1207" t="s">
        <v>2591</v>
      </c>
    </row>
    <row r="1208" spans="1:33">
      <c r="A1208" s="2" t="s">
        <v>107</v>
      </c>
      <c r="B1208" s="2" t="s">
        <v>43</v>
      </c>
      <c r="C1208" s="1">
        <v>0.61734740899999996</v>
      </c>
      <c r="D1208">
        <v>0.68293216999999995</v>
      </c>
      <c r="E1208">
        <v>0.69981194099999999</v>
      </c>
      <c r="F1208" s="1" t="s">
        <v>108</v>
      </c>
      <c r="G1208" s="1">
        <v>2</v>
      </c>
      <c r="H1208" s="1">
        <v>19</v>
      </c>
      <c r="I1208" s="1">
        <v>21.1</v>
      </c>
      <c r="J1208" s="1">
        <v>0.66669717333333323</v>
      </c>
      <c r="K1208" s="1">
        <v>0.54180634699999997</v>
      </c>
      <c r="L1208" s="1">
        <v>0.59470779900000004</v>
      </c>
      <c r="M1208" s="3">
        <v>0.69518155599999998</v>
      </c>
      <c r="N1208" s="1" t="s">
        <v>44</v>
      </c>
      <c r="O1208" s="1">
        <v>1.7403685090000001</v>
      </c>
      <c r="P1208" s="1">
        <v>41.2</v>
      </c>
      <c r="Q1208" s="1">
        <v>59.7</v>
      </c>
      <c r="R1208" s="1">
        <v>0.61056523400000007</v>
      </c>
      <c r="S1208" s="1">
        <v>0.11623868612334576</v>
      </c>
      <c r="T1208" t="s">
        <v>1355</v>
      </c>
      <c r="U1208" s="1">
        <v>598</v>
      </c>
      <c r="V1208">
        <f t="shared" si="72"/>
        <v>0.30852235377649007</v>
      </c>
      <c r="W1208" s="1">
        <f t="shared" si="73"/>
        <v>22.200000000000003</v>
      </c>
      <c r="X1208">
        <f t="shared" si="74"/>
        <v>0.25963149099999994</v>
      </c>
      <c r="Y1208">
        <f t="shared" si="75"/>
        <v>38.6</v>
      </c>
      <c r="Z1208" s="1">
        <v>1</v>
      </c>
      <c r="AA1208">
        <v>99</v>
      </c>
      <c r="AB1208">
        <v>1.01E-2</v>
      </c>
      <c r="AC1208">
        <v>2</v>
      </c>
      <c r="AD1208">
        <v>116</v>
      </c>
      <c r="AE1208">
        <v>1.72E-2</v>
      </c>
      <c r="AF1208" t="s">
        <v>2588</v>
      </c>
      <c r="AG1208" t="s">
        <v>2589</v>
      </c>
    </row>
    <row r="1209" spans="1:33">
      <c r="A1209" s="2" t="s">
        <v>107</v>
      </c>
      <c r="B1209" s="2" t="s">
        <v>45</v>
      </c>
      <c r="C1209" s="1">
        <v>0.61734740899999996</v>
      </c>
      <c r="D1209">
        <v>0.68293216999999995</v>
      </c>
      <c r="E1209">
        <v>0.69981194099999999</v>
      </c>
      <c r="F1209" s="1" t="s">
        <v>108</v>
      </c>
      <c r="G1209" s="1">
        <v>2</v>
      </c>
      <c r="H1209" s="1">
        <v>19</v>
      </c>
      <c r="I1209" s="1">
        <v>21.1</v>
      </c>
      <c r="J1209" s="1">
        <v>0.66669717333333323</v>
      </c>
      <c r="K1209" s="1">
        <v>0.50907007599999998</v>
      </c>
      <c r="L1209" s="1">
        <v>0.68428041399999995</v>
      </c>
      <c r="M1209" s="3">
        <v>0.67454742099999998</v>
      </c>
      <c r="N1209" s="1" t="s">
        <v>46</v>
      </c>
      <c r="O1209" s="1">
        <v>0.98140043799999999</v>
      </c>
      <c r="P1209" s="1">
        <v>38.9</v>
      </c>
      <c r="Q1209" s="1">
        <v>91.4</v>
      </c>
      <c r="R1209" s="1">
        <v>0.62263263699999993</v>
      </c>
      <c r="S1209" s="1">
        <v>0.111193950259476</v>
      </c>
      <c r="T1209" t="s">
        <v>1356</v>
      </c>
      <c r="U1209" s="1">
        <v>884</v>
      </c>
      <c r="V1209">
        <f t="shared" si="72"/>
        <v>0.32738358500145259</v>
      </c>
      <c r="W1209" s="1">
        <f t="shared" si="73"/>
        <v>19.899999999999999</v>
      </c>
      <c r="X1209">
        <f t="shared" si="74"/>
        <v>1.0185995619999999</v>
      </c>
      <c r="Y1209">
        <f t="shared" si="75"/>
        <v>70.300000000000011</v>
      </c>
      <c r="Z1209" s="1">
        <v>0</v>
      </c>
      <c r="AA1209">
        <v>100</v>
      </c>
      <c r="AB1209">
        <v>0</v>
      </c>
      <c r="AC1209">
        <v>1</v>
      </c>
      <c r="AD1209">
        <v>97</v>
      </c>
      <c r="AE1209">
        <v>1.03E-2</v>
      </c>
      <c r="AF1209" t="s">
        <v>2588</v>
      </c>
      <c r="AG1209" t="s">
        <v>2589</v>
      </c>
    </row>
    <row r="1210" spans="1:33">
      <c r="A1210" s="2" t="s">
        <v>107</v>
      </c>
      <c r="B1210" s="2" t="s">
        <v>47</v>
      </c>
      <c r="C1210" s="1">
        <v>0.61734740899999996</v>
      </c>
      <c r="D1210">
        <v>0.68293216999999995</v>
      </c>
      <c r="E1210">
        <v>0.69981194099999999</v>
      </c>
      <c r="F1210" s="1" t="s">
        <v>108</v>
      </c>
      <c r="G1210" s="1">
        <v>2</v>
      </c>
      <c r="H1210" s="1">
        <v>19</v>
      </c>
      <c r="I1210" s="1">
        <v>21.1</v>
      </c>
      <c r="J1210" s="1">
        <v>0.66669717333333323</v>
      </c>
      <c r="K1210" s="1">
        <v>0.50612154099999995</v>
      </c>
      <c r="L1210" s="1">
        <v>0.55940039100000005</v>
      </c>
      <c r="M1210" s="3">
        <v>0.66789001699999995</v>
      </c>
      <c r="N1210" s="1" t="s">
        <v>48</v>
      </c>
      <c r="O1210" s="1">
        <v>1.242622951</v>
      </c>
      <c r="P1210" s="1">
        <v>17.8</v>
      </c>
      <c r="Q1210" s="1">
        <v>30.5</v>
      </c>
      <c r="R1210" s="1">
        <v>0.57780398300000002</v>
      </c>
      <c r="S1210" s="1">
        <v>0.16926400493643065</v>
      </c>
      <c r="T1210" t="s">
        <v>1357</v>
      </c>
      <c r="U1210" s="1">
        <v>2921</v>
      </c>
      <c r="V1210">
        <f t="shared" si="72"/>
        <v>0.38505906188594996</v>
      </c>
      <c r="W1210" s="1">
        <f t="shared" si="73"/>
        <v>1.1999999999999993</v>
      </c>
      <c r="X1210">
        <f t="shared" si="74"/>
        <v>0.75737704900000002</v>
      </c>
      <c r="Y1210">
        <f t="shared" si="75"/>
        <v>9.3999999999999986</v>
      </c>
      <c r="Z1210" s="1">
        <v>0</v>
      </c>
      <c r="AA1210">
        <v>100</v>
      </c>
      <c r="AB1210">
        <v>0</v>
      </c>
      <c r="AC1210">
        <v>0</v>
      </c>
      <c r="AD1210">
        <v>105</v>
      </c>
      <c r="AE1210">
        <v>0</v>
      </c>
      <c r="AF1210" t="s">
        <v>2588</v>
      </c>
      <c r="AG1210" t="s">
        <v>2590</v>
      </c>
    </row>
    <row r="1211" spans="1:33">
      <c r="A1211" s="2" t="s">
        <v>107</v>
      </c>
      <c r="B1211" s="2" t="s">
        <v>49</v>
      </c>
      <c r="C1211" s="1">
        <v>0.61734740899999996</v>
      </c>
      <c r="D1211">
        <v>0.68293216999999995</v>
      </c>
      <c r="E1211">
        <v>0.69981194099999999</v>
      </c>
      <c r="F1211" s="1" t="s">
        <v>108</v>
      </c>
      <c r="G1211" s="1">
        <v>2</v>
      </c>
      <c r="H1211" s="1">
        <v>19</v>
      </c>
      <c r="I1211" s="1">
        <v>21.1</v>
      </c>
      <c r="J1211" s="1">
        <v>0.66669717333333323</v>
      </c>
      <c r="K1211" s="1">
        <v>0.50647110500000003</v>
      </c>
      <c r="L1211" s="1">
        <v>0.55713136799999996</v>
      </c>
      <c r="M1211" s="3">
        <v>0.63402682300000002</v>
      </c>
      <c r="N1211" s="1" t="s">
        <v>50</v>
      </c>
      <c r="O1211" s="1">
        <v>1.876675603</v>
      </c>
      <c r="P1211" s="1">
        <v>28.8</v>
      </c>
      <c r="Q1211" s="1">
        <v>37.299999999999997</v>
      </c>
      <c r="R1211" s="1">
        <v>0.56587643200000004</v>
      </c>
      <c r="S1211" s="1">
        <v>0.18013072564895063</v>
      </c>
      <c r="T1211" t="s">
        <v>1358</v>
      </c>
      <c r="U1211" s="1">
        <v>549</v>
      </c>
      <c r="V1211">
        <f t="shared" si="72"/>
        <v>0.30439692716112132</v>
      </c>
      <c r="W1211" s="1">
        <f t="shared" si="73"/>
        <v>9.8000000000000007</v>
      </c>
      <c r="X1211">
        <f t="shared" si="74"/>
        <v>0.12332439699999997</v>
      </c>
      <c r="Y1211">
        <f t="shared" si="75"/>
        <v>16.199999999999996</v>
      </c>
      <c r="Z1211" s="1">
        <v>0</v>
      </c>
      <c r="AA1211">
        <v>100</v>
      </c>
      <c r="AB1211">
        <v>0</v>
      </c>
      <c r="AC1211">
        <v>1</v>
      </c>
      <c r="AD1211">
        <v>78</v>
      </c>
      <c r="AE1211">
        <v>1.2800000000000001E-2</v>
      </c>
      <c r="AF1211" t="s">
        <v>2588</v>
      </c>
      <c r="AG1211" t="s">
        <v>2590</v>
      </c>
    </row>
    <row r="1212" spans="1:33">
      <c r="A1212" s="2" t="s">
        <v>107</v>
      </c>
      <c r="B1212" s="2" t="s">
        <v>51</v>
      </c>
      <c r="C1212" s="1">
        <v>0.61734740899999996</v>
      </c>
      <c r="D1212">
        <v>0.68293216999999995</v>
      </c>
      <c r="E1212">
        <v>0.69981194099999999</v>
      </c>
      <c r="F1212" s="1" t="s">
        <v>108</v>
      </c>
      <c r="G1212" s="1">
        <v>2</v>
      </c>
      <c r="H1212" s="1">
        <v>19</v>
      </c>
      <c r="I1212" s="1">
        <v>21.1</v>
      </c>
      <c r="J1212" s="1">
        <v>0.66669717333333323</v>
      </c>
      <c r="K1212" s="1">
        <v>0.60067161999999996</v>
      </c>
      <c r="L1212" s="1">
        <v>0.68094129999999997</v>
      </c>
      <c r="M1212" s="3">
        <v>0.73595931299999995</v>
      </c>
      <c r="N1212" s="1" t="s">
        <v>52</v>
      </c>
      <c r="O1212" s="1">
        <v>1.858638743</v>
      </c>
      <c r="P1212" s="1">
        <v>29.4</v>
      </c>
      <c r="Q1212" s="1">
        <v>38.200000000000003</v>
      </c>
      <c r="R1212" s="1">
        <v>0.67252407766666666</v>
      </c>
      <c r="S1212" s="1">
        <v>3.9858223801817881E-2</v>
      </c>
      <c r="T1212" t="s">
        <v>1359</v>
      </c>
      <c r="U1212" s="1">
        <v>489</v>
      </c>
      <c r="V1212">
        <f t="shared" si="72"/>
        <v>0.29881209545818005</v>
      </c>
      <c r="W1212" s="1">
        <f t="shared" si="73"/>
        <v>10.399999999999999</v>
      </c>
      <c r="X1212">
        <f t="shared" si="74"/>
        <v>0.14136125700000002</v>
      </c>
      <c r="Y1212">
        <f t="shared" si="75"/>
        <v>17.100000000000001</v>
      </c>
      <c r="Z1212" s="1">
        <v>0</v>
      </c>
      <c r="AA1212">
        <v>100</v>
      </c>
      <c r="AB1212">
        <v>0</v>
      </c>
      <c r="AC1212">
        <v>1</v>
      </c>
      <c r="AD1212">
        <v>87</v>
      </c>
      <c r="AE1212">
        <v>1.15E-2</v>
      </c>
      <c r="AF1212" t="s">
        <v>2588</v>
      </c>
      <c r="AG1212" t="s">
        <v>2591</v>
      </c>
    </row>
    <row r="1213" spans="1:33">
      <c r="A1213" s="2" t="s">
        <v>107</v>
      </c>
      <c r="B1213" s="2" t="s">
        <v>53</v>
      </c>
      <c r="C1213" s="1">
        <v>0.61734740899999996</v>
      </c>
      <c r="D1213">
        <v>0.68293216999999995</v>
      </c>
      <c r="E1213">
        <v>0.69981194099999999</v>
      </c>
      <c r="F1213" s="1" t="s">
        <v>108</v>
      </c>
      <c r="G1213" s="1">
        <v>2</v>
      </c>
      <c r="H1213" s="1">
        <v>19</v>
      </c>
      <c r="I1213" s="1">
        <v>21.1</v>
      </c>
      <c r="J1213" s="1">
        <v>0.66669717333333323</v>
      </c>
      <c r="K1213" s="1">
        <v>0.54695832700000002</v>
      </c>
      <c r="L1213" s="1">
        <v>0.659790137</v>
      </c>
      <c r="M1213" s="3">
        <v>0.70662085500000005</v>
      </c>
      <c r="N1213" s="1" t="s">
        <v>54</v>
      </c>
      <c r="O1213" s="1">
        <v>2.5053995680000001</v>
      </c>
      <c r="P1213" s="1">
        <v>43.9</v>
      </c>
      <c r="Q1213" s="1">
        <v>46.3</v>
      </c>
      <c r="R1213" s="1">
        <v>0.63778977300000006</v>
      </c>
      <c r="S1213" s="1">
        <v>7.4407915345312547E-2</v>
      </c>
      <c r="T1213" t="s">
        <v>1360</v>
      </c>
      <c r="U1213" s="1">
        <v>650</v>
      </c>
      <c r="V1213">
        <f t="shared" si="72"/>
        <v>0.31254592851587287</v>
      </c>
      <c r="W1213" s="1">
        <f t="shared" si="73"/>
        <v>24.9</v>
      </c>
      <c r="X1213">
        <f t="shared" si="74"/>
        <v>0.50539956800000008</v>
      </c>
      <c r="Y1213">
        <f t="shared" si="75"/>
        <v>25.199999999999996</v>
      </c>
      <c r="Z1213" s="1">
        <v>0</v>
      </c>
      <c r="AA1213">
        <v>100</v>
      </c>
      <c r="AB1213">
        <v>0</v>
      </c>
      <c r="AC1213">
        <v>0</v>
      </c>
      <c r="AD1213">
        <v>88</v>
      </c>
      <c r="AE1213">
        <v>0</v>
      </c>
      <c r="AF1213" t="s">
        <v>2588</v>
      </c>
      <c r="AG1213" t="s">
        <v>2593</v>
      </c>
    </row>
    <row r="1214" spans="1:33">
      <c r="A1214" s="2" t="s">
        <v>107</v>
      </c>
      <c r="B1214" s="2" t="s">
        <v>55</v>
      </c>
      <c r="C1214" s="1">
        <v>0.61734740899999996</v>
      </c>
      <c r="D1214">
        <v>0.68293216999999995</v>
      </c>
      <c r="E1214">
        <v>0.69981194099999999</v>
      </c>
      <c r="F1214" s="1" t="s">
        <v>108</v>
      </c>
      <c r="G1214" s="1">
        <v>2</v>
      </c>
      <c r="H1214" s="1">
        <v>19</v>
      </c>
      <c r="I1214" s="1">
        <v>21.1</v>
      </c>
      <c r="J1214" s="1">
        <v>0.66669717333333323</v>
      </c>
      <c r="K1214" s="1">
        <v>0.52971861799999997</v>
      </c>
      <c r="L1214" s="1">
        <v>0.62258244500000004</v>
      </c>
      <c r="M1214" s="3">
        <v>0.63939760400000001</v>
      </c>
      <c r="N1214" s="1" t="s">
        <v>56</v>
      </c>
      <c r="O1214" s="1">
        <v>1.0796934869999999</v>
      </c>
      <c r="P1214" s="1">
        <v>55.3</v>
      </c>
      <c r="Q1214" s="1">
        <v>130.5</v>
      </c>
      <c r="R1214" s="1">
        <v>0.59723288899999993</v>
      </c>
      <c r="S1214" s="1">
        <v>0.12235516513350329</v>
      </c>
      <c r="T1214" t="s">
        <v>1361</v>
      </c>
      <c r="U1214" s="1">
        <v>466</v>
      </c>
      <c r="V1214">
        <f t="shared" si="72"/>
        <v>0.29648732407666667</v>
      </c>
      <c r="W1214" s="1">
        <f t="shared" si="73"/>
        <v>36.299999999999997</v>
      </c>
      <c r="X1214">
        <f t="shared" si="74"/>
        <v>0.9203065130000001</v>
      </c>
      <c r="Y1214">
        <f t="shared" si="75"/>
        <v>109.4</v>
      </c>
      <c r="Z1214" s="1">
        <v>1</v>
      </c>
      <c r="AA1214">
        <v>99</v>
      </c>
      <c r="AB1214">
        <v>1.01E-2</v>
      </c>
      <c r="AC1214">
        <v>1</v>
      </c>
      <c r="AD1214">
        <v>79</v>
      </c>
      <c r="AE1214">
        <v>1.2699999999999999E-2</v>
      </c>
      <c r="AF1214" t="s">
        <v>2588</v>
      </c>
      <c r="AG1214" t="s">
        <v>2592</v>
      </c>
    </row>
    <row r="1215" spans="1:33">
      <c r="A1215" s="2" t="s">
        <v>107</v>
      </c>
      <c r="B1215" s="2" t="s">
        <v>57</v>
      </c>
      <c r="C1215" s="1">
        <v>0.61734740899999996</v>
      </c>
      <c r="D1215">
        <v>0.68293216999999995</v>
      </c>
      <c r="E1215">
        <v>0.69981194099999999</v>
      </c>
      <c r="F1215" s="1" t="s">
        <v>108</v>
      </c>
      <c r="G1215" s="1">
        <v>2</v>
      </c>
      <c r="H1215" s="1">
        <v>19</v>
      </c>
      <c r="I1215" s="1">
        <v>21.1</v>
      </c>
      <c r="J1215" s="1">
        <v>0.66669717333333323</v>
      </c>
      <c r="K1215" s="1">
        <v>0.528732855</v>
      </c>
      <c r="L1215" s="1">
        <v>0.63387497599999998</v>
      </c>
      <c r="M1215" s="3">
        <v>0.63337360200000004</v>
      </c>
      <c r="N1215" s="1" t="s">
        <v>58</v>
      </c>
      <c r="O1215" s="1">
        <v>1.386610879</v>
      </c>
      <c r="P1215" s="1">
        <v>69</v>
      </c>
      <c r="Q1215" s="1">
        <v>119.5</v>
      </c>
      <c r="R1215" s="1">
        <v>0.59866047766666663</v>
      </c>
      <c r="S1215" s="1">
        <v>0.12113298622939772</v>
      </c>
      <c r="T1215" t="s">
        <v>1362</v>
      </c>
      <c r="U1215" s="1">
        <v>898</v>
      </c>
      <c r="V1215">
        <f t="shared" si="72"/>
        <v>0.32814181518525604</v>
      </c>
      <c r="W1215" s="1">
        <f t="shared" si="73"/>
        <v>50</v>
      </c>
      <c r="X1215">
        <f t="shared" si="74"/>
        <v>0.61338912099999998</v>
      </c>
      <c r="Y1215">
        <f t="shared" si="75"/>
        <v>98.4</v>
      </c>
      <c r="Z1215" s="1">
        <v>0</v>
      </c>
      <c r="AA1215">
        <v>100</v>
      </c>
      <c r="AB1215">
        <v>0</v>
      </c>
      <c r="AC1215">
        <v>1</v>
      </c>
      <c r="AD1215">
        <v>85</v>
      </c>
      <c r="AE1215">
        <v>1.18E-2</v>
      </c>
      <c r="AF1215" t="s">
        <v>2588</v>
      </c>
      <c r="AG1215" t="s">
        <v>2589</v>
      </c>
    </row>
    <row r="1216" spans="1:33">
      <c r="A1216" s="2" t="s">
        <v>107</v>
      </c>
      <c r="B1216" s="2" t="s">
        <v>59</v>
      </c>
      <c r="C1216" s="1">
        <v>0.61734740899999996</v>
      </c>
      <c r="D1216">
        <v>0.68293216999999995</v>
      </c>
      <c r="E1216">
        <v>0.69981194099999999</v>
      </c>
      <c r="F1216" s="1" t="s">
        <v>108</v>
      </c>
      <c r="G1216" s="1">
        <v>2</v>
      </c>
      <c r="H1216" s="1">
        <v>19</v>
      </c>
      <c r="I1216" s="1">
        <v>21.1</v>
      </c>
      <c r="J1216" s="1">
        <v>0.66669717333333323</v>
      </c>
      <c r="K1216" s="1">
        <v>0.56225432799999997</v>
      </c>
      <c r="L1216" s="1">
        <v>0.68100706499999997</v>
      </c>
      <c r="M1216" s="3">
        <v>0.67505263699999996</v>
      </c>
      <c r="N1216" s="1" t="s">
        <v>60</v>
      </c>
      <c r="O1216" s="1">
        <v>1.1501154730000001</v>
      </c>
      <c r="P1216" s="1">
        <v>60.5</v>
      </c>
      <c r="Q1216" s="1">
        <v>129.9</v>
      </c>
      <c r="R1216" s="1">
        <v>0.63943801</v>
      </c>
      <c r="S1216" s="1">
        <v>6.0431587252843214E-2</v>
      </c>
      <c r="T1216" t="s">
        <v>1363</v>
      </c>
      <c r="U1216" s="1">
        <v>2683</v>
      </c>
      <c r="V1216">
        <f t="shared" si="72"/>
        <v>0.38095785251910436</v>
      </c>
      <c r="W1216" s="1">
        <f t="shared" si="73"/>
        <v>41.5</v>
      </c>
      <c r="X1216">
        <f t="shared" si="74"/>
        <v>0.84988452699999995</v>
      </c>
      <c r="Y1216">
        <f t="shared" si="75"/>
        <v>108.80000000000001</v>
      </c>
      <c r="Z1216" s="1">
        <v>0</v>
      </c>
      <c r="AA1216">
        <v>100</v>
      </c>
      <c r="AB1216">
        <v>0</v>
      </c>
      <c r="AC1216">
        <v>1</v>
      </c>
      <c r="AD1216">
        <v>104</v>
      </c>
      <c r="AE1216">
        <v>9.5999999999999992E-3</v>
      </c>
      <c r="AF1216" t="s">
        <v>2588</v>
      </c>
      <c r="AG1216" t="s">
        <v>2589</v>
      </c>
    </row>
    <row r="1217" spans="1:33">
      <c r="A1217" s="2" t="s">
        <v>107</v>
      </c>
      <c r="B1217" s="2" t="s">
        <v>61</v>
      </c>
      <c r="C1217" s="1">
        <v>0.61734740899999996</v>
      </c>
      <c r="D1217">
        <v>0.68293216999999995</v>
      </c>
      <c r="E1217">
        <v>0.69981194099999999</v>
      </c>
      <c r="F1217" s="1" t="s">
        <v>108</v>
      </c>
      <c r="G1217" s="1">
        <v>2</v>
      </c>
      <c r="H1217" s="1">
        <v>19</v>
      </c>
      <c r="I1217" s="1">
        <v>21.1</v>
      </c>
      <c r="J1217" s="1">
        <v>0.66669717333333323</v>
      </c>
      <c r="K1217" s="1">
        <v>0.62063455999999995</v>
      </c>
      <c r="L1217" s="1">
        <v>0.67798104299999995</v>
      </c>
      <c r="M1217" s="3">
        <v>0.72175371600000005</v>
      </c>
      <c r="N1217" s="1" t="s">
        <v>62</v>
      </c>
      <c r="O1217" s="1">
        <v>7.5471698109999998</v>
      </c>
      <c r="P1217" s="1">
        <v>26.4</v>
      </c>
      <c r="Q1217" s="1">
        <v>10.6</v>
      </c>
      <c r="R1217" s="1">
        <v>0.6734564396666668</v>
      </c>
      <c r="S1217" s="1">
        <v>2.2732367021882194E-2</v>
      </c>
      <c r="T1217" t="s">
        <v>1364</v>
      </c>
      <c r="U1217" s="1">
        <v>2775</v>
      </c>
      <c r="V1217">
        <f t="shared" si="72"/>
        <v>0.38258477638429944</v>
      </c>
      <c r="W1217" s="1">
        <f t="shared" si="73"/>
        <v>7.3999999999999986</v>
      </c>
      <c r="X1217">
        <f t="shared" si="74"/>
        <v>5.5471698109999998</v>
      </c>
      <c r="Y1217">
        <f t="shared" si="75"/>
        <v>10.500000000000002</v>
      </c>
      <c r="Z1217" s="1">
        <v>0</v>
      </c>
      <c r="AA1217">
        <v>100</v>
      </c>
      <c r="AB1217">
        <v>0</v>
      </c>
      <c r="AC1217">
        <v>0</v>
      </c>
      <c r="AD1217">
        <v>80</v>
      </c>
      <c r="AE1217">
        <v>0</v>
      </c>
      <c r="AF1217" t="s">
        <v>2588</v>
      </c>
      <c r="AG1217" t="s">
        <v>2588</v>
      </c>
    </row>
    <row r="1218" spans="1:33">
      <c r="A1218" s="2" t="s">
        <v>107</v>
      </c>
      <c r="B1218" s="2" t="s">
        <v>63</v>
      </c>
      <c r="C1218" s="1">
        <v>0.61734740899999996</v>
      </c>
      <c r="D1218">
        <v>0.68293216999999995</v>
      </c>
      <c r="E1218">
        <v>0.69981194099999999</v>
      </c>
      <c r="F1218" s="1" t="s">
        <v>108</v>
      </c>
      <c r="G1218" s="1">
        <v>2</v>
      </c>
      <c r="H1218" s="1">
        <v>19</v>
      </c>
      <c r="I1218" s="1">
        <v>21.1</v>
      </c>
      <c r="J1218" s="1">
        <v>0.66669717333333323</v>
      </c>
      <c r="K1218" s="1">
        <v>0.44311141399999998</v>
      </c>
      <c r="L1218" s="1">
        <v>0.57053969199999999</v>
      </c>
      <c r="M1218" s="3">
        <v>0.59266330599999995</v>
      </c>
      <c r="N1218" s="1" t="s">
        <v>64</v>
      </c>
      <c r="O1218" s="1">
        <v>0.89618138400000003</v>
      </c>
      <c r="P1218" s="1">
        <v>29.7</v>
      </c>
      <c r="Q1218" s="1">
        <v>83.8</v>
      </c>
      <c r="R1218" s="1">
        <v>0.53543813733333334</v>
      </c>
      <c r="S1218" s="1">
        <v>0.23339040478773698</v>
      </c>
      <c r="T1218" t="s">
        <v>1365</v>
      </c>
      <c r="U1218" s="1">
        <v>956</v>
      </c>
      <c r="V1218">
        <f t="shared" ref="V1218:V1281" si="76">LOG10(U1218) / 9</f>
        <v>0.33116198803067776</v>
      </c>
      <c r="W1218" s="1">
        <f t="shared" ref="W1218:W1281" si="77">ABS(H1218-P1218)</f>
        <v>10.7</v>
      </c>
      <c r="X1218">
        <f t="shared" ref="X1218:X1281" si="78">ABS(G1218-O1218)</f>
        <v>1.1038186159999999</v>
      </c>
      <c r="Y1218">
        <f t="shared" ref="Y1218:Y1281" si="79">ABS(I1218-Q1218)</f>
        <v>62.699999999999996</v>
      </c>
      <c r="Z1218" s="1">
        <v>1</v>
      </c>
      <c r="AA1218">
        <v>99</v>
      </c>
      <c r="AB1218">
        <v>1.01E-2</v>
      </c>
      <c r="AC1218">
        <v>1</v>
      </c>
      <c r="AD1218">
        <v>86</v>
      </c>
      <c r="AE1218">
        <v>1.1599999999999999E-2</v>
      </c>
      <c r="AF1218" t="s">
        <v>2588</v>
      </c>
      <c r="AG1218" t="s">
        <v>2590</v>
      </c>
    </row>
    <row r="1219" spans="1:33">
      <c r="A1219" s="2" t="s">
        <v>107</v>
      </c>
      <c r="B1219" s="2" t="s">
        <v>65</v>
      </c>
      <c r="C1219" s="1">
        <v>0.61734740899999996</v>
      </c>
      <c r="D1219">
        <v>0.68293216999999995</v>
      </c>
      <c r="E1219">
        <v>0.69981194099999999</v>
      </c>
      <c r="F1219" s="1" t="s">
        <v>108</v>
      </c>
      <c r="G1219" s="1">
        <v>2</v>
      </c>
      <c r="H1219" s="1">
        <v>19</v>
      </c>
      <c r="I1219" s="1">
        <v>21.1</v>
      </c>
      <c r="J1219" s="1">
        <v>0.66669717333333323</v>
      </c>
      <c r="K1219" s="1">
        <v>0.67377447499999998</v>
      </c>
      <c r="L1219" s="1">
        <v>0.69144672900000004</v>
      </c>
      <c r="M1219" s="3">
        <v>0.73046409700000003</v>
      </c>
      <c r="N1219" s="1" t="s">
        <v>66</v>
      </c>
      <c r="O1219" s="1">
        <v>1.8507462690000001</v>
      </c>
      <c r="P1219" s="1">
        <v>34.5</v>
      </c>
      <c r="Q1219" s="1">
        <v>46.9</v>
      </c>
      <c r="R1219" s="1">
        <v>0.69856176700000006</v>
      </c>
      <c r="S1219" s="1">
        <v>6.4777049637824505E-2</v>
      </c>
      <c r="T1219" t="s">
        <v>1366</v>
      </c>
      <c r="U1219" s="1">
        <v>356</v>
      </c>
      <c r="V1219">
        <f t="shared" si="76"/>
        <v>0.28349444421920839</v>
      </c>
      <c r="W1219" s="1">
        <f t="shared" si="77"/>
        <v>15.5</v>
      </c>
      <c r="X1219">
        <f t="shared" si="78"/>
        <v>0.14925373099999995</v>
      </c>
      <c r="Y1219">
        <f t="shared" si="79"/>
        <v>25.799999999999997</v>
      </c>
      <c r="Z1219" s="1">
        <v>0</v>
      </c>
      <c r="AA1219">
        <v>100</v>
      </c>
      <c r="AB1219">
        <v>0</v>
      </c>
      <c r="AC1219">
        <v>0</v>
      </c>
      <c r="AD1219">
        <v>69</v>
      </c>
      <c r="AE1219">
        <v>0</v>
      </c>
      <c r="AF1219" t="s">
        <v>2588</v>
      </c>
      <c r="AG1219" t="s">
        <v>2593</v>
      </c>
    </row>
    <row r="1220" spans="1:33">
      <c r="A1220" s="2" t="s">
        <v>107</v>
      </c>
      <c r="B1220" s="2" t="s">
        <v>67</v>
      </c>
      <c r="C1220" s="1">
        <v>0.61734740899999996</v>
      </c>
      <c r="D1220">
        <v>0.68293216999999995</v>
      </c>
      <c r="E1220">
        <v>0.69981194099999999</v>
      </c>
      <c r="F1220" s="1" t="s">
        <v>108</v>
      </c>
      <c r="G1220" s="1">
        <v>2</v>
      </c>
      <c r="H1220" s="1">
        <v>19</v>
      </c>
      <c r="I1220" s="1">
        <v>21.1</v>
      </c>
      <c r="J1220" s="1">
        <v>0.66669717333333323</v>
      </c>
      <c r="K1220" s="1">
        <v>0.53971122199999999</v>
      </c>
      <c r="L1220" s="1">
        <v>0.621203065</v>
      </c>
      <c r="M1220" s="3">
        <v>0.67806811499999997</v>
      </c>
      <c r="N1220" s="1" t="s">
        <v>68</v>
      </c>
      <c r="O1220" s="1">
        <v>1.5131894480000001</v>
      </c>
      <c r="P1220" s="1">
        <v>27.2</v>
      </c>
      <c r="Q1220" s="1">
        <v>41.7</v>
      </c>
      <c r="R1220" s="1">
        <v>0.61299413400000002</v>
      </c>
      <c r="S1220" s="1">
        <v>0.10154139010826206</v>
      </c>
      <c r="T1220" t="s">
        <v>1367</v>
      </c>
      <c r="U1220" s="1">
        <v>11085</v>
      </c>
      <c r="V1220">
        <f t="shared" si="76"/>
        <v>0.44941507749450083</v>
      </c>
      <c r="W1220" s="1">
        <f t="shared" si="77"/>
        <v>8.1999999999999993</v>
      </c>
      <c r="X1220">
        <f t="shared" si="78"/>
        <v>0.4868105519999999</v>
      </c>
      <c r="Y1220">
        <f t="shared" si="79"/>
        <v>20.6</v>
      </c>
      <c r="Z1220" s="1">
        <v>0</v>
      </c>
      <c r="AA1220">
        <v>100</v>
      </c>
      <c r="AB1220">
        <v>0</v>
      </c>
      <c r="AC1220">
        <v>0</v>
      </c>
      <c r="AD1220">
        <v>80</v>
      </c>
      <c r="AE1220">
        <v>0</v>
      </c>
      <c r="AF1220" t="s">
        <v>2588</v>
      </c>
      <c r="AG1220" t="s">
        <v>2588</v>
      </c>
    </row>
    <row r="1221" spans="1:33">
      <c r="A1221" s="2" t="s">
        <v>107</v>
      </c>
      <c r="B1221" s="2" t="s">
        <v>69</v>
      </c>
      <c r="C1221" s="1">
        <v>0.61734740899999996</v>
      </c>
      <c r="D1221">
        <v>0.68293216999999995</v>
      </c>
      <c r="E1221">
        <v>0.69981194099999999</v>
      </c>
      <c r="F1221" s="1" t="s">
        <v>108</v>
      </c>
      <c r="G1221" s="1">
        <v>2</v>
      </c>
      <c r="H1221" s="1">
        <v>19</v>
      </c>
      <c r="I1221" s="1">
        <v>21.1</v>
      </c>
      <c r="J1221" s="1">
        <v>0.66669717333333323</v>
      </c>
      <c r="K1221" s="1">
        <v>0.50188385300000005</v>
      </c>
      <c r="L1221" s="1">
        <v>0.64580031500000001</v>
      </c>
      <c r="M1221" s="3">
        <v>0.66006355800000005</v>
      </c>
      <c r="N1221" s="1" t="s">
        <v>70</v>
      </c>
      <c r="O1221" s="1">
        <v>1.2401055409999999</v>
      </c>
      <c r="P1221" s="1">
        <v>43.4</v>
      </c>
      <c r="Q1221" s="1">
        <v>75.8</v>
      </c>
      <c r="R1221" s="1">
        <v>0.60258257533333337</v>
      </c>
      <c r="S1221" s="1">
        <v>0.12763440512268165</v>
      </c>
      <c r="T1221" t="s">
        <v>1368</v>
      </c>
      <c r="U1221" s="1">
        <v>698</v>
      </c>
      <c r="V1221">
        <f t="shared" si="76"/>
        <v>0.31598393584701789</v>
      </c>
      <c r="W1221" s="1">
        <f t="shared" si="77"/>
        <v>24.4</v>
      </c>
      <c r="X1221">
        <f t="shared" si="78"/>
        <v>0.75989445900000008</v>
      </c>
      <c r="Y1221">
        <f t="shared" si="79"/>
        <v>54.699999999999996</v>
      </c>
      <c r="Z1221" s="1">
        <v>1</v>
      </c>
      <c r="AA1221">
        <v>99</v>
      </c>
      <c r="AB1221">
        <v>1.01E-2</v>
      </c>
      <c r="AC1221">
        <v>1</v>
      </c>
      <c r="AD1221">
        <v>86</v>
      </c>
      <c r="AE1221">
        <v>1.1599999999999999E-2</v>
      </c>
      <c r="AF1221" t="s">
        <v>2588</v>
      </c>
      <c r="AG1221" t="s">
        <v>2589</v>
      </c>
    </row>
    <row r="1222" spans="1:33">
      <c r="A1222" s="2" t="s">
        <v>107</v>
      </c>
      <c r="B1222" s="2" t="s">
        <v>71</v>
      </c>
      <c r="C1222" s="1">
        <v>0.61734740899999996</v>
      </c>
      <c r="D1222">
        <v>0.68293216999999995</v>
      </c>
      <c r="E1222">
        <v>0.69981194099999999</v>
      </c>
      <c r="F1222" s="1" t="s">
        <v>108</v>
      </c>
      <c r="G1222" s="1">
        <v>2</v>
      </c>
      <c r="H1222" s="1">
        <v>19</v>
      </c>
      <c r="I1222" s="1">
        <v>21.1</v>
      </c>
      <c r="J1222" s="1">
        <v>0.66669717333333323</v>
      </c>
      <c r="K1222" s="1">
        <v>0.53267569100000001</v>
      </c>
      <c r="L1222" s="1">
        <v>0.64507433599999997</v>
      </c>
      <c r="M1222" s="3">
        <v>0.66598465100000004</v>
      </c>
      <c r="N1222" s="1" t="s">
        <v>72</v>
      </c>
      <c r="O1222" s="1">
        <v>0.97289666900000005</v>
      </c>
      <c r="P1222" s="1">
        <v>64.8</v>
      </c>
      <c r="Q1222" s="1">
        <v>177.1</v>
      </c>
      <c r="R1222" s="1">
        <v>0.61457822600000001</v>
      </c>
      <c r="S1222" s="1">
        <v>9.8725888058741551E-2</v>
      </c>
      <c r="T1222" t="s">
        <v>1369</v>
      </c>
      <c r="U1222" s="1">
        <v>2238</v>
      </c>
      <c r="V1222">
        <f t="shared" si="76"/>
        <v>0.3722066757991479</v>
      </c>
      <c r="W1222" s="1">
        <f t="shared" si="77"/>
        <v>45.8</v>
      </c>
      <c r="X1222">
        <f t="shared" si="78"/>
        <v>1.027103331</v>
      </c>
      <c r="Y1222">
        <f t="shared" si="79"/>
        <v>156</v>
      </c>
      <c r="Z1222" s="1">
        <v>0</v>
      </c>
      <c r="AA1222">
        <v>100</v>
      </c>
      <c r="AB1222">
        <v>0</v>
      </c>
      <c r="AC1222">
        <v>1</v>
      </c>
      <c r="AD1222">
        <v>97</v>
      </c>
      <c r="AE1222">
        <v>1.03E-2</v>
      </c>
      <c r="AF1222" t="s">
        <v>2588</v>
      </c>
      <c r="AG1222" t="s">
        <v>2589</v>
      </c>
    </row>
    <row r="1223" spans="1:33">
      <c r="A1223" s="2" t="s">
        <v>107</v>
      </c>
      <c r="B1223" s="2" t="s">
        <v>73</v>
      </c>
      <c r="C1223" s="1">
        <v>0.61734740899999996</v>
      </c>
      <c r="D1223">
        <v>0.68293216999999995</v>
      </c>
      <c r="E1223">
        <v>0.69981194099999999</v>
      </c>
      <c r="F1223" s="1" t="s">
        <v>108</v>
      </c>
      <c r="G1223" s="1">
        <v>2</v>
      </c>
      <c r="H1223" s="1">
        <v>19</v>
      </c>
      <c r="I1223" s="1">
        <v>21.1</v>
      </c>
      <c r="J1223" s="1">
        <v>0.66669717333333323</v>
      </c>
      <c r="K1223" s="1">
        <v>0.55697925299999995</v>
      </c>
      <c r="L1223" s="1">
        <v>0.64461978399999997</v>
      </c>
      <c r="M1223" s="3">
        <v>0.69570690000000002</v>
      </c>
      <c r="N1223" s="1" t="s">
        <v>74</v>
      </c>
      <c r="O1223" s="1">
        <v>1.23433584</v>
      </c>
      <c r="P1223" s="1">
        <v>44</v>
      </c>
      <c r="Q1223" s="1">
        <v>79.8</v>
      </c>
      <c r="R1223" s="1">
        <v>0.63243531233333328</v>
      </c>
      <c r="S1223" s="1">
        <v>7.1617068785765112E-2</v>
      </c>
      <c r="T1223" t="s">
        <v>1370</v>
      </c>
      <c r="U1223" s="1">
        <v>618</v>
      </c>
      <c r="V1223">
        <f t="shared" si="76"/>
        <v>0.31010983056542396</v>
      </c>
      <c r="W1223" s="1">
        <f t="shared" si="77"/>
        <v>25</v>
      </c>
      <c r="X1223">
        <f t="shared" si="78"/>
        <v>0.76566416000000004</v>
      </c>
      <c r="Y1223">
        <f t="shared" si="79"/>
        <v>58.699999999999996</v>
      </c>
      <c r="Z1223" s="1">
        <v>0</v>
      </c>
      <c r="AA1223">
        <v>100</v>
      </c>
      <c r="AB1223">
        <v>0</v>
      </c>
      <c r="AC1223">
        <v>1</v>
      </c>
      <c r="AD1223">
        <v>82</v>
      </c>
      <c r="AE1223">
        <v>1.2200000000000001E-2</v>
      </c>
      <c r="AF1223" t="s">
        <v>2588</v>
      </c>
      <c r="AG1223" t="s">
        <v>2589</v>
      </c>
    </row>
    <row r="1224" spans="1:33">
      <c r="A1224" s="2" t="s">
        <v>107</v>
      </c>
      <c r="B1224" s="2" t="s">
        <v>75</v>
      </c>
      <c r="C1224" s="1">
        <v>0.61734740899999996</v>
      </c>
      <c r="D1224">
        <v>0.68293216999999995</v>
      </c>
      <c r="E1224">
        <v>0.69981194099999999</v>
      </c>
      <c r="F1224" s="1" t="s">
        <v>108</v>
      </c>
      <c r="G1224" s="1">
        <v>2</v>
      </c>
      <c r="H1224" s="1">
        <v>19</v>
      </c>
      <c r="I1224" s="1">
        <v>21.1</v>
      </c>
      <c r="J1224" s="1">
        <v>0.66669717333333323</v>
      </c>
      <c r="K1224" s="1">
        <v>0.50354843500000002</v>
      </c>
      <c r="L1224" s="1">
        <v>0.59724402499999996</v>
      </c>
      <c r="M1224" s="3">
        <v>0.70308254199999998</v>
      </c>
      <c r="N1224" s="1" t="s">
        <v>76</v>
      </c>
      <c r="O1224" s="1">
        <v>1.2696850390000001</v>
      </c>
      <c r="P1224" s="1">
        <v>26.6</v>
      </c>
      <c r="Q1224" s="1">
        <v>50.8</v>
      </c>
      <c r="R1224" s="1">
        <v>0.60129166733333339</v>
      </c>
      <c r="S1224" s="1">
        <v>0.14248986457953733</v>
      </c>
      <c r="T1224" t="s">
        <v>1371</v>
      </c>
      <c r="U1224" s="1">
        <v>3093</v>
      </c>
      <c r="V1224">
        <f t="shared" si="76"/>
        <v>0.38781999111146431</v>
      </c>
      <c r="W1224" s="1">
        <f t="shared" si="77"/>
        <v>7.6000000000000014</v>
      </c>
      <c r="X1224">
        <f t="shared" si="78"/>
        <v>0.73031496099999993</v>
      </c>
      <c r="Y1224">
        <f t="shared" si="79"/>
        <v>29.699999999999996</v>
      </c>
      <c r="Z1224" s="1">
        <v>1</v>
      </c>
      <c r="AA1224">
        <v>99</v>
      </c>
      <c r="AB1224">
        <v>1.01E-2</v>
      </c>
      <c r="AC1224">
        <v>1</v>
      </c>
      <c r="AD1224">
        <v>82</v>
      </c>
      <c r="AE1224">
        <v>1.2200000000000001E-2</v>
      </c>
      <c r="AF1224" t="s">
        <v>2588</v>
      </c>
      <c r="AG1224" t="s">
        <v>2594</v>
      </c>
    </row>
    <row r="1225" spans="1:33">
      <c r="A1225" s="2" t="s">
        <v>107</v>
      </c>
      <c r="B1225" s="2" t="s">
        <v>77</v>
      </c>
      <c r="C1225" s="1">
        <v>0.61734740899999996</v>
      </c>
      <c r="D1225">
        <v>0.68293216999999995</v>
      </c>
      <c r="E1225">
        <v>0.69981194099999999</v>
      </c>
      <c r="F1225" s="1" t="s">
        <v>108</v>
      </c>
      <c r="G1225" s="1">
        <v>2</v>
      </c>
      <c r="H1225" s="1">
        <v>19</v>
      </c>
      <c r="I1225" s="1">
        <v>21.1</v>
      </c>
      <c r="J1225" s="1">
        <v>0.66669717333333323</v>
      </c>
      <c r="K1225" s="1">
        <v>0.54630843299999998</v>
      </c>
      <c r="L1225" s="1">
        <v>0.68935555900000001</v>
      </c>
      <c r="M1225" s="3">
        <v>0.65478744899999997</v>
      </c>
      <c r="N1225" s="1" t="s">
        <v>78</v>
      </c>
      <c r="O1225" s="1">
        <v>1.3914285710000001</v>
      </c>
      <c r="P1225" s="1">
        <v>56.5</v>
      </c>
      <c r="Q1225" s="1">
        <v>105</v>
      </c>
      <c r="R1225" s="1">
        <v>0.63015048033333343</v>
      </c>
      <c r="S1225" s="1">
        <v>8.4350464831155256E-2</v>
      </c>
      <c r="T1225" t="s">
        <v>1372</v>
      </c>
      <c r="U1225" s="1">
        <v>860</v>
      </c>
      <c r="V1225">
        <f t="shared" si="76"/>
        <v>0.32605538347150753</v>
      </c>
      <c r="W1225" s="1">
        <f t="shared" si="77"/>
        <v>37.5</v>
      </c>
      <c r="X1225">
        <f t="shared" si="78"/>
        <v>0.60857142899999994</v>
      </c>
      <c r="Y1225">
        <f t="shared" si="79"/>
        <v>83.9</v>
      </c>
      <c r="Z1225" s="1">
        <v>0</v>
      </c>
      <c r="AA1225">
        <v>100</v>
      </c>
      <c r="AB1225">
        <v>0</v>
      </c>
      <c r="AC1225">
        <v>0</v>
      </c>
      <c r="AD1225">
        <v>72</v>
      </c>
      <c r="AE1225">
        <v>0</v>
      </c>
      <c r="AF1225" t="s">
        <v>2588</v>
      </c>
      <c r="AG1225" t="s">
        <v>2590</v>
      </c>
    </row>
    <row r="1226" spans="1:33">
      <c r="A1226" s="2" t="s">
        <v>107</v>
      </c>
      <c r="B1226" s="2" t="s">
        <v>79</v>
      </c>
      <c r="C1226" s="1">
        <v>0.61734740899999996</v>
      </c>
      <c r="D1226">
        <v>0.68293216999999995</v>
      </c>
      <c r="E1226">
        <v>0.69981194099999999</v>
      </c>
      <c r="F1226" s="1" t="s">
        <v>108</v>
      </c>
      <c r="G1226" s="1">
        <v>2</v>
      </c>
      <c r="H1226" s="1">
        <v>19</v>
      </c>
      <c r="I1226" s="1">
        <v>21.1</v>
      </c>
      <c r="J1226" s="1">
        <v>0.66669717333333323</v>
      </c>
      <c r="K1226" s="1">
        <v>0.63652882899999996</v>
      </c>
      <c r="L1226" s="1">
        <v>0.77536518600000004</v>
      </c>
      <c r="M1226" s="3">
        <v>0.610415606</v>
      </c>
      <c r="N1226" s="1" t="s">
        <v>80</v>
      </c>
      <c r="O1226" s="1">
        <v>0.95325542600000002</v>
      </c>
      <c r="P1226" s="1">
        <v>45.6</v>
      </c>
      <c r="Q1226" s="1">
        <v>119.8</v>
      </c>
      <c r="R1226" s="1">
        <v>0.67410320700000004</v>
      </c>
      <c r="S1226" s="1">
        <v>0.13001343788818484</v>
      </c>
      <c r="T1226" t="s">
        <v>1373</v>
      </c>
      <c r="U1226" s="1">
        <v>354</v>
      </c>
      <c r="V1226">
        <f t="shared" si="76"/>
        <v>0.28322258466953198</v>
      </c>
      <c r="W1226" s="1">
        <f t="shared" si="77"/>
        <v>26.6</v>
      </c>
      <c r="X1226">
        <f t="shared" si="78"/>
        <v>1.0467445739999999</v>
      </c>
      <c r="Y1226">
        <f t="shared" si="79"/>
        <v>98.699999999999989</v>
      </c>
      <c r="Z1226" s="1">
        <v>0</v>
      </c>
      <c r="AA1226">
        <v>100</v>
      </c>
      <c r="AB1226">
        <v>0</v>
      </c>
      <c r="AC1226">
        <v>0</v>
      </c>
      <c r="AD1226">
        <v>63</v>
      </c>
      <c r="AE1226">
        <v>0</v>
      </c>
      <c r="AF1226" t="s">
        <v>2588</v>
      </c>
      <c r="AG1226" t="s">
        <v>2590</v>
      </c>
    </row>
    <row r="1227" spans="1:33">
      <c r="A1227" s="2" t="s">
        <v>107</v>
      </c>
      <c r="B1227" s="2" t="s">
        <v>81</v>
      </c>
      <c r="C1227" s="1">
        <v>0.61734740899999996</v>
      </c>
      <c r="D1227">
        <v>0.68293216999999995</v>
      </c>
      <c r="E1227">
        <v>0.69981194099999999</v>
      </c>
      <c r="F1227" s="1" t="s">
        <v>108</v>
      </c>
      <c r="G1227" s="1">
        <v>2</v>
      </c>
      <c r="H1227" s="1">
        <v>19</v>
      </c>
      <c r="I1227" s="1">
        <v>21.1</v>
      </c>
      <c r="J1227" s="1">
        <v>0.66669717333333323</v>
      </c>
      <c r="K1227" s="1">
        <v>0.50183280699999999</v>
      </c>
      <c r="L1227" s="1">
        <v>0.68550824600000004</v>
      </c>
      <c r="M1227" s="3">
        <v>0.66941488999999998</v>
      </c>
      <c r="N1227" s="1" t="s">
        <v>82</v>
      </c>
      <c r="O1227" s="1">
        <v>1.4359576970000001</v>
      </c>
      <c r="P1227" s="1">
        <v>51</v>
      </c>
      <c r="Q1227" s="1">
        <v>85.1</v>
      </c>
      <c r="R1227" s="1">
        <v>0.61891864766666671</v>
      </c>
      <c r="S1227" s="1">
        <v>0.11947485154739793</v>
      </c>
      <c r="T1227" t="s">
        <v>1374</v>
      </c>
      <c r="U1227" s="1">
        <v>8409</v>
      </c>
      <c r="V1227">
        <f t="shared" si="76"/>
        <v>0.43608270583110537</v>
      </c>
      <c r="W1227" s="1">
        <f t="shared" si="77"/>
        <v>32</v>
      </c>
      <c r="X1227">
        <f t="shared" si="78"/>
        <v>0.56404230299999991</v>
      </c>
      <c r="Y1227">
        <f t="shared" si="79"/>
        <v>63.999999999999993</v>
      </c>
      <c r="Z1227" s="1">
        <v>0</v>
      </c>
      <c r="AA1227">
        <v>100</v>
      </c>
      <c r="AB1227">
        <v>0</v>
      </c>
      <c r="AC1227">
        <v>0</v>
      </c>
      <c r="AD1227">
        <v>74</v>
      </c>
      <c r="AE1227">
        <v>0</v>
      </c>
      <c r="AF1227" t="s">
        <v>2588</v>
      </c>
      <c r="AG1227" t="s">
        <v>2589</v>
      </c>
    </row>
    <row r="1228" spans="1:33">
      <c r="A1228" s="2" t="s">
        <v>107</v>
      </c>
      <c r="B1228" s="2" t="s">
        <v>83</v>
      </c>
      <c r="C1228" s="1">
        <v>0.61734740899999996</v>
      </c>
      <c r="D1228">
        <v>0.68293216999999995</v>
      </c>
      <c r="E1228">
        <v>0.69981194099999999</v>
      </c>
      <c r="F1228" s="1" t="s">
        <v>108</v>
      </c>
      <c r="G1228" s="1">
        <v>2</v>
      </c>
      <c r="H1228" s="1">
        <v>19</v>
      </c>
      <c r="I1228" s="1">
        <v>21.1</v>
      </c>
      <c r="J1228" s="1">
        <v>0.66669717333333323</v>
      </c>
      <c r="K1228" s="1">
        <v>0.51815179099999997</v>
      </c>
      <c r="L1228" s="1">
        <v>0.50115949400000004</v>
      </c>
      <c r="M1228" s="3">
        <v>0.68053170600000001</v>
      </c>
      <c r="N1228" s="1" t="s">
        <v>84</v>
      </c>
      <c r="O1228" s="1">
        <v>1.760323887</v>
      </c>
      <c r="P1228" s="1">
        <v>83.4</v>
      </c>
      <c r="Q1228" s="1">
        <v>123.5</v>
      </c>
      <c r="R1228" s="1">
        <v>0.56661433033333342</v>
      </c>
      <c r="S1228" s="1">
        <v>0.20797308439376977</v>
      </c>
      <c r="T1228" t="s">
        <v>1375</v>
      </c>
      <c r="U1228" s="1">
        <v>758</v>
      </c>
      <c r="V1228">
        <f t="shared" si="76"/>
        <v>0.31996324507022816</v>
      </c>
      <c r="W1228" s="1">
        <f t="shared" si="77"/>
        <v>64.400000000000006</v>
      </c>
      <c r="X1228">
        <f t="shared" si="78"/>
        <v>0.23967611300000002</v>
      </c>
      <c r="Y1228">
        <f t="shared" si="79"/>
        <v>102.4</v>
      </c>
      <c r="Z1228" s="1">
        <v>0</v>
      </c>
      <c r="AA1228">
        <v>100</v>
      </c>
      <c r="AB1228">
        <v>0</v>
      </c>
      <c r="AC1228">
        <v>1</v>
      </c>
      <c r="AD1228">
        <v>68</v>
      </c>
      <c r="AE1228">
        <v>1.47E-2</v>
      </c>
      <c r="AF1228" t="s">
        <v>2588</v>
      </c>
      <c r="AG1228" t="s">
        <v>2589</v>
      </c>
    </row>
    <row r="1229" spans="1:33">
      <c r="A1229" s="2" t="s">
        <v>107</v>
      </c>
      <c r="B1229" s="2" t="s">
        <v>85</v>
      </c>
      <c r="C1229" s="1">
        <v>0.61734740899999996</v>
      </c>
      <c r="D1229">
        <v>0.68293216999999995</v>
      </c>
      <c r="E1229">
        <v>0.69981194099999999</v>
      </c>
      <c r="F1229" s="1" t="s">
        <v>108</v>
      </c>
      <c r="G1229" s="1">
        <v>2</v>
      </c>
      <c r="H1229" s="1">
        <v>19</v>
      </c>
      <c r="I1229" s="1">
        <v>21.1</v>
      </c>
      <c r="J1229" s="1">
        <v>0.66669717333333323</v>
      </c>
      <c r="K1229" s="1">
        <v>0.522280945</v>
      </c>
      <c r="L1229" s="1">
        <v>0.58016629799999997</v>
      </c>
      <c r="M1229" s="3">
        <v>0.62446713499999995</v>
      </c>
      <c r="N1229" s="1" t="s">
        <v>86</v>
      </c>
      <c r="O1229" s="1">
        <v>0.57177615599999998</v>
      </c>
      <c r="P1229" s="1">
        <v>19.5</v>
      </c>
      <c r="Q1229" s="1">
        <v>82.2</v>
      </c>
      <c r="R1229" s="1">
        <v>0.57563812599999997</v>
      </c>
      <c r="S1229" s="1">
        <v>0.15898206444929977</v>
      </c>
      <c r="T1229" t="s">
        <v>1376</v>
      </c>
      <c r="U1229" s="1">
        <v>513</v>
      </c>
      <c r="V1229">
        <f t="shared" si="76"/>
        <v>0.30112415167909068</v>
      </c>
      <c r="W1229" s="1">
        <f t="shared" si="77"/>
        <v>0.5</v>
      </c>
      <c r="X1229">
        <f t="shared" si="78"/>
        <v>1.4282238440000001</v>
      </c>
      <c r="Y1229">
        <f t="shared" si="79"/>
        <v>61.1</v>
      </c>
      <c r="Z1229" s="1">
        <v>0</v>
      </c>
      <c r="AA1229">
        <v>100</v>
      </c>
      <c r="AB1229">
        <v>0</v>
      </c>
      <c r="AC1229">
        <v>0</v>
      </c>
      <c r="AD1229">
        <v>134</v>
      </c>
      <c r="AE1229">
        <v>0</v>
      </c>
      <c r="AF1229" t="s">
        <v>2588</v>
      </c>
      <c r="AG1229" t="s">
        <v>2590</v>
      </c>
    </row>
    <row r="1230" spans="1:33">
      <c r="A1230" s="2" t="s">
        <v>107</v>
      </c>
      <c r="B1230" s="2" t="s">
        <v>87</v>
      </c>
      <c r="C1230" s="1">
        <v>0.61734740899999996</v>
      </c>
      <c r="D1230">
        <v>0.68293216999999995</v>
      </c>
      <c r="E1230">
        <v>0.69981194099999999</v>
      </c>
      <c r="F1230" s="1" t="s">
        <v>108</v>
      </c>
      <c r="G1230" s="1">
        <v>2</v>
      </c>
      <c r="H1230" s="1">
        <v>19</v>
      </c>
      <c r="I1230" s="1">
        <v>21.1</v>
      </c>
      <c r="J1230" s="1">
        <v>0.66669717333333323</v>
      </c>
      <c r="K1230" s="1">
        <v>0.46780425199999998</v>
      </c>
      <c r="L1230" s="1">
        <v>0.54149707400000002</v>
      </c>
      <c r="M1230" s="3">
        <v>0.61626236400000001</v>
      </c>
      <c r="N1230" s="1" t="s">
        <v>88</v>
      </c>
      <c r="O1230" s="1">
        <v>1.395454545</v>
      </c>
      <c r="P1230" s="1">
        <v>65.2</v>
      </c>
      <c r="Q1230" s="1">
        <v>110</v>
      </c>
      <c r="R1230" s="1">
        <v>0.54185456333333337</v>
      </c>
      <c r="S1230" s="1">
        <v>0.22214313854570159</v>
      </c>
      <c r="T1230" t="s">
        <v>1377</v>
      </c>
      <c r="U1230" s="1">
        <v>5133</v>
      </c>
      <c r="V1230">
        <f t="shared" si="76"/>
        <v>0.41226347380675143</v>
      </c>
      <c r="W1230" s="1">
        <f t="shared" si="77"/>
        <v>46.2</v>
      </c>
      <c r="X1230">
        <f t="shared" si="78"/>
        <v>0.60454545500000001</v>
      </c>
      <c r="Y1230">
        <f t="shared" si="79"/>
        <v>88.9</v>
      </c>
      <c r="Z1230" s="1">
        <v>0</v>
      </c>
      <c r="AA1230">
        <v>100</v>
      </c>
      <c r="AB1230">
        <v>0</v>
      </c>
      <c r="AC1230">
        <v>1</v>
      </c>
      <c r="AD1230">
        <v>66</v>
      </c>
      <c r="AE1230">
        <v>1.52E-2</v>
      </c>
      <c r="AF1230" t="s">
        <v>2588</v>
      </c>
      <c r="AG1230" t="s">
        <v>2590</v>
      </c>
    </row>
    <row r="1231" spans="1:33">
      <c r="A1231" s="2" t="s">
        <v>107</v>
      </c>
      <c r="B1231" s="2" t="s">
        <v>89</v>
      </c>
      <c r="C1231" s="1">
        <v>0.61734740899999996</v>
      </c>
      <c r="D1231">
        <v>0.68293216999999995</v>
      </c>
      <c r="E1231">
        <v>0.69981194099999999</v>
      </c>
      <c r="F1231" s="1" t="s">
        <v>108</v>
      </c>
      <c r="G1231" s="1">
        <v>2</v>
      </c>
      <c r="H1231" s="1">
        <v>19</v>
      </c>
      <c r="I1231" s="1">
        <v>21.1</v>
      </c>
      <c r="J1231" s="1">
        <v>0.66669717333333323</v>
      </c>
      <c r="K1231" s="1">
        <v>0.51097051500000001</v>
      </c>
      <c r="L1231" s="1">
        <v>0.61917891400000002</v>
      </c>
      <c r="M1231" s="3">
        <v>0.60984479800000002</v>
      </c>
      <c r="N1231" s="1" t="s">
        <v>90</v>
      </c>
      <c r="O1231" s="1">
        <v>1.429752066</v>
      </c>
      <c r="P1231" s="1">
        <v>59.8</v>
      </c>
      <c r="Q1231" s="1">
        <v>108.9</v>
      </c>
      <c r="R1231" s="1">
        <v>0.57999807566666661</v>
      </c>
      <c r="S1231" s="1">
        <v>0.15321425536571717</v>
      </c>
      <c r="T1231" t="s">
        <v>1378</v>
      </c>
      <c r="U1231" s="1">
        <v>2325</v>
      </c>
      <c r="V1231">
        <f t="shared" si="76"/>
        <v>0.37404699524733032</v>
      </c>
      <c r="W1231" s="1">
        <f t="shared" si="77"/>
        <v>40.799999999999997</v>
      </c>
      <c r="X1231">
        <f t="shared" si="78"/>
        <v>0.57024793399999996</v>
      </c>
      <c r="Y1231">
        <f t="shared" si="79"/>
        <v>87.800000000000011</v>
      </c>
      <c r="Z1231" s="1">
        <v>0</v>
      </c>
      <c r="AA1231">
        <v>100</v>
      </c>
      <c r="AB1231">
        <v>0</v>
      </c>
      <c r="AC1231">
        <v>1</v>
      </c>
      <c r="AD1231">
        <v>75</v>
      </c>
      <c r="AE1231">
        <v>1.3299999999999999E-2</v>
      </c>
      <c r="AF1231" t="s">
        <v>2588</v>
      </c>
      <c r="AG1231" t="s">
        <v>2589</v>
      </c>
    </row>
    <row r="1232" spans="1:33">
      <c r="A1232" s="2" t="s">
        <v>107</v>
      </c>
      <c r="B1232" s="2" t="s">
        <v>91</v>
      </c>
      <c r="C1232" s="1">
        <v>0.61734740899999996</v>
      </c>
      <c r="D1232">
        <v>0.68293216999999995</v>
      </c>
      <c r="E1232">
        <v>0.69981194099999999</v>
      </c>
      <c r="F1232" s="1" t="s">
        <v>108</v>
      </c>
      <c r="G1232" s="1">
        <v>2</v>
      </c>
      <c r="H1232" s="1">
        <v>19</v>
      </c>
      <c r="I1232" s="1">
        <v>21.1</v>
      </c>
      <c r="J1232" s="1">
        <v>0.66669717333333323</v>
      </c>
      <c r="K1232" s="1">
        <v>0.37439919700000002</v>
      </c>
      <c r="L1232" s="1">
        <v>0.508839347</v>
      </c>
      <c r="M1232" s="3">
        <v>0.52701193599999996</v>
      </c>
      <c r="N1232" s="1" t="s">
        <v>92</v>
      </c>
      <c r="O1232" s="1">
        <v>1.911504425</v>
      </c>
      <c r="P1232" s="1">
        <v>24.6</v>
      </c>
      <c r="Q1232" s="1">
        <v>33.9</v>
      </c>
      <c r="R1232" s="1">
        <v>0.47008349333333332</v>
      </c>
      <c r="S1232" s="1">
        <v>0.34524192454293012</v>
      </c>
      <c r="T1232" t="s">
        <v>1379</v>
      </c>
      <c r="U1232" s="1">
        <v>1600</v>
      </c>
      <c r="V1232">
        <f t="shared" si="76"/>
        <v>0.35601333140621383</v>
      </c>
      <c r="W1232" s="1">
        <f t="shared" si="77"/>
        <v>5.6000000000000014</v>
      </c>
      <c r="X1232">
        <f t="shared" si="78"/>
        <v>8.8495575000000049E-2</v>
      </c>
      <c r="Y1232">
        <f t="shared" si="79"/>
        <v>12.799999999999997</v>
      </c>
      <c r="Z1232" s="1">
        <v>1</v>
      </c>
      <c r="AA1232">
        <v>99</v>
      </c>
      <c r="AB1232">
        <v>1.01E-2</v>
      </c>
      <c r="AC1232">
        <v>1</v>
      </c>
      <c r="AD1232">
        <v>82</v>
      </c>
      <c r="AE1232">
        <v>1.2200000000000001E-2</v>
      </c>
      <c r="AF1232" t="s">
        <v>2588</v>
      </c>
      <c r="AG1232" t="s">
        <v>2590</v>
      </c>
    </row>
    <row r="1233" spans="1:33">
      <c r="A1233" s="2" t="s">
        <v>107</v>
      </c>
      <c r="B1233" s="2" t="s">
        <v>93</v>
      </c>
      <c r="C1233" s="1">
        <v>0.61734740899999996</v>
      </c>
      <c r="D1233">
        <v>0.68293216999999995</v>
      </c>
      <c r="E1233">
        <v>0.69981194099999999</v>
      </c>
      <c r="F1233" s="1" t="s">
        <v>108</v>
      </c>
      <c r="G1233" s="1">
        <v>2</v>
      </c>
      <c r="H1233" s="1">
        <v>19</v>
      </c>
      <c r="I1233" s="1">
        <v>21.1</v>
      </c>
      <c r="J1233" s="1">
        <v>0.66669717333333323</v>
      </c>
      <c r="K1233" s="1">
        <v>0.54134617200000001</v>
      </c>
      <c r="L1233" s="1">
        <v>0.674899633</v>
      </c>
      <c r="M1233" s="3">
        <v>0.719840174</v>
      </c>
      <c r="N1233" s="1" t="s">
        <v>94</v>
      </c>
      <c r="O1233" s="1">
        <v>1.175388967</v>
      </c>
      <c r="P1233" s="1">
        <v>36.6</v>
      </c>
      <c r="Q1233" s="1">
        <v>70.7</v>
      </c>
      <c r="R1233" s="1">
        <v>0.64536199299999997</v>
      </c>
      <c r="S1233" s="1">
        <v>7.9005314968607132E-2</v>
      </c>
      <c r="T1233" t="s">
        <v>1380</v>
      </c>
      <c r="U1233" s="1">
        <v>686</v>
      </c>
      <c r="V1233">
        <f t="shared" si="76"/>
        <v>0.31514712396741684</v>
      </c>
      <c r="W1233" s="1">
        <f t="shared" si="77"/>
        <v>17.600000000000001</v>
      </c>
      <c r="X1233">
        <f t="shared" si="78"/>
        <v>0.82461103300000005</v>
      </c>
      <c r="Y1233">
        <f t="shared" si="79"/>
        <v>49.6</v>
      </c>
      <c r="Z1233" s="1">
        <v>0</v>
      </c>
      <c r="AA1233">
        <v>100</v>
      </c>
      <c r="AB1233">
        <v>0</v>
      </c>
      <c r="AC1233">
        <v>1</v>
      </c>
      <c r="AD1233">
        <v>73</v>
      </c>
      <c r="AE1233">
        <v>1.37E-2</v>
      </c>
      <c r="AF1233" t="s">
        <v>2588</v>
      </c>
      <c r="AG1233" t="s">
        <v>2589</v>
      </c>
    </row>
    <row r="1234" spans="1:33">
      <c r="A1234" s="2" t="s">
        <v>107</v>
      </c>
      <c r="B1234" s="2" t="s">
        <v>95</v>
      </c>
      <c r="C1234" s="1">
        <v>0.61734740899999996</v>
      </c>
      <c r="D1234">
        <v>0.68293216999999995</v>
      </c>
      <c r="E1234">
        <v>0.69981194099999999</v>
      </c>
      <c r="F1234" s="1" t="s">
        <v>108</v>
      </c>
      <c r="G1234" s="1">
        <v>2</v>
      </c>
      <c r="H1234" s="1">
        <v>19</v>
      </c>
      <c r="I1234" s="1">
        <v>21.1</v>
      </c>
      <c r="J1234" s="1">
        <v>0.66669717333333323</v>
      </c>
      <c r="K1234" s="1">
        <v>0.59462093100000002</v>
      </c>
      <c r="L1234" s="1">
        <v>0.68038960500000001</v>
      </c>
      <c r="M1234" s="3">
        <v>0.72533004899999998</v>
      </c>
      <c r="N1234" s="1" t="s">
        <v>96</v>
      </c>
      <c r="O1234" s="1">
        <v>1.9717647060000001</v>
      </c>
      <c r="P1234" s="1">
        <v>34.6</v>
      </c>
      <c r="Q1234" s="1">
        <v>42.5</v>
      </c>
      <c r="R1234" s="1">
        <v>0.66678019499999996</v>
      </c>
      <c r="S1234" s="1">
        <v>3.4265599001963604E-2</v>
      </c>
      <c r="T1234" t="s">
        <v>1381</v>
      </c>
      <c r="U1234" s="1">
        <v>610</v>
      </c>
      <c r="V1234">
        <f t="shared" si="76"/>
        <v>0.30948109277897412</v>
      </c>
      <c r="W1234" s="1">
        <f t="shared" si="77"/>
        <v>15.600000000000001</v>
      </c>
      <c r="X1234">
        <f t="shared" si="78"/>
        <v>2.8235293999999911E-2</v>
      </c>
      <c r="Y1234">
        <f t="shared" si="79"/>
        <v>21.4</v>
      </c>
      <c r="Z1234" s="1">
        <v>0</v>
      </c>
      <c r="AA1234">
        <v>100</v>
      </c>
      <c r="AB1234">
        <v>0</v>
      </c>
      <c r="AC1234">
        <v>0</v>
      </c>
      <c r="AD1234">
        <v>80</v>
      </c>
      <c r="AE1234">
        <v>0</v>
      </c>
      <c r="AF1234" t="s">
        <v>2588</v>
      </c>
      <c r="AG1234" t="s">
        <v>2593</v>
      </c>
    </row>
    <row r="1235" spans="1:33">
      <c r="A1235" s="2" t="s">
        <v>107</v>
      </c>
      <c r="B1235" s="2" t="s">
        <v>97</v>
      </c>
      <c r="C1235" s="1">
        <v>0.61734740899999996</v>
      </c>
      <c r="D1235">
        <v>0.68293216999999995</v>
      </c>
      <c r="E1235">
        <v>0.69981194099999999</v>
      </c>
      <c r="F1235" s="1" t="s">
        <v>108</v>
      </c>
      <c r="G1235" s="1">
        <v>2</v>
      </c>
      <c r="H1235" s="1">
        <v>19</v>
      </c>
      <c r="I1235" s="1">
        <v>21.1</v>
      </c>
      <c r="J1235" s="1">
        <v>0.66669717333333323</v>
      </c>
      <c r="K1235" s="1">
        <v>0.63674842300000001</v>
      </c>
      <c r="L1235" s="1">
        <v>0.68532635500000005</v>
      </c>
      <c r="M1235" s="3">
        <v>0.727031494</v>
      </c>
      <c r="N1235" s="1" t="s">
        <v>98</v>
      </c>
      <c r="O1235" s="1">
        <v>2.360103627</v>
      </c>
      <c r="P1235" s="1">
        <v>36.799999999999997</v>
      </c>
      <c r="Q1235" s="1">
        <v>38.6</v>
      </c>
      <c r="R1235" s="1">
        <v>0.68303542400000017</v>
      </c>
      <c r="S1235" s="1">
        <v>3.3511722300744749E-2</v>
      </c>
      <c r="T1235" t="s">
        <v>1382</v>
      </c>
      <c r="U1235" s="1">
        <v>330</v>
      </c>
      <c r="V1235">
        <f t="shared" si="76"/>
        <v>0.27983488220865416</v>
      </c>
      <c r="W1235" s="1">
        <f t="shared" si="77"/>
        <v>17.799999999999997</v>
      </c>
      <c r="X1235">
        <f t="shared" si="78"/>
        <v>0.36010362699999998</v>
      </c>
      <c r="Y1235">
        <f t="shared" si="79"/>
        <v>17.5</v>
      </c>
      <c r="Z1235" s="1">
        <v>0</v>
      </c>
      <c r="AA1235">
        <v>100</v>
      </c>
      <c r="AB1235">
        <v>0</v>
      </c>
      <c r="AC1235">
        <v>0</v>
      </c>
      <c r="AD1235">
        <v>80</v>
      </c>
      <c r="AE1235">
        <v>0</v>
      </c>
      <c r="AF1235" t="s">
        <v>2588</v>
      </c>
      <c r="AG1235" t="s">
        <v>2593</v>
      </c>
    </row>
    <row r="1236" spans="1:33">
      <c r="A1236" s="2" t="s">
        <v>107</v>
      </c>
      <c r="B1236" s="2" t="s">
        <v>99</v>
      </c>
      <c r="C1236" s="1">
        <v>0.61734740899999996</v>
      </c>
      <c r="D1236">
        <v>0.68293216999999995</v>
      </c>
      <c r="E1236">
        <v>0.69981194099999999</v>
      </c>
      <c r="F1236" s="1" t="s">
        <v>108</v>
      </c>
      <c r="G1236" s="1">
        <v>2</v>
      </c>
      <c r="H1236" s="1">
        <v>19</v>
      </c>
      <c r="I1236" s="1">
        <v>21.1</v>
      </c>
      <c r="J1236" s="1">
        <v>0.66669717333333323</v>
      </c>
      <c r="K1236" s="1">
        <v>0.52525630099999998</v>
      </c>
      <c r="L1236" s="1">
        <v>0.68706170200000005</v>
      </c>
      <c r="M1236" s="3">
        <v>0.71473597300000002</v>
      </c>
      <c r="N1236" s="1" t="s">
        <v>100</v>
      </c>
      <c r="O1236" s="1">
        <v>1.72605042</v>
      </c>
      <c r="P1236" s="1">
        <v>46.5</v>
      </c>
      <c r="Q1236" s="1">
        <v>59.5</v>
      </c>
      <c r="R1236" s="1">
        <v>0.64235132533333339</v>
      </c>
      <c r="S1236" s="1">
        <v>9.3383895497798283E-2</v>
      </c>
      <c r="T1236" t="s">
        <v>1383</v>
      </c>
      <c r="U1236" s="1">
        <v>9364</v>
      </c>
      <c r="V1236">
        <f t="shared" si="76"/>
        <v>0.44127348944717631</v>
      </c>
      <c r="W1236" s="1">
        <f t="shared" si="77"/>
        <v>27.5</v>
      </c>
      <c r="X1236">
        <f t="shared" si="78"/>
        <v>0.27394958000000003</v>
      </c>
      <c r="Y1236">
        <f t="shared" si="79"/>
        <v>38.4</v>
      </c>
      <c r="Z1236" s="1">
        <v>0</v>
      </c>
      <c r="AA1236">
        <v>100</v>
      </c>
      <c r="AB1236">
        <v>0</v>
      </c>
      <c r="AC1236">
        <v>0</v>
      </c>
      <c r="AD1236">
        <v>82</v>
      </c>
      <c r="AE1236">
        <v>0</v>
      </c>
      <c r="AF1236" t="s">
        <v>2588</v>
      </c>
      <c r="AG1236" t="s">
        <v>2589</v>
      </c>
    </row>
    <row r="1237" spans="1:33">
      <c r="A1237" s="2" t="s">
        <v>107</v>
      </c>
      <c r="B1237" s="2" t="s">
        <v>148</v>
      </c>
      <c r="C1237" s="1">
        <v>0.61734740899999996</v>
      </c>
      <c r="D1237">
        <v>0.68293216999999995</v>
      </c>
      <c r="E1237">
        <v>0.69981194099999999</v>
      </c>
      <c r="F1237" s="1" t="s">
        <v>108</v>
      </c>
      <c r="G1237" s="1">
        <v>2</v>
      </c>
      <c r="H1237" s="1">
        <v>19</v>
      </c>
      <c r="I1237" s="1">
        <v>21.1</v>
      </c>
      <c r="J1237" s="1">
        <v>0.66669717333333323</v>
      </c>
      <c r="K1237" s="1">
        <v>0.52246277500000005</v>
      </c>
      <c r="L1237" s="1">
        <v>0.64036274199999998</v>
      </c>
      <c r="M1237" s="3">
        <v>0.62317592099999997</v>
      </c>
      <c r="N1237" s="1" t="s">
        <v>149</v>
      </c>
      <c r="O1237" s="1">
        <v>1.201000834</v>
      </c>
      <c r="P1237" s="1">
        <v>59.2</v>
      </c>
      <c r="Q1237" s="1">
        <v>119.9</v>
      </c>
      <c r="R1237" s="1">
        <v>0.59533381266666663</v>
      </c>
      <c r="S1237" s="1">
        <v>0.12918331754139745</v>
      </c>
      <c r="T1237" t="s">
        <v>1387</v>
      </c>
      <c r="U1237" s="1">
        <v>2029</v>
      </c>
      <c r="V1237">
        <f t="shared" si="76"/>
        <v>0.36747578300370509</v>
      </c>
      <c r="W1237" s="1">
        <f t="shared" si="77"/>
        <v>40.200000000000003</v>
      </c>
      <c r="X1237">
        <f t="shared" si="78"/>
        <v>0.79899916599999998</v>
      </c>
      <c r="Y1237">
        <f t="shared" si="79"/>
        <v>98.800000000000011</v>
      </c>
      <c r="Z1237" s="1">
        <v>0</v>
      </c>
      <c r="AA1237">
        <v>100</v>
      </c>
      <c r="AB1237">
        <v>0</v>
      </c>
      <c r="AC1237">
        <v>1</v>
      </c>
      <c r="AD1237">
        <v>76</v>
      </c>
      <c r="AE1237">
        <v>1.32E-2</v>
      </c>
      <c r="AF1237" t="s">
        <v>2588</v>
      </c>
      <c r="AG1237" t="s">
        <v>2589</v>
      </c>
    </row>
    <row r="1238" spans="1:33">
      <c r="A1238" s="2" t="s">
        <v>107</v>
      </c>
      <c r="B1238" s="2" t="s">
        <v>101</v>
      </c>
      <c r="C1238" s="1">
        <v>0.61734740899999996</v>
      </c>
      <c r="D1238">
        <v>0.68293216999999995</v>
      </c>
      <c r="E1238">
        <v>0.69981194099999999</v>
      </c>
      <c r="F1238" s="1" t="s">
        <v>108</v>
      </c>
      <c r="G1238" s="1">
        <v>2</v>
      </c>
      <c r="H1238" s="1">
        <v>19</v>
      </c>
      <c r="I1238" s="1">
        <v>21.1</v>
      </c>
      <c r="J1238" s="1">
        <v>0.66669717333333323</v>
      </c>
      <c r="K1238" s="1">
        <v>0.57277697599999999</v>
      </c>
      <c r="L1238" s="1">
        <v>0.64568820599999999</v>
      </c>
      <c r="M1238" s="3">
        <v>0.70909993500000001</v>
      </c>
      <c r="N1238" s="1" t="s">
        <v>102</v>
      </c>
      <c r="O1238" s="1">
        <v>1.2818181820000001</v>
      </c>
      <c r="P1238" s="1">
        <v>58</v>
      </c>
      <c r="Q1238" s="1">
        <v>110</v>
      </c>
      <c r="R1238" s="1">
        <v>0.64252170566666666</v>
      </c>
      <c r="S1238" s="1">
        <v>5.8820941719636005E-2</v>
      </c>
      <c r="T1238" t="s">
        <v>1384</v>
      </c>
      <c r="U1238" s="1">
        <v>2047</v>
      </c>
      <c r="V1238">
        <f t="shared" si="76"/>
        <v>0.36790198251805623</v>
      </c>
      <c r="W1238" s="1">
        <f t="shared" si="77"/>
        <v>39</v>
      </c>
      <c r="X1238">
        <f t="shared" si="78"/>
        <v>0.71818181799999992</v>
      </c>
      <c r="Y1238">
        <f t="shared" si="79"/>
        <v>88.9</v>
      </c>
      <c r="Z1238" s="1">
        <v>0</v>
      </c>
      <c r="AA1238">
        <v>100</v>
      </c>
      <c r="AB1238">
        <v>0</v>
      </c>
      <c r="AC1238">
        <v>0</v>
      </c>
      <c r="AD1238">
        <v>75</v>
      </c>
      <c r="AE1238">
        <v>0</v>
      </c>
      <c r="AF1238" t="s">
        <v>2588</v>
      </c>
      <c r="AG1238" t="s">
        <v>2589</v>
      </c>
    </row>
    <row r="1239" spans="1:33">
      <c r="A1239" s="2" t="s">
        <v>107</v>
      </c>
      <c r="B1239" s="2" t="s">
        <v>103</v>
      </c>
      <c r="C1239" s="1">
        <v>0.61734740899999996</v>
      </c>
      <c r="D1239">
        <v>0.68293216999999995</v>
      </c>
      <c r="E1239">
        <v>0.69981194099999999</v>
      </c>
      <c r="F1239" s="1" t="s">
        <v>108</v>
      </c>
      <c r="G1239" s="1">
        <v>2</v>
      </c>
      <c r="H1239" s="1">
        <v>19</v>
      </c>
      <c r="I1239" s="1">
        <v>21.1</v>
      </c>
      <c r="J1239" s="1">
        <v>0.66669717333333323</v>
      </c>
      <c r="K1239" s="1">
        <v>0.58538445800000005</v>
      </c>
      <c r="L1239" s="1">
        <v>0.70461059999999998</v>
      </c>
      <c r="M1239" s="3">
        <v>0.67846608399999997</v>
      </c>
      <c r="N1239" s="1" t="s">
        <v>104</v>
      </c>
      <c r="O1239" s="1">
        <v>1.1020080320000001</v>
      </c>
      <c r="P1239" s="1">
        <v>58.7</v>
      </c>
      <c r="Q1239" s="1">
        <v>124.5</v>
      </c>
      <c r="R1239" s="1">
        <v>0.65615371400000011</v>
      </c>
      <c r="S1239" s="1">
        <v>4.4127431094022979E-2</v>
      </c>
      <c r="T1239" t="s">
        <v>1385</v>
      </c>
      <c r="U1239" s="1">
        <v>952</v>
      </c>
      <c r="V1239">
        <f t="shared" si="76"/>
        <v>0.33095966093160828</v>
      </c>
      <c r="W1239" s="1">
        <f t="shared" si="77"/>
        <v>39.700000000000003</v>
      </c>
      <c r="X1239">
        <f t="shared" si="78"/>
        <v>0.89799196799999992</v>
      </c>
      <c r="Y1239">
        <f t="shared" si="79"/>
        <v>103.4</v>
      </c>
      <c r="Z1239" s="1">
        <v>0</v>
      </c>
      <c r="AA1239">
        <v>100</v>
      </c>
      <c r="AB1239">
        <v>0</v>
      </c>
      <c r="AC1239">
        <v>0</v>
      </c>
      <c r="AD1239">
        <v>76</v>
      </c>
      <c r="AE1239">
        <v>0</v>
      </c>
      <c r="AF1239" t="s">
        <v>2588</v>
      </c>
      <c r="AG1239" t="s">
        <v>2589</v>
      </c>
    </row>
    <row r="1240" spans="1:33">
      <c r="A1240" s="2" t="s">
        <v>107</v>
      </c>
      <c r="B1240" s="2" t="s">
        <v>105</v>
      </c>
      <c r="C1240" s="1">
        <v>0.61734740899999996</v>
      </c>
      <c r="D1240">
        <v>0.68293216999999995</v>
      </c>
      <c r="E1240">
        <v>0.69981194099999999</v>
      </c>
      <c r="F1240" s="1" t="s">
        <v>108</v>
      </c>
      <c r="G1240" s="1">
        <v>2</v>
      </c>
      <c r="H1240" s="1">
        <v>19</v>
      </c>
      <c r="I1240" s="1">
        <v>21.1</v>
      </c>
      <c r="J1240" s="1">
        <v>0.66669717333333323</v>
      </c>
      <c r="K1240" s="1">
        <v>0.56210716000000005</v>
      </c>
      <c r="L1240" s="1">
        <v>0.68032504299999996</v>
      </c>
      <c r="M1240" s="3">
        <v>0.71115907899999997</v>
      </c>
      <c r="N1240" s="1" t="s">
        <v>106</v>
      </c>
      <c r="O1240" s="1">
        <v>1.0978593270000001</v>
      </c>
      <c r="P1240" s="1">
        <v>43.5</v>
      </c>
      <c r="Q1240" s="1">
        <v>98.1</v>
      </c>
      <c r="R1240" s="1">
        <v>0.65119709399999992</v>
      </c>
      <c r="S1240" s="1">
        <v>5.6453872865970527E-2</v>
      </c>
      <c r="T1240" t="s">
        <v>1386</v>
      </c>
      <c r="U1240" s="1">
        <v>932</v>
      </c>
      <c r="V1240">
        <f t="shared" si="76"/>
        <v>0.32993510137266457</v>
      </c>
      <c r="W1240" s="1">
        <f t="shared" si="77"/>
        <v>24.5</v>
      </c>
      <c r="X1240">
        <f t="shared" si="78"/>
        <v>0.90214067299999989</v>
      </c>
      <c r="Y1240">
        <f t="shared" si="79"/>
        <v>77</v>
      </c>
      <c r="Z1240" s="1">
        <v>0</v>
      </c>
      <c r="AA1240">
        <v>100</v>
      </c>
      <c r="AB1240">
        <v>0</v>
      </c>
      <c r="AC1240">
        <v>0</v>
      </c>
      <c r="AD1240">
        <v>94</v>
      </c>
      <c r="AE1240">
        <v>0</v>
      </c>
      <c r="AF1240" t="s">
        <v>2588</v>
      </c>
      <c r="AG1240" t="s">
        <v>2589</v>
      </c>
    </row>
    <row r="1241" spans="1:33">
      <c r="A1241" s="2" t="s">
        <v>105</v>
      </c>
      <c r="B1241" s="2" t="s">
        <v>10</v>
      </c>
      <c r="C1241" s="1">
        <v>0.56210716000000005</v>
      </c>
      <c r="D1241">
        <v>0.68032504299999996</v>
      </c>
      <c r="E1241">
        <v>0.71115907899999997</v>
      </c>
      <c r="F1241" s="1" t="s">
        <v>106</v>
      </c>
      <c r="G1241" s="1">
        <v>1.0978593270000001</v>
      </c>
      <c r="H1241" s="1">
        <v>43.5</v>
      </c>
      <c r="I1241" s="1">
        <v>98.1</v>
      </c>
      <c r="J1241" s="1">
        <v>0.65119709399999992</v>
      </c>
      <c r="K1241" s="1">
        <v>0.52456325500000001</v>
      </c>
      <c r="L1241" s="1">
        <v>0.61925627999999999</v>
      </c>
      <c r="M1241" s="3">
        <v>0.72111139899999999</v>
      </c>
      <c r="N1241" s="1" t="s">
        <v>12</v>
      </c>
      <c r="O1241" s="1">
        <v>0.61690647499999995</v>
      </c>
      <c r="P1241" s="1">
        <v>30</v>
      </c>
      <c r="Q1241" s="1">
        <v>111.2</v>
      </c>
      <c r="R1241" s="1">
        <v>0.62164364466666666</v>
      </c>
      <c r="S1241" s="1">
        <v>7.2373940685730206E-2</v>
      </c>
      <c r="T1241" t="s">
        <v>1388</v>
      </c>
      <c r="U1241" s="1">
        <v>669</v>
      </c>
      <c r="V1241">
        <f t="shared" si="76"/>
        <v>0.31393623530753589</v>
      </c>
      <c r="W1241" s="1">
        <f t="shared" si="77"/>
        <v>13.5</v>
      </c>
      <c r="X1241">
        <f t="shared" si="78"/>
        <v>0.48095285200000015</v>
      </c>
      <c r="Y1241">
        <f t="shared" si="79"/>
        <v>13.100000000000009</v>
      </c>
      <c r="Z1241" s="1">
        <v>0</v>
      </c>
      <c r="AA1241">
        <v>100</v>
      </c>
      <c r="AB1241">
        <v>0</v>
      </c>
      <c r="AC1241">
        <v>0</v>
      </c>
      <c r="AD1241">
        <v>166</v>
      </c>
      <c r="AE1241">
        <v>0</v>
      </c>
      <c r="AF1241" t="s">
        <v>2589</v>
      </c>
      <c r="AG1241" t="s">
        <v>2588</v>
      </c>
    </row>
    <row r="1242" spans="1:33">
      <c r="A1242" s="2" t="s">
        <v>105</v>
      </c>
      <c r="B1242" s="2" t="s">
        <v>13</v>
      </c>
      <c r="C1242" s="1">
        <v>0.56210716000000005</v>
      </c>
      <c r="D1242">
        <v>0.68032504299999996</v>
      </c>
      <c r="E1242">
        <v>0.71115907899999997</v>
      </c>
      <c r="F1242" s="1" t="s">
        <v>106</v>
      </c>
      <c r="G1242" s="1">
        <v>1.0978593270000001</v>
      </c>
      <c r="H1242" s="1">
        <v>43.5</v>
      </c>
      <c r="I1242" s="1">
        <v>98.1</v>
      </c>
      <c r="J1242" s="1">
        <v>0.65119709399999992</v>
      </c>
      <c r="K1242" s="1">
        <v>0.48695497399999998</v>
      </c>
      <c r="L1242" s="1">
        <v>0.54991327199999995</v>
      </c>
      <c r="M1242" s="3">
        <v>0.67282609299999996</v>
      </c>
      <c r="N1242" s="1" t="s">
        <v>14</v>
      </c>
      <c r="O1242" s="1">
        <v>1.6052009460000001</v>
      </c>
      <c r="P1242" s="1">
        <v>26.6</v>
      </c>
      <c r="Q1242" s="1">
        <v>42.3</v>
      </c>
      <c r="R1242" s="1">
        <v>0.56989811299999993</v>
      </c>
      <c r="S1242" s="1">
        <v>0.15532063253673431</v>
      </c>
      <c r="T1242" t="s">
        <v>1389</v>
      </c>
      <c r="U1242" s="1">
        <v>361</v>
      </c>
      <c r="V1242">
        <f t="shared" si="76"/>
        <v>0.28416746687840644</v>
      </c>
      <c r="W1242" s="1">
        <f t="shared" si="77"/>
        <v>16.899999999999999</v>
      </c>
      <c r="X1242">
        <f t="shared" si="78"/>
        <v>0.50734161899999997</v>
      </c>
      <c r="Y1242">
        <f t="shared" si="79"/>
        <v>55.8</v>
      </c>
      <c r="Z1242" s="1">
        <v>0</v>
      </c>
      <c r="AA1242">
        <v>100</v>
      </c>
      <c r="AB1242">
        <v>0</v>
      </c>
      <c r="AC1242">
        <v>0</v>
      </c>
      <c r="AD1242">
        <v>113</v>
      </c>
      <c r="AE1242">
        <v>0</v>
      </c>
      <c r="AF1242" t="s">
        <v>2589</v>
      </c>
      <c r="AG1242" t="s">
        <v>2590</v>
      </c>
    </row>
    <row r="1243" spans="1:33">
      <c r="A1243" s="2" t="s">
        <v>105</v>
      </c>
      <c r="B1243" s="2" t="s">
        <v>15</v>
      </c>
      <c r="C1243" s="1">
        <v>0.56210716000000005</v>
      </c>
      <c r="D1243">
        <v>0.68032504299999996</v>
      </c>
      <c r="E1243">
        <v>0.71115907899999997</v>
      </c>
      <c r="F1243" s="1" t="s">
        <v>106</v>
      </c>
      <c r="G1243" s="1">
        <v>1.0978593270000001</v>
      </c>
      <c r="H1243" s="1">
        <v>43.5</v>
      </c>
      <c r="I1243" s="1">
        <v>98.1</v>
      </c>
      <c r="J1243" s="1">
        <v>0.65119709399999992</v>
      </c>
      <c r="K1243" s="1">
        <v>0.54560998800000005</v>
      </c>
      <c r="L1243" s="1">
        <v>0.66721428400000005</v>
      </c>
      <c r="M1243" s="3">
        <v>0.72650398400000005</v>
      </c>
      <c r="N1243" s="1" t="s">
        <v>16</v>
      </c>
      <c r="O1243" s="1">
        <v>5.1392405060000002</v>
      </c>
      <c r="P1243" s="1">
        <v>35.9</v>
      </c>
      <c r="Q1243" s="1">
        <v>15.8</v>
      </c>
      <c r="R1243" s="1">
        <v>0.64644275200000012</v>
      </c>
      <c r="S1243" s="1">
        <v>2.6067504579700185E-2</v>
      </c>
      <c r="T1243" t="s">
        <v>1390</v>
      </c>
      <c r="U1243" s="1">
        <v>72964</v>
      </c>
      <c r="V1243">
        <f t="shared" si="76"/>
        <v>0.54034540385246521</v>
      </c>
      <c r="W1243" s="1">
        <f t="shared" si="77"/>
        <v>7.6000000000000014</v>
      </c>
      <c r="X1243">
        <f t="shared" si="78"/>
        <v>4.041381179</v>
      </c>
      <c r="Y1243">
        <f t="shared" si="79"/>
        <v>82.3</v>
      </c>
      <c r="Z1243" s="1">
        <v>23</v>
      </c>
      <c r="AA1243">
        <v>77</v>
      </c>
      <c r="AB1243">
        <v>0.29870000000000002</v>
      </c>
      <c r="AC1243">
        <v>23</v>
      </c>
      <c r="AD1243">
        <v>86</v>
      </c>
      <c r="AE1243">
        <v>0.26740000000000003</v>
      </c>
      <c r="AF1243" t="s">
        <v>2589</v>
      </c>
      <c r="AG1243" t="s">
        <v>2591</v>
      </c>
    </row>
    <row r="1244" spans="1:33">
      <c r="A1244" s="2" t="s">
        <v>105</v>
      </c>
      <c r="B1244" s="2" t="s">
        <v>17</v>
      </c>
      <c r="C1244" s="1">
        <v>0.56210716000000005</v>
      </c>
      <c r="D1244">
        <v>0.68032504299999996</v>
      </c>
      <c r="E1244">
        <v>0.71115907899999997</v>
      </c>
      <c r="F1244" s="1" t="s">
        <v>106</v>
      </c>
      <c r="G1244" s="1">
        <v>1.0978593270000001</v>
      </c>
      <c r="H1244" s="1">
        <v>43.5</v>
      </c>
      <c r="I1244" s="1">
        <v>98.1</v>
      </c>
      <c r="J1244" s="1">
        <v>0.65119709399999992</v>
      </c>
      <c r="K1244" s="1">
        <v>0.659112378</v>
      </c>
      <c r="L1244" s="1">
        <v>0.68333493499999998</v>
      </c>
      <c r="M1244" s="3">
        <v>0.70345495199999997</v>
      </c>
      <c r="N1244" s="1" t="s">
        <v>18</v>
      </c>
      <c r="O1244" s="1">
        <v>1.9463955639999999</v>
      </c>
      <c r="P1244" s="1">
        <v>46.3</v>
      </c>
      <c r="Q1244" s="1">
        <v>54.1</v>
      </c>
      <c r="R1244" s="1">
        <v>0.68196742166666668</v>
      </c>
      <c r="S1244" s="1">
        <v>9.7357204879306727E-2</v>
      </c>
      <c r="T1244" t="s">
        <v>1391</v>
      </c>
      <c r="U1244" s="1">
        <v>39450</v>
      </c>
      <c r="V1244">
        <f t="shared" si="76"/>
        <v>0.51067188972727107</v>
      </c>
      <c r="W1244" s="1">
        <f t="shared" si="77"/>
        <v>2.7999999999999972</v>
      </c>
      <c r="X1244">
        <f t="shared" si="78"/>
        <v>0.8485362369999998</v>
      </c>
      <c r="Y1244">
        <f t="shared" si="79"/>
        <v>43.999999999999993</v>
      </c>
      <c r="Z1244" s="1">
        <v>15</v>
      </c>
      <c r="AA1244">
        <v>85</v>
      </c>
      <c r="AB1244">
        <v>0.17649999999999999</v>
      </c>
      <c r="AC1244">
        <v>17</v>
      </c>
      <c r="AD1244">
        <v>106</v>
      </c>
      <c r="AE1244">
        <v>0.16039999999999999</v>
      </c>
      <c r="AF1244" t="s">
        <v>2589</v>
      </c>
      <c r="AG1244" t="s">
        <v>2591</v>
      </c>
    </row>
    <row r="1245" spans="1:33">
      <c r="A1245" s="2" t="s">
        <v>105</v>
      </c>
      <c r="B1245" s="2" t="s">
        <v>19</v>
      </c>
      <c r="C1245" s="1">
        <v>0.56210716000000005</v>
      </c>
      <c r="D1245">
        <v>0.68032504299999996</v>
      </c>
      <c r="E1245">
        <v>0.71115907899999997</v>
      </c>
      <c r="F1245" s="1" t="s">
        <v>106</v>
      </c>
      <c r="G1245" s="1">
        <v>1.0978593270000001</v>
      </c>
      <c r="H1245" s="1">
        <v>43.5</v>
      </c>
      <c r="I1245" s="1">
        <v>98.1</v>
      </c>
      <c r="J1245" s="1">
        <v>0.65119709399999992</v>
      </c>
      <c r="K1245" s="1">
        <v>0.49391595300000002</v>
      </c>
      <c r="L1245" s="1">
        <v>0.603599314</v>
      </c>
      <c r="M1245" s="3">
        <v>0.63481471599999995</v>
      </c>
      <c r="N1245" s="1" t="s">
        <v>20</v>
      </c>
      <c r="O1245" s="1">
        <v>1.2140902870000001</v>
      </c>
      <c r="P1245" s="1">
        <v>64.900000000000006</v>
      </c>
      <c r="Q1245" s="1">
        <v>146.19999999999999</v>
      </c>
      <c r="R1245" s="1">
        <v>0.57744332766666662</v>
      </c>
      <c r="S1245" s="1">
        <v>0.1279270884706365</v>
      </c>
      <c r="T1245" t="s">
        <v>1392</v>
      </c>
      <c r="U1245" s="1">
        <v>7044</v>
      </c>
      <c r="V1245">
        <f t="shared" si="76"/>
        <v>0.42753548303280436</v>
      </c>
      <c r="W1245" s="1">
        <f t="shared" si="77"/>
        <v>21.400000000000006</v>
      </c>
      <c r="X1245">
        <f t="shared" si="78"/>
        <v>0.11623095999999999</v>
      </c>
      <c r="Y1245">
        <f t="shared" si="79"/>
        <v>48.099999999999994</v>
      </c>
      <c r="Z1245" s="1">
        <v>1</v>
      </c>
      <c r="AA1245">
        <v>99</v>
      </c>
      <c r="AB1245">
        <v>1.01E-2</v>
      </c>
      <c r="AC1245">
        <v>1</v>
      </c>
      <c r="AD1245">
        <v>102</v>
      </c>
      <c r="AE1245">
        <v>9.7999999999999997E-3</v>
      </c>
      <c r="AF1245" t="s">
        <v>2589</v>
      </c>
      <c r="AG1245" t="s">
        <v>2593</v>
      </c>
    </row>
    <row r="1246" spans="1:33">
      <c r="A1246" s="2" t="s">
        <v>105</v>
      </c>
      <c r="B1246" s="2" t="s">
        <v>21</v>
      </c>
      <c r="C1246" s="1">
        <v>0.56210716000000005</v>
      </c>
      <c r="D1246">
        <v>0.68032504299999996</v>
      </c>
      <c r="E1246">
        <v>0.71115907899999997</v>
      </c>
      <c r="F1246" s="1" t="s">
        <v>106</v>
      </c>
      <c r="G1246" s="1">
        <v>1.0978593270000001</v>
      </c>
      <c r="H1246" s="1">
        <v>43.5</v>
      </c>
      <c r="I1246" s="1">
        <v>98.1</v>
      </c>
      <c r="J1246" s="1">
        <v>0.65119709399999992</v>
      </c>
      <c r="K1246" s="1">
        <v>0.53276376800000003</v>
      </c>
      <c r="L1246" s="1">
        <v>0.65428149899999999</v>
      </c>
      <c r="M1246" s="3">
        <v>0.70160154799999996</v>
      </c>
      <c r="N1246" s="1" t="s">
        <v>22</v>
      </c>
      <c r="O1246" s="1">
        <v>1.2440604749999999</v>
      </c>
      <c r="P1246" s="1">
        <v>24.6</v>
      </c>
      <c r="Q1246" s="1">
        <v>46.3</v>
      </c>
      <c r="R1246" s="1">
        <v>0.62954893833333336</v>
      </c>
      <c r="S1246" s="1">
        <v>4.0381273344974662E-2</v>
      </c>
      <c r="T1246" t="s">
        <v>1393</v>
      </c>
      <c r="U1246" s="1">
        <v>12398</v>
      </c>
      <c r="V1246">
        <f t="shared" si="76"/>
        <v>0.45481684800172828</v>
      </c>
      <c r="W1246" s="1">
        <f t="shared" si="77"/>
        <v>18.899999999999999</v>
      </c>
      <c r="X1246">
        <f t="shared" si="78"/>
        <v>0.14620114799999984</v>
      </c>
      <c r="Y1246">
        <f t="shared" si="79"/>
        <v>51.8</v>
      </c>
      <c r="Z1246" s="1">
        <v>0</v>
      </c>
      <c r="AA1246">
        <v>100</v>
      </c>
      <c r="AB1246">
        <v>0</v>
      </c>
      <c r="AC1246">
        <v>0</v>
      </c>
      <c r="AD1246">
        <v>109</v>
      </c>
      <c r="AE1246">
        <v>0</v>
      </c>
      <c r="AF1246" t="s">
        <v>2589</v>
      </c>
      <c r="AG1246" t="s">
        <v>2589</v>
      </c>
    </row>
    <row r="1247" spans="1:33">
      <c r="A1247" s="2" t="s">
        <v>105</v>
      </c>
      <c r="B1247" s="2" t="s">
        <v>23</v>
      </c>
      <c r="C1247" s="1">
        <v>0.56210716000000005</v>
      </c>
      <c r="D1247">
        <v>0.68032504299999996</v>
      </c>
      <c r="E1247">
        <v>0.71115907899999997</v>
      </c>
      <c r="F1247" s="1" t="s">
        <v>106</v>
      </c>
      <c r="G1247" s="1">
        <v>1.0978593270000001</v>
      </c>
      <c r="H1247" s="1">
        <v>43.5</v>
      </c>
      <c r="I1247" s="1">
        <v>98.1</v>
      </c>
      <c r="J1247" s="1">
        <v>0.65119709399999992</v>
      </c>
      <c r="K1247" s="1">
        <v>0.49415677200000002</v>
      </c>
      <c r="L1247" s="1">
        <v>0.62090818999999997</v>
      </c>
      <c r="M1247" s="3">
        <v>0.63381026900000004</v>
      </c>
      <c r="N1247" s="1" t="s">
        <v>24</v>
      </c>
      <c r="O1247" s="1">
        <v>1.141304348</v>
      </c>
      <c r="P1247" s="1">
        <v>44.4</v>
      </c>
      <c r="Q1247" s="1">
        <v>101.2</v>
      </c>
      <c r="R1247" s="1">
        <v>0.58295841033333329</v>
      </c>
      <c r="S1247" s="1">
        <v>0.1188715948332075</v>
      </c>
      <c r="T1247" t="s">
        <v>1394</v>
      </c>
      <c r="U1247" s="1">
        <v>950</v>
      </c>
      <c r="V1247">
        <f t="shared" si="76"/>
        <v>0.33085817836542752</v>
      </c>
      <c r="W1247" s="1">
        <f t="shared" si="77"/>
        <v>0.89999999999999858</v>
      </c>
      <c r="X1247">
        <f t="shared" si="78"/>
        <v>4.3445020999999917E-2</v>
      </c>
      <c r="Y1247">
        <f t="shared" si="79"/>
        <v>3.1000000000000085</v>
      </c>
      <c r="Z1247" s="1">
        <v>0</v>
      </c>
      <c r="AA1247">
        <v>100</v>
      </c>
      <c r="AB1247">
        <v>0</v>
      </c>
      <c r="AC1247">
        <v>0</v>
      </c>
      <c r="AD1247">
        <v>105</v>
      </c>
      <c r="AE1247">
        <v>0</v>
      </c>
      <c r="AF1247" t="s">
        <v>2589</v>
      </c>
      <c r="AG1247" t="s">
        <v>2590</v>
      </c>
    </row>
    <row r="1248" spans="1:33">
      <c r="A1248" s="2" t="s">
        <v>105</v>
      </c>
      <c r="B1248" s="2" t="s">
        <v>25</v>
      </c>
      <c r="C1248" s="1">
        <v>0.56210716000000005</v>
      </c>
      <c r="D1248">
        <v>0.68032504299999996</v>
      </c>
      <c r="E1248">
        <v>0.71115907899999997</v>
      </c>
      <c r="F1248" s="1" t="s">
        <v>106</v>
      </c>
      <c r="G1248" s="1">
        <v>1.0978593270000001</v>
      </c>
      <c r="H1248" s="1">
        <v>43.5</v>
      </c>
      <c r="I1248" s="1">
        <v>98.1</v>
      </c>
      <c r="J1248" s="1">
        <v>0.65119709399999992</v>
      </c>
      <c r="K1248" s="1">
        <v>0.53959274199999996</v>
      </c>
      <c r="L1248" s="1">
        <v>0.64971567399999997</v>
      </c>
      <c r="M1248" s="3">
        <v>0.65028459999999999</v>
      </c>
      <c r="N1248" s="1" t="s">
        <v>26</v>
      </c>
      <c r="O1248" s="1">
        <v>1.623046875</v>
      </c>
      <c r="P1248" s="1">
        <v>34.700000000000003</v>
      </c>
      <c r="Q1248" s="1">
        <v>51.2</v>
      </c>
      <c r="R1248" s="1">
        <v>0.61319767199999997</v>
      </c>
      <c r="S1248" s="1">
        <v>7.1760258374523211E-2</v>
      </c>
      <c r="T1248" t="s">
        <v>1395</v>
      </c>
      <c r="U1248" s="1">
        <v>1248</v>
      </c>
      <c r="V1248">
        <f t="shared" si="76"/>
        <v>0.34402384281626724</v>
      </c>
      <c r="W1248" s="1">
        <f t="shared" si="77"/>
        <v>8.7999999999999972</v>
      </c>
      <c r="X1248">
        <f t="shared" si="78"/>
        <v>0.52518754799999989</v>
      </c>
      <c r="Y1248">
        <f t="shared" si="79"/>
        <v>46.899999999999991</v>
      </c>
      <c r="Z1248" s="1">
        <v>0</v>
      </c>
      <c r="AA1248">
        <v>100</v>
      </c>
      <c r="AB1248">
        <v>0</v>
      </c>
      <c r="AC1248">
        <v>0</v>
      </c>
      <c r="AD1248">
        <v>107</v>
      </c>
      <c r="AE1248">
        <v>0</v>
      </c>
      <c r="AF1248" t="s">
        <v>2589</v>
      </c>
      <c r="AG1248" t="s">
        <v>2594</v>
      </c>
    </row>
    <row r="1249" spans="1:33">
      <c r="A1249" s="2" t="s">
        <v>105</v>
      </c>
      <c r="B1249" s="2" t="s">
        <v>27</v>
      </c>
      <c r="C1249" s="1">
        <v>0.56210716000000005</v>
      </c>
      <c r="D1249">
        <v>0.68032504299999996</v>
      </c>
      <c r="E1249">
        <v>0.71115907899999997</v>
      </c>
      <c r="F1249" s="1" t="s">
        <v>106</v>
      </c>
      <c r="G1249" s="1">
        <v>1.0978593270000001</v>
      </c>
      <c r="H1249" s="1">
        <v>43.5</v>
      </c>
      <c r="I1249" s="1">
        <v>98.1</v>
      </c>
      <c r="J1249" s="1">
        <v>0.65119709399999992</v>
      </c>
      <c r="K1249" s="1">
        <v>0.518608662</v>
      </c>
      <c r="L1249" s="1">
        <v>0.64320369700000002</v>
      </c>
      <c r="M1249" s="3">
        <v>0.62228994199999998</v>
      </c>
      <c r="N1249" s="1" t="s">
        <v>28</v>
      </c>
      <c r="O1249" s="1">
        <v>1.8717391299999999</v>
      </c>
      <c r="P1249" s="1">
        <v>33.700000000000003</v>
      </c>
      <c r="Q1249" s="1">
        <v>46</v>
      </c>
      <c r="R1249" s="1">
        <v>0.59470076699999996</v>
      </c>
      <c r="S1249" s="1">
        <v>0.10567798809701331</v>
      </c>
      <c r="T1249" t="s">
        <v>1396</v>
      </c>
      <c r="U1249" s="1">
        <v>498</v>
      </c>
      <c r="V1249">
        <f t="shared" si="76"/>
        <v>0.29969214919552417</v>
      </c>
      <c r="W1249" s="1">
        <f t="shared" si="77"/>
        <v>9.7999999999999972</v>
      </c>
      <c r="X1249">
        <f t="shared" si="78"/>
        <v>0.77387980299999981</v>
      </c>
      <c r="Y1249">
        <f t="shared" si="79"/>
        <v>52.099999999999994</v>
      </c>
      <c r="Z1249" s="1">
        <v>0</v>
      </c>
      <c r="AA1249">
        <v>100</v>
      </c>
      <c r="AB1249">
        <v>0</v>
      </c>
      <c r="AC1249">
        <v>0</v>
      </c>
      <c r="AD1249">
        <v>114</v>
      </c>
      <c r="AE1249">
        <v>0</v>
      </c>
      <c r="AF1249" t="s">
        <v>2589</v>
      </c>
      <c r="AG1249" t="s">
        <v>2590</v>
      </c>
    </row>
    <row r="1250" spans="1:33">
      <c r="A1250" s="2" t="s">
        <v>105</v>
      </c>
      <c r="B1250" s="2" t="s">
        <v>29</v>
      </c>
      <c r="C1250" s="1">
        <v>0.56210716000000005</v>
      </c>
      <c r="D1250">
        <v>0.68032504299999996</v>
      </c>
      <c r="E1250">
        <v>0.71115907899999997</v>
      </c>
      <c r="F1250" s="1" t="s">
        <v>106</v>
      </c>
      <c r="G1250" s="1">
        <v>1.0978593270000001</v>
      </c>
      <c r="H1250" s="1">
        <v>43.5</v>
      </c>
      <c r="I1250" s="1">
        <v>98.1</v>
      </c>
      <c r="J1250" s="1">
        <v>0.65119709399999992</v>
      </c>
      <c r="K1250" s="1">
        <v>0.59351545100000003</v>
      </c>
      <c r="L1250" s="1">
        <v>0.68136602400000001</v>
      </c>
      <c r="M1250" s="3">
        <v>0.73518087600000004</v>
      </c>
      <c r="N1250" s="1" t="s">
        <v>30</v>
      </c>
      <c r="O1250" s="1">
        <v>2.849112426</v>
      </c>
      <c r="P1250" s="1">
        <v>37.9</v>
      </c>
      <c r="Q1250" s="1">
        <v>33.799999999999997</v>
      </c>
      <c r="R1250" s="1">
        <v>0.67002078366666673</v>
      </c>
      <c r="S1250" s="1">
        <v>3.9555165479267726E-2</v>
      </c>
      <c r="T1250" t="s">
        <v>1397</v>
      </c>
      <c r="U1250" s="1">
        <v>17830</v>
      </c>
      <c r="V1250">
        <f t="shared" si="76"/>
        <v>0.4723501492417061</v>
      </c>
      <c r="W1250" s="1">
        <f t="shared" si="77"/>
        <v>5.6000000000000014</v>
      </c>
      <c r="X1250">
        <f t="shared" si="78"/>
        <v>1.7512530989999999</v>
      </c>
      <c r="Y1250">
        <f t="shared" si="79"/>
        <v>64.3</v>
      </c>
      <c r="Z1250" s="1">
        <v>17</v>
      </c>
      <c r="AA1250">
        <v>83</v>
      </c>
      <c r="AB1250">
        <v>0.20480000000000001</v>
      </c>
      <c r="AC1250">
        <v>15</v>
      </c>
      <c r="AD1250">
        <v>88</v>
      </c>
      <c r="AE1250">
        <v>0.17050000000000001</v>
      </c>
      <c r="AF1250" t="s">
        <v>2589</v>
      </c>
      <c r="AG1250" t="s">
        <v>2593</v>
      </c>
    </row>
    <row r="1251" spans="1:33">
      <c r="A1251" s="2" t="s">
        <v>105</v>
      </c>
      <c r="B1251" s="2" t="s">
        <v>31</v>
      </c>
      <c r="C1251" s="1">
        <v>0.56210716000000005</v>
      </c>
      <c r="D1251">
        <v>0.68032504299999996</v>
      </c>
      <c r="E1251">
        <v>0.71115907899999997</v>
      </c>
      <c r="F1251" s="1" t="s">
        <v>106</v>
      </c>
      <c r="G1251" s="1">
        <v>1.0978593270000001</v>
      </c>
      <c r="H1251" s="1">
        <v>43.5</v>
      </c>
      <c r="I1251" s="1">
        <v>98.1</v>
      </c>
      <c r="J1251" s="1">
        <v>0.65119709399999992</v>
      </c>
      <c r="K1251" s="1">
        <v>0.47727961800000002</v>
      </c>
      <c r="L1251" s="1">
        <v>0.66941086400000005</v>
      </c>
      <c r="M1251" s="3">
        <v>0.69294815300000001</v>
      </c>
      <c r="N1251" s="1" t="s">
        <v>32</v>
      </c>
      <c r="O1251" s="1">
        <v>1.341891892</v>
      </c>
      <c r="P1251" s="1">
        <v>42.1</v>
      </c>
      <c r="Q1251" s="1">
        <v>74</v>
      </c>
      <c r="R1251" s="1">
        <v>0.61321287833333338</v>
      </c>
      <c r="S1251" s="1">
        <v>8.7444090771093747E-2</v>
      </c>
      <c r="T1251" t="s">
        <v>1398</v>
      </c>
      <c r="U1251" s="1">
        <v>4656</v>
      </c>
      <c r="V1251">
        <f t="shared" si="76"/>
        <v>0.40755699684909241</v>
      </c>
      <c r="W1251" s="1">
        <f t="shared" si="77"/>
        <v>1.3999999999999986</v>
      </c>
      <c r="X1251">
        <f t="shared" si="78"/>
        <v>0.24403256499999992</v>
      </c>
      <c r="Y1251">
        <f t="shared" si="79"/>
        <v>24.099999999999994</v>
      </c>
      <c r="Z1251" s="1">
        <v>0</v>
      </c>
      <c r="AA1251">
        <v>100</v>
      </c>
      <c r="AB1251">
        <v>0</v>
      </c>
      <c r="AC1251">
        <v>0</v>
      </c>
      <c r="AD1251">
        <v>111</v>
      </c>
      <c r="AE1251">
        <v>0</v>
      </c>
      <c r="AF1251" t="s">
        <v>2589</v>
      </c>
      <c r="AG1251" t="s">
        <v>2589</v>
      </c>
    </row>
    <row r="1252" spans="1:33">
      <c r="A1252" s="2" t="s">
        <v>105</v>
      </c>
      <c r="B1252" s="2" t="s">
        <v>33</v>
      </c>
      <c r="C1252" s="1">
        <v>0.56210716000000005</v>
      </c>
      <c r="D1252">
        <v>0.68032504299999996</v>
      </c>
      <c r="E1252">
        <v>0.71115907899999997</v>
      </c>
      <c r="F1252" s="1" t="s">
        <v>106</v>
      </c>
      <c r="G1252" s="1">
        <v>1.0978593270000001</v>
      </c>
      <c r="H1252" s="1">
        <v>43.5</v>
      </c>
      <c r="I1252" s="1">
        <v>98.1</v>
      </c>
      <c r="J1252" s="1">
        <v>0.65119709399999992</v>
      </c>
      <c r="K1252" s="1">
        <v>0.51347926600000005</v>
      </c>
      <c r="L1252" s="1">
        <v>0.63144379399999995</v>
      </c>
      <c r="M1252" s="3">
        <v>0.64189093500000005</v>
      </c>
      <c r="N1252" s="1" t="s">
        <v>34</v>
      </c>
      <c r="O1252" s="1">
        <v>2.3123667380000001</v>
      </c>
      <c r="P1252" s="1">
        <v>79.099999999999994</v>
      </c>
      <c r="Q1252" s="1">
        <v>93.8</v>
      </c>
      <c r="R1252" s="1">
        <v>0.59560466500000009</v>
      </c>
      <c r="S1252" s="1">
        <v>9.7734969953850018E-2</v>
      </c>
      <c r="T1252" t="s">
        <v>1399</v>
      </c>
      <c r="U1252" s="1">
        <v>2538</v>
      </c>
      <c r="V1252">
        <f t="shared" si="76"/>
        <v>0.37827684641763182</v>
      </c>
      <c r="W1252" s="1">
        <f t="shared" si="77"/>
        <v>35.599999999999994</v>
      </c>
      <c r="X1252">
        <f t="shared" si="78"/>
        <v>1.214507411</v>
      </c>
      <c r="Y1252">
        <f t="shared" si="79"/>
        <v>4.2999999999999972</v>
      </c>
      <c r="Z1252" s="1">
        <v>0</v>
      </c>
      <c r="AA1252">
        <v>100</v>
      </c>
      <c r="AB1252">
        <v>0</v>
      </c>
      <c r="AC1252">
        <v>1</v>
      </c>
      <c r="AD1252">
        <v>104</v>
      </c>
      <c r="AE1252">
        <v>9.5999999999999992E-3</v>
      </c>
      <c r="AF1252" t="s">
        <v>2589</v>
      </c>
      <c r="AG1252" t="s">
        <v>2590</v>
      </c>
    </row>
    <row r="1253" spans="1:33">
      <c r="A1253" s="2" t="s">
        <v>105</v>
      </c>
      <c r="B1253" s="2" t="s">
        <v>35</v>
      </c>
      <c r="C1253" s="1">
        <v>0.56210716000000005</v>
      </c>
      <c r="D1253">
        <v>0.68032504299999996</v>
      </c>
      <c r="E1253">
        <v>0.71115907899999997</v>
      </c>
      <c r="F1253" s="1" t="s">
        <v>106</v>
      </c>
      <c r="G1253" s="1">
        <v>1.0978593270000001</v>
      </c>
      <c r="H1253" s="1">
        <v>43.5</v>
      </c>
      <c r="I1253" s="1">
        <v>98.1</v>
      </c>
      <c r="J1253" s="1">
        <v>0.65119709399999992</v>
      </c>
      <c r="K1253" s="1">
        <v>0.52542897600000005</v>
      </c>
      <c r="L1253" s="1">
        <v>0.60774736299999998</v>
      </c>
      <c r="M1253" s="3">
        <v>0.62585751700000003</v>
      </c>
      <c r="N1253" s="1" t="s">
        <v>36</v>
      </c>
      <c r="O1253" s="1">
        <v>0.98848810399999998</v>
      </c>
      <c r="P1253" s="1">
        <v>54.2</v>
      </c>
      <c r="Q1253" s="1">
        <v>130.30000000000001</v>
      </c>
      <c r="R1253" s="1">
        <v>0.58634461866666665</v>
      </c>
      <c r="S1253" s="1">
        <v>0.11785230288526435</v>
      </c>
      <c r="T1253" t="s">
        <v>1400</v>
      </c>
      <c r="U1253" s="1">
        <v>10120</v>
      </c>
      <c r="V1253">
        <f t="shared" si="76"/>
        <v>0.44502005694486446</v>
      </c>
      <c r="W1253" s="1">
        <f t="shared" si="77"/>
        <v>10.700000000000003</v>
      </c>
      <c r="X1253">
        <f t="shared" si="78"/>
        <v>0.10937122300000013</v>
      </c>
      <c r="Y1253">
        <f t="shared" si="79"/>
        <v>32.200000000000017</v>
      </c>
      <c r="Z1253" s="1">
        <v>0</v>
      </c>
      <c r="AA1253">
        <v>100</v>
      </c>
      <c r="AB1253">
        <v>0</v>
      </c>
      <c r="AC1253">
        <v>0</v>
      </c>
      <c r="AD1253">
        <v>104</v>
      </c>
      <c r="AE1253">
        <v>0</v>
      </c>
      <c r="AF1253" t="s">
        <v>2589</v>
      </c>
      <c r="AG1253" t="s">
        <v>2589</v>
      </c>
    </row>
    <row r="1254" spans="1:33">
      <c r="A1254" s="2" t="s">
        <v>105</v>
      </c>
      <c r="B1254" s="2" t="s">
        <v>37</v>
      </c>
      <c r="C1254" s="1">
        <v>0.56210716000000005</v>
      </c>
      <c r="D1254">
        <v>0.68032504299999996</v>
      </c>
      <c r="E1254">
        <v>0.71115907899999997</v>
      </c>
      <c r="F1254" s="1" t="s">
        <v>106</v>
      </c>
      <c r="G1254" s="1">
        <v>1.0978593270000001</v>
      </c>
      <c r="H1254" s="1">
        <v>43.5</v>
      </c>
      <c r="I1254" s="1">
        <v>98.1</v>
      </c>
      <c r="J1254" s="1">
        <v>0.65119709399999992</v>
      </c>
      <c r="K1254" s="1">
        <v>0.50856695500000004</v>
      </c>
      <c r="L1254" s="1">
        <v>0.654733224</v>
      </c>
      <c r="M1254" s="3">
        <v>0.61418267199999999</v>
      </c>
      <c r="N1254" s="1" t="s">
        <v>38</v>
      </c>
      <c r="O1254" s="1">
        <v>0.64065708399999999</v>
      </c>
      <c r="P1254" s="1">
        <v>41.9</v>
      </c>
      <c r="Q1254" s="1">
        <v>146.1</v>
      </c>
      <c r="R1254" s="1">
        <v>0.59249428366666679</v>
      </c>
      <c r="S1254" s="1">
        <v>0.1136922084656659</v>
      </c>
      <c r="T1254" t="s">
        <v>1401</v>
      </c>
      <c r="U1254" s="1">
        <v>2610</v>
      </c>
      <c r="V1254">
        <f t="shared" si="76"/>
        <v>0.37962672303758677</v>
      </c>
      <c r="W1254" s="1">
        <f t="shared" si="77"/>
        <v>1.6000000000000014</v>
      </c>
      <c r="X1254">
        <f t="shared" si="78"/>
        <v>0.45720224300000012</v>
      </c>
      <c r="Y1254">
        <f t="shared" si="79"/>
        <v>48</v>
      </c>
      <c r="Z1254" s="1">
        <v>0</v>
      </c>
      <c r="AA1254">
        <v>100</v>
      </c>
      <c r="AB1254">
        <v>0</v>
      </c>
      <c r="AC1254">
        <v>0</v>
      </c>
      <c r="AD1254">
        <v>103</v>
      </c>
      <c r="AE1254">
        <v>0</v>
      </c>
      <c r="AF1254" t="s">
        <v>2589</v>
      </c>
      <c r="AG1254" t="s">
        <v>2590</v>
      </c>
    </row>
    <row r="1255" spans="1:33">
      <c r="A1255" s="2" t="s">
        <v>105</v>
      </c>
      <c r="B1255" s="2" t="s">
        <v>39</v>
      </c>
      <c r="C1255" s="1">
        <v>0.56210716000000005</v>
      </c>
      <c r="D1255">
        <v>0.68032504299999996</v>
      </c>
      <c r="E1255">
        <v>0.71115907899999997</v>
      </c>
      <c r="F1255" s="1" t="s">
        <v>106</v>
      </c>
      <c r="G1255" s="1">
        <v>1.0978593270000001</v>
      </c>
      <c r="H1255" s="1">
        <v>43.5</v>
      </c>
      <c r="I1255" s="1">
        <v>98.1</v>
      </c>
      <c r="J1255" s="1">
        <v>0.65119709399999992</v>
      </c>
      <c r="K1255" s="1">
        <v>0.60811616199999996</v>
      </c>
      <c r="L1255" s="1">
        <v>0.721105683</v>
      </c>
      <c r="M1255" s="3">
        <v>0.741016169</v>
      </c>
      <c r="N1255" s="1" t="s">
        <v>40</v>
      </c>
      <c r="O1255" s="1">
        <v>1.0601915180000001</v>
      </c>
      <c r="P1255" s="1">
        <v>34</v>
      </c>
      <c r="Q1255" s="1">
        <v>73.099999999999994</v>
      </c>
      <c r="R1255" s="1">
        <v>0.69007933799999999</v>
      </c>
      <c r="S1255" s="1">
        <v>6.8347162977798137E-2</v>
      </c>
      <c r="T1255" t="s">
        <v>1402</v>
      </c>
      <c r="U1255" s="1">
        <v>54179</v>
      </c>
      <c r="V1255">
        <f t="shared" si="76"/>
        <v>0.52598122053911178</v>
      </c>
      <c r="W1255" s="1">
        <f t="shared" si="77"/>
        <v>9.5</v>
      </c>
      <c r="X1255">
        <f t="shared" si="78"/>
        <v>3.7667808999999997E-2</v>
      </c>
      <c r="Y1255">
        <f t="shared" si="79"/>
        <v>25</v>
      </c>
      <c r="Z1255" s="1">
        <v>0</v>
      </c>
      <c r="AA1255">
        <v>100</v>
      </c>
      <c r="AB1255">
        <v>0</v>
      </c>
      <c r="AC1255">
        <v>1</v>
      </c>
      <c r="AD1255">
        <v>105</v>
      </c>
      <c r="AE1255">
        <v>9.4999999999999998E-3</v>
      </c>
      <c r="AF1255" t="s">
        <v>2589</v>
      </c>
      <c r="AG1255" t="s">
        <v>2589</v>
      </c>
    </row>
    <row r="1256" spans="1:33">
      <c r="A1256" s="2" t="s">
        <v>105</v>
      </c>
      <c r="B1256" s="2" t="s">
        <v>41</v>
      </c>
      <c r="C1256" s="1">
        <v>0.56210716000000005</v>
      </c>
      <c r="D1256">
        <v>0.68032504299999996</v>
      </c>
      <c r="E1256">
        <v>0.71115907899999997</v>
      </c>
      <c r="F1256" s="1" t="s">
        <v>106</v>
      </c>
      <c r="G1256" s="1">
        <v>1.0978593270000001</v>
      </c>
      <c r="H1256" s="1">
        <v>43.5</v>
      </c>
      <c r="I1256" s="1">
        <v>98.1</v>
      </c>
      <c r="J1256" s="1">
        <v>0.65119709399999992</v>
      </c>
      <c r="K1256" s="1">
        <v>0.60402244999999999</v>
      </c>
      <c r="L1256" s="1">
        <v>0.669189213</v>
      </c>
      <c r="M1256" s="3">
        <v>0.69821693799999995</v>
      </c>
      <c r="N1256" s="1" t="s">
        <v>42</v>
      </c>
      <c r="O1256" s="1">
        <v>1.3243902439999999</v>
      </c>
      <c r="P1256" s="1">
        <v>23</v>
      </c>
      <c r="Q1256" s="1">
        <v>41</v>
      </c>
      <c r="R1256" s="1">
        <v>0.65714286700000002</v>
      </c>
      <c r="S1256" s="1">
        <v>4.5259222919056791E-2</v>
      </c>
      <c r="T1256" t="s">
        <v>1403</v>
      </c>
      <c r="U1256" s="1">
        <v>172675</v>
      </c>
      <c r="V1256">
        <f t="shared" si="76"/>
        <v>0.58191438496424275</v>
      </c>
      <c r="W1256" s="1">
        <f t="shared" si="77"/>
        <v>20.5</v>
      </c>
      <c r="X1256">
        <f t="shared" si="78"/>
        <v>0.22653091699999983</v>
      </c>
      <c r="Y1256">
        <f t="shared" si="79"/>
        <v>57.099999999999994</v>
      </c>
      <c r="Z1256" s="1">
        <v>17</v>
      </c>
      <c r="AA1256">
        <v>83</v>
      </c>
      <c r="AB1256">
        <v>0.20480000000000001</v>
      </c>
      <c r="AC1256">
        <v>21</v>
      </c>
      <c r="AD1256">
        <v>99</v>
      </c>
      <c r="AE1256">
        <v>0.21210000000000001</v>
      </c>
      <c r="AF1256" t="s">
        <v>2589</v>
      </c>
      <c r="AG1256" t="s">
        <v>2591</v>
      </c>
    </row>
    <row r="1257" spans="1:33">
      <c r="A1257" s="2" t="s">
        <v>105</v>
      </c>
      <c r="B1257" s="2" t="s">
        <v>43</v>
      </c>
      <c r="C1257" s="1">
        <v>0.56210716000000005</v>
      </c>
      <c r="D1257">
        <v>0.68032504299999996</v>
      </c>
      <c r="E1257">
        <v>0.71115907899999997</v>
      </c>
      <c r="F1257" s="1" t="s">
        <v>106</v>
      </c>
      <c r="G1257" s="1">
        <v>1.0978593270000001</v>
      </c>
      <c r="H1257" s="1">
        <v>43.5</v>
      </c>
      <c r="I1257" s="1">
        <v>98.1</v>
      </c>
      <c r="J1257" s="1">
        <v>0.65119709399999992</v>
      </c>
      <c r="K1257" s="1">
        <v>0.54180634699999997</v>
      </c>
      <c r="L1257" s="1">
        <v>0.59470779900000004</v>
      </c>
      <c r="M1257" s="3">
        <v>0.69518155599999998</v>
      </c>
      <c r="N1257" s="1" t="s">
        <v>44</v>
      </c>
      <c r="O1257" s="1">
        <v>1.7403685090000001</v>
      </c>
      <c r="P1257" s="1">
        <v>41.2</v>
      </c>
      <c r="Q1257" s="1">
        <v>59.7</v>
      </c>
      <c r="R1257" s="1">
        <v>0.61056523400000007</v>
      </c>
      <c r="S1257" s="1">
        <v>8.9429954264955452E-2</v>
      </c>
      <c r="T1257" t="s">
        <v>1404</v>
      </c>
      <c r="U1257" s="1">
        <v>36020</v>
      </c>
      <c r="V1257">
        <f t="shared" si="76"/>
        <v>0.506282634275946</v>
      </c>
      <c r="W1257" s="1">
        <f t="shared" si="77"/>
        <v>2.2999999999999972</v>
      </c>
      <c r="X1257">
        <f t="shared" si="78"/>
        <v>0.64250918199999996</v>
      </c>
      <c r="Y1257">
        <f t="shared" si="79"/>
        <v>38.399999999999991</v>
      </c>
      <c r="Z1257" s="1">
        <v>3</v>
      </c>
      <c r="AA1257">
        <v>97</v>
      </c>
      <c r="AB1257">
        <v>3.09E-2</v>
      </c>
      <c r="AC1257">
        <v>2</v>
      </c>
      <c r="AD1257">
        <v>140</v>
      </c>
      <c r="AE1257">
        <v>1.43E-2</v>
      </c>
      <c r="AF1257" t="s">
        <v>2589</v>
      </c>
      <c r="AG1257" t="s">
        <v>2589</v>
      </c>
    </row>
    <row r="1258" spans="1:33">
      <c r="A1258" s="2" t="s">
        <v>105</v>
      </c>
      <c r="B1258" s="2" t="s">
        <v>45</v>
      </c>
      <c r="C1258" s="1">
        <v>0.56210716000000005</v>
      </c>
      <c r="D1258">
        <v>0.68032504299999996</v>
      </c>
      <c r="E1258">
        <v>0.71115907899999997</v>
      </c>
      <c r="F1258" s="1" t="s">
        <v>106</v>
      </c>
      <c r="G1258" s="1">
        <v>1.0978593270000001</v>
      </c>
      <c r="H1258" s="1">
        <v>43.5</v>
      </c>
      <c r="I1258" s="1">
        <v>98.1</v>
      </c>
      <c r="J1258" s="1">
        <v>0.65119709399999992</v>
      </c>
      <c r="K1258" s="1">
        <v>0.50907007599999998</v>
      </c>
      <c r="L1258" s="1">
        <v>0.68428041399999995</v>
      </c>
      <c r="M1258" s="3">
        <v>0.67454742099999998</v>
      </c>
      <c r="N1258" s="1" t="s">
        <v>46</v>
      </c>
      <c r="O1258" s="1">
        <v>0.98140043799999999</v>
      </c>
      <c r="P1258" s="1">
        <v>38.9</v>
      </c>
      <c r="Q1258" s="1">
        <v>91.4</v>
      </c>
      <c r="R1258" s="1">
        <v>0.62263263699999993</v>
      </c>
      <c r="S1258" s="1">
        <v>6.456772212553008E-2</v>
      </c>
      <c r="T1258" t="s">
        <v>1405</v>
      </c>
      <c r="U1258" s="1">
        <v>5643</v>
      </c>
      <c r="V1258">
        <f t="shared" si="76"/>
        <v>0.41683445003000458</v>
      </c>
      <c r="W1258" s="1">
        <f t="shared" si="77"/>
        <v>4.6000000000000014</v>
      </c>
      <c r="X1258">
        <f t="shared" si="78"/>
        <v>0.11645888900000012</v>
      </c>
      <c r="Y1258">
        <f t="shared" si="79"/>
        <v>6.6999999999999886</v>
      </c>
      <c r="Z1258" s="1">
        <v>0</v>
      </c>
      <c r="AA1258">
        <v>100</v>
      </c>
      <c r="AB1258">
        <v>0</v>
      </c>
      <c r="AC1258">
        <v>0</v>
      </c>
      <c r="AD1258">
        <v>122</v>
      </c>
      <c r="AE1258">
        <v>0</v>
      </c>
      <c r="AF1258" t="s">
        <v>2589</v>
      </c>
      <c r="AG1258" t="s">
        <v>2589</v>
      </c>
    </row>
    <row r="1259" spans="1:33">
      <c r="A1259" s="2" t="s">
        <v>105</v>
      </c>
      <c r="B1259" s="2" t="s">
        <v>47</v>
      </c>
      <c r="C1259" s="1">
        <v>0.56210716000000005</v>
      </c>
      <c r="D1259">
        <v>0.68032504299999996</v>
      </c>
      <c r="E1259">
        <v>0.71115907899999997</v>
      </c>
      <c r="F1259" s="1" t="s">
        <v>106</v>
      </c>
      <c r="G1259" s="1">
        <v>1.0978593270000001</v>
      </c>
      <c r="H1259" s="1">
        <v>43.5</v>
      </c>
      <c r="I1259" s="1">
        <v>98.1</v>
      </c>
      <c r="J1259" s="1">
        <v>0.65119709399999992</v>
      </c>
      <c r="K1259" s="1">
        <v>0.50612154099999995</v>
      </c>
      <c r="L1259" s="1">
        <v>0.55940039100000005</v>
      </c>
      <c r="M1259" s="3">
        <v>0.66789001699999995</v>
      </c>
      <c r="N1259" s="1" t="s">
        <v>48</v>
      </c>
      <c r="O1259" s="1">
        <v>1.242622951</v>
      </c>
      <c r="P1259" s="1">
        <v>17.8</v>
      </c>
      <c r="Q1259" s="1">
        <v>30.5</v>
      </c>
      <c r="R1259" s="1">
        <v>0.57780398300000002</v>
      </c>
      <c r="S1259" s="1">
        <v>0.14010486330778849</v>
      </c>
      <c r="T1259" t="s">
        <v>1406</v>
      </c>
      <c r="U1259" s="1">
        <v>4039</v>
      </c>
      <c r="V1259">
        <f t="shared" si="76"/>
        <v>0.40069709479666538</v>
      </c>
      <c r="W1259" s="1">
        <f t="shared" si="77"/>
        <v>25.7</v>
      </c>
      <c r="X1259">
        <f t="shared" si="78"/>
        <v>0.14476362399999987</v>
      </c>
      <c r="Y1259">
        <f t="shared" si="79"/>
        <v>67.599999999999994</v>
      </c>
      <c r="Z1259" s="1">
        <v>0</v>
      </c>
      <c r="AA1259">
        <v>100</v>
      </c>
      <c r="AB1259">
        <v>0</v>
      </c>
      <c r="AC1259">
        <v>0</v>
      </c>
      <c r="AD1259">
        <v>129</v>
      </c>
      <c r="AE1259">
        <v>0</v>
      </c>
      <c r="AF1259" t="s">
        <v>2589</v>
      </c>
      <c r="AG1259" t="s">
        <v>2590</v>
      </c>
    </row>
    <row r="1260" spans="1:33">
      <c r="A1260" s="2" t="s">
        <v>105</v>
      </c>
      <c r="B1260" s="2" t="s">
        <v>49</v>
      </c>
      <c r="C1260" s="1">
        <v>0.56210716000000005</v>
      </c>
      <c r="D1260">
        <v>0.68032504299999996</v>
      </c>
      <c r="E1260">
        <v>0.71115907899999997</v>
      </c>
      <c r="F1260" s="1" t="s">
        <v>106</v>
      </c>
      <c r="G1260" s="1">
        <v>1.0978593270000001</v>
      </c>
      <c r="H1260" s="1">
        <v>43.5</v>
      </c>
      <c r="I1260" s="1">
        <v>98.1</v>
      </c>
      <c r="J1260" s="1">
        <v>0.65119709399999992</v>
      </c>
      <c r="K1260" s="1">
        <v>0.50647110500000003</v>
      </c>
      <c r="L1260" s="1">
        <v>0.55713136799999996</v>
      </c>
      <c r="M1260" s="3">
        <v>0.63402682300000002</v>
      </c>
      <c r="N1260" s="1" t="s">
        <v>50</v>
      </c>
      <c r="O1260" s="1">
        <v>1.876675603</v>
      </c>
      <c r="P1260" s="1">
        <v>28.8</v>
      </c>
      <c r="Q1260" s="1">
        <v>37.299999999999997</v>
      </c>
      <c r="R1260" s="1">
        <v>0.56587643200000004</v>
      </c>
      <c r="S1260" s="1">
        <v>0.15563237803110952</v>
      </c>
      <c r="T1260" t="s">
        <v>1407</v>
      </c>
      <c r="U1260" s="1">
        <v>2242</v>
      </c>
      <c r="V1260">
        <f t="shared" si="76"/>
        <v>0.37229284536210605</v>
      </c>
      <c r="W1260" s="1">
        <f t="shared" si="77"/>
        <v>14.7</v>
      </c>
      <c r="X1260">
        <f t="shared" si="78"/>
        <v>0.77881627599999992</v>
      </c>
      <c r="Y1260">
        <f t="shared" si="79"/>
        <v>60.8</v>
      </c>
      <c r="Z1260" s="1">
        <v>0</v>
      </c>
      <c r="AA1260">
        <v>100</v>
      </c>
      <c r="AB1260">
        <v>0</v>
      </c>
      <c r="AC1260">
        <v>0</v>
      </c>
      <c r="AD1260">
        <v>103</v>
      </c>
      <c r="AE1260">
        <v>0</v>
      </c>
      <c r="AF1260" t="s">
        <v>2589</v>
      </c>
      <c r="AG1260" t="s">
        <v>2590</v>
      </c>
    </row>
    <row r="1261" spans="1:33">
      <c r="A1261" s="2" t="s">
        <v>105</v>
      </c>
      <c r="B1261" s="2" t="s">
        <v>51</v>
      </c>
      <c r="C1261" s="1">
        <v>0.56210716000000005</v>
      </c>
      <c r="D1261">
        <v>0.68032504299999996</v>
      </c>
      <c r="E1261">
        <v>0.71115907899999997</v>
      </c>
      <c r="F1261" s="1" t="s">
        <v>106</v>
      </c>
      <c r="G1261" s="1">
        <v>1.0978593270000001</v>
      </c>
      <c r="H1261" s="1">
        <v>43.5</v>
      </c>
      <c r="I1261" s="1">
        <v>98.1</v>
      </c>
      <c r="J1261" s="1">
        <v>0.65119709399999992</v>
      </c>
      <c r="K1261" s="1">
        <v>0.60067161999999996</v>
      </c>
      <c r="L1261" s="1">
        <v>0.68094129999999997</v>
      </c>
      <c r="M1261" s="3">
        <v>0.73595931299999995</v>
      </c>
      <c r="N1261" s="1" t="s">
        <v>52</v>
      </c>
      <c r="O1261" s="1">
        <v>1.858638743</v>
      </c>
      <c r="P1261" s="1">
        <v>29.4</v>
      </c>
      <c r="Q1261" s="1">
        <v>38.200000000000003</v>
      </c>
      <c r="R1261" s="1">
        <v>0.67252407766666666</v>
      </c>
      <c r="S1261" s="1">
        <v>4.5854650301102473E-2</v>
      </c>
      <c r="T1261" t="s">
        <v>1408</v>
      </c>
      <c r="U1261" s="1">
        <v>32996</v>
      </c>
      <c r="V1261">
        <f t="shared" si="76"/>
        <v>0.50205125499242653</v>
      </c>
      <c r="W1261" s="1">
        <f t="shared" si="77"/>
        <v>14.100000000000001</v>
      </c>
      <c r="X1261">
        <f t="shared" si="78"/>
        <v>0.76077941599999988</v>
      </c>
      <c r="Y1261">
        <f t="shared" si="79"/>
        <v>59.899999999999991</v>
      </c>
      <c r="Z1261" s="1">
        <v>16</v>
      </c>
      <c r="AA1261">
        <v>84</v>
      </c>
      <c r="AB1261">
        <v>0.1905</v>
      </c>
      <c r="AC1261">
        <v>15</v>
      </c>
      <c r="AD1261">
        <v>97</v>
      </c>
      <c r="AE1261">
        <v>0.15459999999999999</v>
      </c>
      <c r="AF1261" t="s">
        <v>2589</v>
      </c>
      <c r="AG1261" t="s">
        <v>2591</v>
      </c>
    </row>
    <row r="1262" spans="1:33">
      <c r="A1262" s="2" t="s">
        <v>105</v>
      </c>
      <c r="B1262" s="2" t="s">
        <v>53</v>
      </c>
      <c r="C1262" s="1">
        <v>0.56210716000000005</v>
      </c>
      <c r="D1262">
        <v>0.68032504299999996</v>
      </c>
      <c r="E1262">
        <v>0.71115907899999997</v>
      </c>
      <c r="F1262" s="1" t="s">
        <v>106</v>
      </c>
      <c r="G1262" s="1">
        <v>1.0978593270000001</v>
      </c>
      <c r="H1262" s="1">
        <v>43.5</v>
      </c>
      <c r="I1262" s="1">
        <v>98.1</v>
      </c>
      <c r="J1262" s="1">
        <v>0.65119709399999992</v>
      </c>
      <c r="K1262" s="1">
        <v>0.54695832700000002</v>
      </c>
      <c r="L1262" s="1">
        <v>0.659790137</v>
      </c>
      <c r="M1262" s="3">
        <v>0.70662085500000005</v>
      </c>
      <c r="N1262" s="1" t="s">
        <v>54</v>
      </c>
      <c r="O1262" s="1">
        <v>2.5053995680000001</v>
      </c>
      <c r="P1262" s="1">
        <v>43.9</v>
      </c>
      <c r="Q1262" s="1">
        <v>46.3</v>
      </c>
      <c r="R1262" s="1">
        <v>0.63778977300000006</v>
      </c>
      <c r="S1262" s="1">
        <v>2.5918429403899067E-2</v>
      </c>
      <c r="T1262" t="s">
        <v>1409</v>
      </c>
      <c r="U1262" s="1">
        <v>23366</v>
      </c>
      <c r="V1262">
        <f t="shared" si="76"/>
        <v>0.48539826359527605</v>
      </c>
      <c r="W1262" s="1">
        <f t="shared" si="77"/>
        <v>0.39999999999999858</v>
      </c>
      <c r="X1262">
        <f t="shared" si="78"/>
        <v>1.407540241</v>
      </c>
      <c r="Y1262">
        <f t="shared" si="79"/>
        <v>51.8</v>
      </c>
      <c r="Z1262" s="1">
        <v>20</v>
      </c>
      <c r="AA1262">
        <v>80</v>
      </c>
      <c r="AB1262">
        <v>0.25</v>
      </c>
      <c r="AC1262">
        <v>22</v>
      </c>
      <c r="AD1262">
        <v>90</v>
      </c>
      <c r="AE1262">
        <v>0.24440000000000001</v>
      </c>
      <c r="AF1262" t="s">
        <v>2589</v>
      </c>
      <c r="AG1262" t="s">
        <v>2593</v>
      </c>
    </row>
    <row r="1263" spans="1:33">
      <c r="A1263" s="2" t="s">
        <v>105</v>
      </c>
      <c r="B1263" s="2" t="s">
        <v>55</v>
      </c>
      <c r="C1263" s="1">
        <v>0.56210716000000005</v>
      </c>
      <c r="D1263">
        <v>0.68032504299999996</v>
      </c>
      <c r="E1263">
        <v>0.71115907899999997</v>
      </c>
      <c r="F1263" s="1" t="s">
        <v>106</v>
      </c>
      <c r="G1263" s="1">
        <v>1.0978593270000001</v>
      </c>
      <c r="H1263" s="1">
        <v>43.5</v>
      </c>
      <c r="I1263" s="1">
        <v>98.1</v>
      </c>
      <c r="J1263" s="1">
        <v>0.65119709399999992</v>
      </c>
      <c r="K1263" s="1">
        <v>0.52971861799999997</v>
      </c>
      <c r="L1263" s="1">
        <v>0.62258244500000004</v>
      </c>
      <c r="M1263" s="3">
        <v>0.63939760400000001</v>
      </c>
      <c r="N1263" s="1" t="s">
        <v>56</v>
      </c>
      <c r="O1263" s="1">
        <v>1.0796934869999999</v>
      </c>
      <c r="P1263" s="1">
        <v>55.3</v>
      </c>
      <c r="Q1263" s="1">
        <v>130.5</v>
      </c>
      <c r="R1263" s="1">
        <v>0.59723288899999993</v>
      </c>
      <c r="S1263" s="1">
        <v>9.7636748055488734E-2</v>
      </c>
      <c r="T1263" t="s">
        <v>1410</v>
      </c>
      <c r="U1263" s="1">
        <v>4090</v>
      </c>
      <c r="V1263">
        <f t="shared" si="76"/>
        <v>0.40130258977859357</v>
      </c>
      <c r="W1263" s="1">
        <f t="shared" si="77"/>
        <v>11.799999999999997</v>
      </c>
      <c r="X1263">
        <f t="shared" si="78"/>
        <v>1.8165840000000211E-2</v>
      </c>
      <c r="Y1263">
        <f t="shared" si="79"/>
        <v>32.400000000000006</v>
      </c>
      <c r="Z1263" s="1">
        <v>0</v>
      </c>
      <c r="AA1263">
        <v>100</v>
      </c>
      <c r="AB1263">
        <v>0</v>
      </c>
      <c r="AC1263">
        <v>0</v>
      </c>
      <c r="AD1263">
        <v>104</v>
      </c>
      <c r="AE1263">
        <v>0</v>
      </c>
      <c r="AF1263" t="s">
        <v>2589</v>
      </c>
      <c r="AG1263" t="s">
        <v>2592</v>
      </c>
    </row>
    <row r="1264" spans="1:33">
      <c r="A1264" s="2" t="s">
        <v>105</v>
      </c>
      <c r="B1264" s="2" t="s">
        <v>57</v>
      </c>
      <c r="C1264" s="1">
        <v>0.56210716000000005</v>
      </c>
      <c r="D1264">
        <v>0.68032504299999996</v>
      </c>
      <c r="E1264">
        <v>0.71115907899999997</v>
      </c>
      <c r="F1264" s="1" t="s">
        <v>106</v>
      </c>
      <c r="G1264" s="1">
        <v>1.0978593270000001</v>
      </c>
      <c r="H1264" s="1">
        <v>43.5</v>
      </c>
      <c r="I1264" s="1">
        <v>98.1</v>
      </c>
      <c r="J1264" s="1">
        <v>0.65119709399999992</v>
      </c>
      <c r="K1264" s="1">
        <v>0.528732855</v>
      </c>
      <c r="L1264" s="1">
        <v>0.63387497599999998</v>
      </c>
      <c r="M1264" s="3">
        <v>0.63337360200000004</v>
      </c>
      <c r="N1264" s="1" t="s">
        <v>58</v>
      </c>
      <c r="O1264" s="1">
        <v>1.386610879</v>
      </c>
      <c r="P1264" s="1">
        <v>69</v>
      </c>
      <c r="Q1264" s="1">
        <v>119.5</v>
      </c>
      <c r="R1264" s="1">
        <v>0.59866047766666663</v>
      </c>
      <c r="S1264" s="1">
        <v>9.6550677836331297E-2</v>
      </c>
      <c r="T1264" t="s">
        <v>1411</v>
      </c>
      <c r="U1264" s="1">
        <v>11030</v>
      </c>
      <c r="V1264">
        <f t="shared" si="76"/>
        <v>0.44917505693779902</v>
      </c>
      <c r="W1264" s="1">
        <f t="shared" si="77"/>
        <v>25.5</v>
      </c>
      <c r="X1264">
        <f t="shared" si="78"/>
        <v>0.28875155199999991</v>
      </c>
      <c r="Y1264">
        <f t="shared" si="79"/>
        <v>21.400000000000006</v>
      </c>
      <c r="Z1264" s="1">
        <v>0</v>
      </c>
      <c r="AA1264">
        <v>100</v>
      </c>
      <c r="AB1264">
        <v>0</v>
      </c>
      <c r="AC1264">
        <v>0</v>
      </c>
      <c r="AD1264">
        <v>110</v>
      </c>
      <c r="AE1264">
        <v>0</v>
      </c>
      <c r="AF1264" t="s">
        <v>2589</v>
      </c>
      <c r="AG1264" t="s">
        <v>2589</v>
      </c>
    </row>
    <row r="1265" spans="1:33">
      <c r="A1265" s="2" t="s">
        <v>105</v>
      </c>
      <c r="B1265" s="2" t="s">
        <v>59</v>
      </c>
      <c r="C1265" s="1">
        <v>0.56210716000000005</v>
      </c>
      <c r="D1265">
        <v>0.68032504299999996</v>
      </c>
      <c r="E1265">
        <v>0.71115907899999997</v>
      </c>
      <c r="F1265" s="1" t="s">
        <v>106</v>
      </c>
      <c r="G1265" s="1">
        <v>1.0978593270000001</v>
      </c>
      <c r="H1265" s="1">
        <v>43.5</v>
      </c>
      <c r="I1265" s="1">
        <v>98.1</v>
      </c>
      <c r="J1265" s="1">
        <v>0.65119709399999992</v>
      </c>
      <c r="K1265" s="1">
        <v>0.56225432799999997</v>
      </c>
      <c r="L1265" s="1">
        <v>0.68100706499999997</v>
      </c>
      <c r="M1265" s="3">
        <v>0.67505263699999996</v>
      </c>
      <c r="N1265" s="1" t="s">
        <v>60</v>
      </c>
      <c r="O1265" s="1">
        <v>1.1501154730000001</v>
      </c>
      <c r="P1265" s="1">
        <v>60.5</v>
      </c>
      <c r="Q1265" s="1">
        <v>129.9</v>
      </c>
      <c r="R1265" s="1">
        <v>0.63943801</v>
      </c>
      <c r="S1265" s="1">
        <v>3.6113182722214796E-2</v>
      </c>
      <c r="T1265" t="s">
        <v>1412</v>
      </c>
      <c r="U1265" s="1">
        <v>17292</v>
      </c>
      <c r="V1265">
        <f t="shared" si="76"/>
        <v>0.47087169187351269</v>
      </c>
      <c r="W1265" s="1">
        <f t="shared" si="77"/>
        <v>17</v>
      </c>
      <c r="X1265">
        <f t="shared" si="78"/>
        <v>5.2256145999999948E-2</v>
      </c>
      <c r="Y1265">
        <f t="shared" si="79"/>
        <v>31.800000000000011</v>
      </c>
      <c r="Z1265" s="1">
        <v>0</v>
      </c>
      <c r="AA1265">
        <v>100</v>
      </c>
      <c r="AB1265">
        <v>0</v>
      </c>
      <c r="AC1265">
        <v>0</v>
      </c>
      <c r="AD1265">
        <v>129</v>
      </c>
      <c r="AE1265">
        <v>0</v>
      </c>
      <c r="AF1265" t="s">
        <v>2589</v>
      </c>
      <c r="AG1265" t="s">
        <v>2589</v>
      </c>
    </row>
    <row r="1266" spans="1:33">
      <c r="A1266" s="2" t="s">
        <v>105</v>
      </c>
      <c r="B1266" s="2" t="s">
        <v>61</v>
      </c>
      <c r="C1266" s="1">
        <v>0.56210716000000005</v>
      </c>
      <c r="D1266">
        <v>0.68032504299999996</v>
      </c>
      <c r="E1266">
        <v>0.71115907899999997</v>
      </c>
      <c r="F1266" s="1" t="s">
        <v>106</v>
      </c>
      <c r="G1266" s="1">
        <v>1.0978593270000001</v>
      </c>
      <c r="H1266" s="1">
        <v>43.5</v>
      </c>
      <c r="I1266" s="1">
        <v>98.1</v>
      </c>
      <c r="J1266" s="1">
        <v>0.65119709399999992</v>
      </c>
      <c r="K1266" s="1">
        <v>0.62063455999999995</v>
      </c>
      <c r="L1266" s="1">
        <v>0.67798104299999995</v>
      </c>
      <c r="M1266" s="3">
        <v>0.72175371600000005</v>
      </c>
      <c r="N1266" s="1" t="s">
        <v>62</v>
      </c>
      <c r="O1266" s="1">
        <v>7.5471698109999998</v>
      </c>
      <c r="P1266" s="1">
        <v>26.4</v>
      </c>
      <c r="Q1266" s="1">
        <v>10.6</v>
      </c>
      <c r="R1266" s="1">
        <v>0.6734564396666668</v>
      </c>
      <c r="S1266" s="1">
        <v>5.9524761401636532E-2</v>
      </c>
      <c r="T1266" t="s">
        <v>1413</v>
      </c>
      <c r="U1266" s="1">
        <v>1694</v>
      </c>
      <c r="V1266">
        <f t="shared" si="76"/>
        <v>0.358768156221632</v>
      </c>
      <c r="W1266" s="1">
        <f t="shared" si="77"/>
        <v>17.100000000000001</v>
      </c>
      <c r="X1266">
        <f t="shared" si="78"/>
        <v>6.4493104839999997</v>
      </c>
      <c r="Y1266">
        <f t="shared" si="79"/>
        <v>87.5</v>
      </c>
      <c r="Z1266" s="1">
        <v>0</v>
      </c>
      <c r="AA1266">
        <v>100</v>
      </c>
      <c r="AB1266">
        <v>0</v>
      </c>
      <c r="AC1266">
        <v>0</v>
      </c>
      <c r="AD1266">
        <v>104</v>
      </c>
      <c r="AE1266">
        <v>0</v>
      </c>
      <c r="AF1266" t="s">
        <v>2589</v>
      </c>
      <c r="AG1266" t="s">
        <v>2588</v>
      </c>
    </row>
    <row r="1267" spans="1:33">
      <c r="A1267" s="2" t="s">
        <v>105</v>
      </c>
      <c r="B1267" s="2" t="s">
        <v>63</v>
      </c>
      <c r="C1267" s="1">
        <v>0.56210716000000005</v>
      </c>
      <c r="D1267">
        <v>0.68032504299999996</v>
      </c>
      <c r="E1267">
        <v>0.71115907899999997</v>
      </c>
      <c r="F1267" s="1" t="s">
        <v>106</v>
      </c>
      <c r="G1267" s="1">
        <v>1.0978593270000001</v>
      </c>
      <c r="H1267" s="1">
        <v>43.5</v>
      </c>
      <c r="I1267" s="1">
        <v>98.1</v>
      </c>
      <c r="J1267" s="1">
        <v>0.65119709399999992</v>
      </c>
      <c r="K1267" s="1">
        <v>0.44311141399999998</v>
      </c>
      <c r="L1267" s="1">
        <v>0.57053969199999999</v>
      </c>
      <c r="M1267" s="3">
        <v>0.59266330599999995</v>
      </c>
      <c r="N1267" s="1" t="s">
        <v>64</v>
      </c>
      <c r="O1267" s="1">
        <v>0.89618138400000003</v>
      </c>
      <c r="P1267" s="1">
        <v>29.7</v>
      </c>
      <c r="Q1267" s="1">
        <v>83.8</v>
      </c>
      <c r="R1267" s="1">
        <v>0.53543813733333334</v>
      </c>
      <c r="S1267" s="1">
        <v>0.20063414235657215</v>
      </c>
      <c r="T1267" t="s">
        <v>1414</v>
      </c>
      <c r="U1267" s="1">
        <v>678</v>
      </c>
      <c r="V1267">
        <f t="shared" si="76"/>
        <v>0.31458107709634037</v>
      </c>
      <c r="W1267" s="1">
        <f t="shared" si="77"/>
        <v>13.8</v>
      </c>
      <c r="X1267">
        <f t="shared" si="78"/>
        <v>0.20167794300000008</v>
      </c>
      <c r="Y1267">
        <f t="shared" si="79"/>
        <v>14.299999999999997</v>
      </c>
      <c r="Z1267" s="1">
        <v>0</v>
      </c>
      <c r="AA1267">
        <v>100</v>
      </c>
      <c r="AB1267">
        <v>0</v>
      </c>
      <c r="AC1267">
        <v>1</v>
      </c>
      <c r="AD1267">
        <v>110</v>
      </c>
      <c r="AE1267">
        <v>9.1000000000000004E-3</v>
      </c>
      <c r="AF1267" t="s">
        <v>2589</v>
      </c>
      <c r="AG1267" t="s">
        <v>2590</v>
      </c>
    </row>
    <row r="1268" spans="1:33">
      <c r="A1268" s="2" t="s">
        <v>105</v>
      </c>
      <c r="B1268" s="2" t="s">
        <v>65</v>
      </c>
      <c r="C1268" s="1">
        <v>0.56210716000000005</v>
      </c>
      <c r="D1268">
        <v>0.68032504299999996</v>
      </c>
      <c r="E1268">
        <v>0.71115907899999997</v>
      </c>
      <c r="F1268" s="1" t="s">
        <v>106</v>
      </c>
      <c r="G1268" s="1">
        <v>1.0978593270000001</v>
      </c>
      <c r="H1268" s="1">
        <v>43.5</v>
      </c>
      <c r="I1268" s="1">
        <v>98.1</v>
      </c>
      <c r="J1268" s="1">
        <v>0.65119709399999992</v>
      </c>
      <c r="K1268" s="1">
        <v>0.67377447499999998</v>
      </c>
      <c r="L1268" s="1">
        <v>0.69144672900000004</v>
      </c>
      <c r="M1268" s="3">
        <v>0.73046409700000003</v>
      </c>
      <c r="N1268" s="1" t="s">
        <v>66</v>
      </c>
      <c r="O1268" s="1">
        <v>1.8507462690000001</v>
      </c>
      <c r="P1268" s="1">
        <v>34.5</v>
      </c>
      <c r="Q1268" s="1">
        <v>46.9</v>
      </c>
      <c r="R1268" s="1">
        <v>0.69856176700000006</v>
      </c>
      <c r="S1268" s="1">
        <v>0.11386819072406541</v>
      </c>
      <c r="T1268" t="s">
        <v>1415</v>
      </c>
      <c r="U1268" s="1">
        <v>5258</v>
      </c>
      <c r="V1268">
        <f t="shared" si="76"/>
        <v>0.41342450908559381</v>
      </c>
      <c r="W1268" s="1">
        <f t="shared" si="77"/>
        <v>9</v>
      </c>
      <c r="X1268">
        <f t="shared" si="78"/>
        <v>0.75288694199999995</v>
      </c>
      <c r="Y1268">
        <f t="shared" si="79"/>
        <v>51.199999999999996</v>
      </c>
      <c r="Z1268" s="1">
        <v>4</v>
      </c>
      <c r="AA1268">
        <v>96</v>
      </c>
      <c r="AB1268">
        <v>4.1700000000000001E-2</v>
      </c>
      <c r="AC1268">
        <v>2</v>
      </c>
      <c r="AD1268">
        <v>91</v>
      </c>
      <c r="AE1268">
        <v>2.1999999999999999E-2</v>
      </c>
      <c r="AF1268" t="s">
        <v>2589</v>
      </c>
      <c r="AG1268" t="s">
        <v>2593</v>
      </c>
    </row>
    <row r="1269" spans="1:33">
      <c r="A1269" s="2" t="s">
        <v>105</v>
      </c>
      <c r="B1269" s="2" t="s">
        <v>67</v>
      </c>
      <c r="C1269" s="1">
        <v>0.56210716000000005</v>
      </c>
      <c r="D1269">
        <v>0.68032504299999996</v>
      </c>
      <c r="E1269">
        <v>0.71115907899999997</v>
      </c>
      <c r="F1269" s="1" t="s">
        <v>106</v>
      </c>
      <c r="G1269" s="1">
        <v>1.0978593270000001</v>
      </c>
      <c r="H1269" s="1">
        <v>43.5</v>
      </c>
      <c r="I1269" s="1">
        <v>98.1</v>
      </c>
      <c r="J1269" s="1">
        <v>0.65119709399999992</v>
      </c>
      <c r="K1269" s="1">
        <v>0.53971122199999999</v>
      </c>
      <c r="L1269" s="1">
        <v>0.621203065</v>
      </c>
      <c r="M1269" s="3">
        <v>0.67806811499999997</v>
      </c>
      <c r="N1269" s="1" t="s">
        <v>68</v>
      </c>
      <c r="O1269" s="1">
        <v>1.5131894480000001</v>
      </c>
      <c r="P1269" s="1">
        <v>27.2</v>
      </c>
      <c r="Q1269" s="1">
        <v>41.7</v>
      </c>
      <c r="R1269" s="1">
        <v>0.61299413400000002</v>
      </c>
      <c r="S1269" s="1">
        <v>7.1358238627236462E-2</v>
      </c>
      <c r="T1269" t="s">
        <v>1416</v>
      </c>
      <c r="U1269" s="1">
        <v>45748</v>
      </c>
      <c r="V1269">
        <f t="shared" si="76"/>
        <v>0.51781912360403881</v>
      </c>
      <c r="W1269" s="1">
        <f t="shared" si="77"/>
        <v>16.3</v>
      </c>
      <c r="X1269">
        <f t="shared" si="78"/>
        <v>0.415330121</v>
      </c>
      <c r="Y1269">
        <f t="shared" si="79"/>
        <v>56.399999999999991</v>
      </c>
      <c r="Z1269" s="1">
        <v>0</v>
      </c>
      <c r="AA1269">
        <v>100</v>
      </c>
      <c r="AB1269">
        <v>0</v>
      </c>
      <c r="AC1269">
        <v>1</v>
      </c>
      <c r="AD1269">
        <v>103</v>
      </c>
      <c r="AE1269">
        <v>9.7000000000000003E-3</v>
      </c>
      <c r="AF1269" t="s">
        <v>2589</v>
      </c>
      <c r="AG1269" t="s">
        <v>2588</v>
      </c>
    </row>
    <row r="1270" spans="1:33">
      <c r="A1270" s="2" t="s">
        <v>105</v>
      </c>
      <c r="B1270" s="2" t="s">
        <v>69</v>
      </c>
      <c r="C1270" s="1">
        <v>0.56210716000000005</v>
      </c>
      <c r="D1270">
        <v>0.68032504299999996</v>
      </c>
      <c r="E1270">
        <v>0.71115907899999997</v>
      </c>
      <c r="F1270" s="1" t="s">
        <v>106</v>
      </c>
      <c r="G1270" s="1">
        <v>1.0978593270000001</v>
      </c>
      <c r="H1270" s="1">
        <v>43.5</v>
      </c>
      <c r="I1270" s="1">
        <v>98.1</v>
      </c>
      <c r="J1270" s="1">
        <v>0.65119709399999992</v>
      </c>
      <c r="K1270" s="1">
        <v>0.50188385300000005</v>
      </c>
      <c r="L1270" s="1">
        <v>0.64580031500000001</v>
      </c>
      <c r="M1270" s="3">
        <v>0.66006355800000005</v>
      </c>
      <c r="N1270" s="1" t="s">
        <v>70</v>
      </c>
      <c r="O1270" s="1">
        <v>1.2401055409999999</v>
      </c>
      <c r="P1270" s="1">
        <v>43.4</v>
      </c>
      <c r="Q1270" s="1">
        <v>75.8</v>
      </c>
      <c r="R1270" s="1">
        <v>0.60258257533333337</v>
      </c>
      <c r="S1270" s="1">
        <v>8.6194871168484621E-2</v>
      </c>
      <c r="T1270" t="s">
        <v>1417</v>
      </c>
      <c r="U1270" s="1">
        <v>9729</v>
      </c>
      <c r="V1270">
        <f t="shared" si="76"/>
        <v>0.44311868926584835</v>
      </c>
      <c r="W1270" s="1">
        <f t="shared" si="77"/>
        <v>0.10000000000000142</v>
      </c>
      <c r="X1270">
        <f t="shared" si="78"/>
        <v>0.14224621399999982</v>
      </c>
      <c r="Y1270">
        <f t="shared" si="79"/>
        <v>22.299999999999997</v>
      </c>
      <c r="Z1270" s="1">
        <v>0</v>
      </c>
      <c r="AA1270">
        <v>100</v>
      </c>
      <c r="AB1270">
        <v>0</v>
      </c>
      <c r="AC1270">
        <v>0</v>
      </c>
      <c r="AD1270">
        <v>111</v>
      </c>
      <c r="AE1270">
        <v>0</v>
      </c>
      <c r="AF1270" t="s">
        <v>2589</v>
      </c>
      <c r="AG1270" t="s">
        <v>2589</v>
      </c>
    </row>
    <row r="1271" spans="1:33">
      <c r="A1271" s="2" t="s">
        <v>105</v>
      </c>
      <c r="B1271" s="2" t="s">
        <v>71</v>
      </c>
      <c r="C1271" s="1">
        <v>0.56210716000000005</v>
      </c>
      <c r="D1271">
        <v>0.68032504299999996</v>
      </c>
      <c r="E1271">
        <v>0.71115907899999997</v>
      </c>
      <c r="F1271" s="1" t="s">
        <v>106</v>
      </c>
      <c r="G1271" s="1">
        <v>1.0978593270000001</v>
      </c>
      <c r="H1271" s="1">
        <v>43.5</v>
      </c>
      <c r="I1271" s="1">
        <v>98.1</v>
      </c>
      <c r="J1271" s="1">
        <v>0.65119709399999992</v>
      </c>
      <c r="K1271" s="1">
        <v>0.53267569100000001</v>
      </c>
      <c r="L1271" s="1">
        <v>0.64507433599999997</v>
      </c>
      <c r="M1271" s="3">
        <v>0.66598465100000004</v>
      </c>
      <c r="N1271" s="1" t="s">
        <v>72</v>
      </c>
      <c r="O1271" s="1">
        <v>0.97289666900000005</v>
      </c>
      <c r="P1271" s="1">
        <v>64.8</v>
      </c>
      <c r="Q1271" s="1">
        <v>177.1</v>
      </c>
      <c r="R1271" s="1">
        <v>0.61457822600000001</v>
      </c>
      <c r="S1271" s="1">
        <v>6.4417021482097339E-2</v>
      </c>
      <c r="T1271" t="s">
        <v>1418</v>
      </c>
      <c r="U1271" s="1">
        <v>28983</v>
      </c>
      <c r="V1271">
        <f t="shared" si="76"/>
        <v>0.49579370409213308</v>
      </c>
      <c r="W1271" s="1">
        <f t="shared" si="77"/>
        <v>21.299999999999997</v>
      </c>
      <c r="X1271">
        <f t="shared" si="78"/>
        <v>0.12496265800000006</v>
      </c>
      <c r="Y1271">
        <f t="shared" si="79"/>
        <v>79</v>
      </c>
      <c r="Z1271" s="1">
        <v>3</v>
      </c>
      <c r="AA1271">
        <v>97</v>
      </c>
      <c r="AB1271">
        <v>3.09E-2</v>
      </c>
      <c r="AC1271">
        <v>4</v>
      </c>
      <c r="AD1271">
        <v>118</v>
      </c>
      <c r="AE1271">
        <v>3.39E-2</v>
      </c>
      <c r="AF1271" t="s">
        <v>2589</v>
      </c>
      <c r="AG1271" t="s">
        <v>2589</v>
      </c>
    </row>
    <row r="1272" spans="1:33">
      <c r="A1272" s="2" t="s">
        <v>105</v>
      </c>
      <c r="B1272" s="2" t="s">
        <v>73</v>
      </c>
      <c r="C1272" s="1">
        <v>0.56210716000000005</v>
      </c>
      <c r="D1272">
        <v>0.68032504299999996</v>
      </c>
      <c r="E1272">
        <v>0.71115907899999997</v>
      </c>
      <c r="F1272" s="1" t="s">
        <v>106</v>
      </c>
      <c r="G1272" s="1">
        <v>1.0978593270000001</v>
      </c>
      <c r="H1272" s="1">
        <v>43.5</v>
      </c>
      <c r="I1272" s="1">
        <v>98.1</v>
      </c>
      <c r="J1272" s="1">
        <v>0.65119709399999992</v>
      </c>
      <c r="K1272" s="1">
        <v>0.55697925299999995</v>
      </c>
      <c r="L1272" s="1">
        <v>0.64461978399999997</v>
      </c>
      <c r="M1272" s="3">
        <v>0.69570690000000002</v>
      </c>
      <c r="N1272" s="1" t="s">
        <v>74</v>
      </c>
      <c r="O1272" s="1">
        <v>1.23433584</v>
      </c>
      <c r="P1272" s="1">
        <v>44</v>
      </c>
      <c r="Q1272" s="1">
        <v>79.8</v>
      </c>
      <c r="R1272" s="1">
        <v>0.63243531233333328</v>
      </c>
      <c r="S1272" s="1">
        <v>3.9241951866666493E-2</v>
      </c>
      <c r="T1272" t="s">
        <v>1419</v>
      </c>
      <c r="U1272" s="1">
        <v>9611</v>
      </c>
      <c r="V1272">
        <f t="shared" si="76"/>
        <v>0.44252984191677913</v>
      </c>
      <c r="W1272" s="1">
        <f t="shared" si="77"/>
        <v>0.5</v>
      </c>
      <c r="X1272">
        <f t="shared" si="78"/>
        <v>0.13647651299999985</v>
      </c>
      <c r="Y1272">
        <f t="shared" si="79"/>
        <v>18.299999999999997</v>
      </c>
      <c r="Z1272" s="1">
        <v>0</v>
      </c>
      <c r="AA1272">
        <v>100</v>
      </c>
      <c r="AB1272">
        <v>0</v>
      </c>
      <c r="AC1272">
        <v>0</v>
      </c>
      <c r="AD1272">
        <v>107</v>
      </c>
      <c r="AE1272">
        <v>0</v>
      </c>
      <c r="AF1272" t="s">
        <v>2589</v>
      </c>
      <c r="AG1272" t="s">
        <v>2589</v>
      </c>
    </row>
    <row r="1273" spans="1:33">
      <c r="A1273" s="2" t="s">
        <v>105</v>
      </c>
      <c r="B1273" s="2" t="s">
        <v>75</v>
      </c>
      <c r="C1273" s="1">
        <v>0.56210716000000005</v>
      </c>
      <c r="D1273">
        <v>0.68032504299999996</v>
      </c>
      <c r="E1273">
        <v>0.71115907899999997</v>
      </c>
      <c r="F1273" s="1" t="s">
        <v>106</v>
      </c>
      <c r="G1273" s="1">
        <v>1.0978593270000001</v>
      </c>
      <c r="H1273" s="1">
        <v>43.5</v>
      </c>
      <c r="I1273" s="1">
        <v>98.1</v>
      </c>
      <c r="J1273" s="1">
        <v>0.65119709399999992</v>
      </c>
      <c r="K1273" s="1">
        <v>0.50354843500000002</v>
      </c>
      <c r="L1273" s="1">
        <v>0.59724402499999996</v>
      </c>
      <c r="M1273" s="3">
        <v>0.70308254199999998</v>
      </c>
      <c r="N1273" s="1" t="s">
        <v>76</v>
      </c>
      <c r="O1273" s="1">
        <v>1.2696850390000001</v>
      </c>
      <c r="P1273" s="1">
        <v>26.6</v>
      </c>
      <c r="Q1273" s="1">
        <v>50.8</v>
      </c>
      <c r="R1273" s="1">
        <v>0.60129166733333339</v>
      </c>
      <c r="S1273" s="1">
        <v>0.10196475016129017</v>
      </c>
      <c r="T1273" t="s">
        <v>1420</v>
      </c>
      <c r="U1273" s="1">
        <v>3238</v>
      </c>
      <c r="V1273">
        <f t="shared" si="76"/>
        <v>0.3900307604908172</v>
      </c>
      <c r="W1273" s="1">
        <f t="shared" si="77"/>
        <v>16.899999999999999</v>
      </c>
      <c r="X1273">
        <f t="shared" si="78"/>
        <v>0.17182571199999996</v>
      </c>
      <c r="Y1273">
        <f t="shared" si="79"/>
        <v>47.3</v>
      </c>
      <c r="Z1273" s="1">
        <v>0</v>
      </c>
      <c r="AA1273">
        <v>100</v>
      </c>
      <c r="AB1273">
        <v>0</v>
      </c>
      <c r="AC1273">
        <v>0</v>
      </c>
      <c r="AD1273">
        <v>107</v>
      </c>
      <c r="AE1273">
        <v>0</v>
      </c>
      <c r="AF1273" t="s">
        <v>2589</v>
      </c>
      <c r="AG1273" t="s">
        <v>2594</v>
      </c>
    </row>
    <row r="1274" spans="1:33">
      <c r="A1274" s="2" t="s">
        <v>105</v>
      </c>
      <c r="B1274" s="2" t="s">
        <v>77</v>
      </c>
      <c r="C1274" s="1">
        <v>0.56210716000000005</v>
      </c>
      <c r="D1274">
        <v>0.68032504299999996</v>
      </c>
      <c r="E1274">
        <v>0.71115907899999997</v>
      </c>
      <c r="F1274" s="1" t="s">
        <v>106</v>
      </c>
      <c r="G1274" s="1">
        <v>1.0978593270000001</v>
      </c>
      <c r="H1274" s="1">
        <v>43.5</v>
      </c>
      <c r="I1274" s="1">
        <v>98.1</v>
      </c>
      <c r="J1274" s="1">
        <v>0.65119709399999992</v>
      </c>
      <c r="K1274" s="1">
        <v>0.54630843299999998</v>
      </c>
      <c r="L1274" s="1">
        <v>0.68935555900000001</v>
      </c>
      <c r="M1274" s="3">
        <v>0.65478744899999997</v>
      </c>
      <c r="N1274" s="1" t="s">
        <v>78</v>
      </c>
      <c r="O1274" s="1">
        <v>1.3914285710000001</v>
      </c>
      <c r="P1274" s="1">
        <v>56.5</v>
      </c>
      <c r="Q1274" s="1">
        <v>105</v>
      </c>
      <c r="R1274" s="1">
        <v>0.63015048033333343</v>
      </c>
      <c r="S1274" s="1">
        <v>5.9236058806302165E-2</v>
      </c>
      <c r="T1274" t="s">
        <v>1421</v>
      </c>
      <c r="U1274" s="1">
        <v>1867</v>
      </c>
      <c r="V1274">
        <f t="shared" si="76"/>
        <v>0.36346047977211982</v>
      </c>
      <c r="W1274" s="1">
        <f t="shared" si="77"/>
        <v>13</v>
      </c>
      <c r="X1274">
        <f t="shared" si="78"/>
        <v>0.29356924399999995</v>
      </c>
      <c r="Y1274">
        <f t="shared" si="79"/>
        <v>6.9000000000000057</v>
      </c>
      <c r="Z1274" s="1">
        <v>0</v>
      </c>
      <c r="AA1274">
        <v>100</v>
      </c>
      <c r="AB1274">
        <v>0</v>
      </c>
      <c r="AC1274">
        <v>0</v>
      </c>
      <c r="AD1274">
        <v>96</v>
      </c>
      <c r="AE1274">
        <v>0</v>
      </c>
      <c r="AF1274" t="s">
        <v>2589</v>
      </c>
      <c r="AG1274" t="s">
        <v>2590</v>
      </c>
    </row>
    <row r="1275" spans="1:33">
      <c r="A1275" s="2" t="s">
        <v>105</v>
      </c>
      <c r="B1275" s="2" t="s">
        <v>79</v>
      </c>
      <c r="C1275" s="1">
        <v>0.56210716000000005</v>
      </c>
      <c r="D1275">
        <v>0.68032504299999996</v>
      </c>
      <c r="E1275">
        <v>0.71115907899999997</v>
      </c>
      <c r="F1275" s="1" t="s">
        <v>106</v>
      </c>
      <c r="G1275" s="1">
        <v>1.0978593270000001</v>
      </c>
      <c r="H1275" s="1">
        <v>43.5</v>
      </c>
      <c r="I1275" s="1">
        <v>98.1</v>
      </c>
      <c r="J1275" s="1">
        <v>0.65119709399999992</v>
      </c>
      <c r="K1275" s="1">
        <v>0.63652882899999996</v>
      </c>
      <c r="L1275" s="1">
        <v>0.77536518600000004</v>
      </c>
      <c r="M1275" s="3">
        <v>0.610415606</v>
      </c>
      <c r="N1275" s="1" t="s">
        <v>80</v>
      </c>
      <c r="O1275" s="1">
        <v>0.95325542600000002</v>
      </c>
      <c r="P1275" s="1">
        <v>45.6</v>
      </c>
      <c r="Q1275" s="1">
        <v>119.8</v>
      </c>
      <c r="R1275" s="1">
        <v>0.67410320700000004</v>
      </c>
      <c r="S1275" s="1">
        <v>0.15722741793436582</v>
      </c>
      <c r="T1275" t="s">
        <v>1422</v>
      </c>
      <c r="U1275" s="1">
        <v>2405</v>
      </c>
      <c r="V1275">
        <f t="shared" si="76"/>
        <v>0.37567945341220566</v>
      </c>
      <c r="W1275" s="1">
        <f t="shared" si="77"/>
        <v>2.1000000000000014</v>
      </c>
      <c r="X1275">
        <f t="shared" si="78"/>
        <v>0.14460390100000009</v>
      </c>
      <c r="Y1275">
        <f t="shared" si="79"/>
        <v>21.700000000000003</v>
      </c>
      <c r="Z1275" s="1">
        <v>0</v>
      </c>
      <c r="AA1275">
        <v>100</v>
      </c>
      <c r="AB1275">
        <v>0</v>
      </c>
      <c r="AC1275">
        <v>0</v>
      </c>
      <c r="AD1275">
        <v>87</v>
      </c>
      <c r="AE1275">
        <v>0</v>
      </c>
      <c r="AF1275" t="s">
        <v>2589</v>
      </c>
      <c r="AG1275" t="s">
        <v>2590</v>
      </c>
    </row>
    <row r="1276" spans="1:33">
      <c r="A1276" s="2" t="s">
        <v>105</v>
      </c>
      <c r="B1276" s="2" t="s">
        <v>81</v>
      </c>
      <c r="C1276" s="1">
        <v>0.56210716000000005</v>
      </c>
      <c r="D1276">
        <v>0.68032504299999996</v>
      </c>
      <c r="E1276">
        <v>0.71115907899999997</v>
      </c>
      <c r="F1276" s="1" t="s">
        <v>106</v>
      </c>
      <c r="G1276" s="1">
        <v>1.0978593270000001</v>
      </c>
      <c r="H1276" s="1">
        <v>43.5</v>
      </c>
      <c r="I1276" s="1">
        <v>98.1</v>
      </c>
      <c r="J1276" s="1">
        <v>0.65119709399999992</v>
      </c>
      <c r="K1276" s="1">
        <v>0.50183280699999999</v>
      </c>
      <c r="L1276" s="1">
        <v>0.68550824600000004</v>
      </c>
      <c r="M1276" s="3">
        <v>0.66941488999999998</v>
      </c>
      <c r="N1276" s="1" t="s">
        <v>82</v>
      </c>
      <c r="O1276" s="1">
        <v>1.4359576970000001</v>
      </c>
      <c r="P1276" s="1">
        <v>51</v>
      </c>
      <c r="Q1276" s="1">
        <v>85.1</v>
      </c>
      <c r="R1276" s="1">
        <v>0.61891864766666671</v>
      </c>
      <c r="S1276" s="1">
        <v>7.3501296166636032E-2</v>
      </c>
      <c r="T1276" t="s">
        <v>1423</v>
      </c>
      <c r="U1276" s="1">
        <v>22707</v>
      </c>
      <c r="V1276">
        <f t="shared" si="76"/>
        <v>0.48401775110632211</v>
      </c>
      <c r="W1276" s="1">
        <f t="shared" si="77"/>
        <v>7.5</v>
      </c>
      <c r="X1276">
        <f t="shared" si="78"/>
        <v>0.33809836999999998</v>
      </c>
      <c r="Y1276">
        <f t="shared" si="79"/>
        <v>13</v>
      </c>
      <c r="Z1276" s="1">
        <v>3</v>
      </c>
      <c r="AA1276">
        <v>97</v>
      </c>
      <c r="AB1276">
        <v>3.09E-2</v>
      </c>
      <c r="AC1276">
        <v>3</v>
      </c>
      <c r="AD1276">
        <v>95</v>
      </c>
      <c r="AE1276">
        <v>3.1600000000000003E-2</v>
      </c>
      <c r="AF1276" t="s">
        <v>2589</v>
      </c>
      <c r="AG1276" t="s">
        <v>2589</v>
      </c>
    </row>
    <row r="1277" spans="1:33">
      <c r="A1277" s="2" t="s">
        <v>105</v>
      </c>
      <c r="B1277" s="2" t="s">
        <v>83</v>
      </c>
      <c r="C1277" s="1">
        <v>0.56210716000000005</v>
      </c>
      <c r="D1277">
        <v>0.68032504299999996</v>
      </c>
      <c r="E1277">
        <v>0.71115907899999997</v>
      </c>
      <c r="F1277" s="1" t="s">
        <v>106</v>
      </c>
      <c r="G1277" s="1">
        <v>1.0978593270000001</v>
      </c>
      <c r="H1277" s="1">
        <v>43.5</v>
      </c>
      <c r="I1277" s="1">
        <v>98.1</v>
      </c>
      <c r="J1277" s="1">
        <v>0.65119709399999992</v>
      </c>
      <c r="K1277" s="1">
        <v>0.51815179099999997</v>
      </c>
      <c r="L1277" s="1">
        <v>0.50115949400000004</v>
      </c>
      <c r="M1277" s="3">
        <v>0.68053170600000001</v>
      </c>
      <c r="N1277" s="1" t="s">
        <v>84</v>
      </c>
      <c r="O1277" s="1">
        <v>1.760323887</v>
      </c>
      <c r="P1277" s="1">
        <v>83.4</v>
      </c>
      <c r="Q1277" s="1">
        <v>123.5</v>
      </c>
      <c r="R1277" s="1">
        <v>0.56661433033333342</v>
      </c>
      <c r="S1277" s="1">
        <v>0.18700375501384636</v>
      </c>
      <c r="T1277" t="s">
        <v>1424</v>
      </c>
      <c r="U1277" s="1">
        <v>26252</v>
      </c>
      <c r="V1277">
        <f t="shared" si="76"/>
        <v>0.49101804395387622</v>
      </c>
      <c r="W1277" s="1">
        <f t="shared" si="77"/>
        <v>39.900000000000006</v>
      </c>
      <c r="X1277">
        <f t="shared" si="78"/>
        <v>0.66246455999999987</v>
      </c>
      <c r="Y1277">
        <f t="shared" si="79"/>
        <v>25.400000000000006</v>
      </c>
      <c r="Z1277" s="1">
        <v>0</v>
      </c>
      <c r="AA1277">
        <v>100</v>
      </c>
      <c r="AB1277">
        <v>0</v>
      </c>
      <c r="AC1277">
        <v>0</v>
      </c>
      <c r="AD1277">
        <v>93</v>
      </c>
      <c r="AE1277">
        <v>0</v>
      </c>
      <c r="AF1277" t="s">
        <v>2589</v>
      </c>
      <c r="AG1277" t="s">
        <v>2589</v>
      </c>
    </row>
    <row r="1278" spans="1:33">
      <c r="A1278" s="2" t="s">
        <v>105</v>
      </c>
      <c r="B1278" s="2" t="s">
        <v>85</v>
      </c>
      <c r="C1278" s="1">
        <v>0.56210716000000005</v>
      </c>
      <c r="D1278">
        <v>0.68032504299999996</v>
      </c>
      <c r="E1278">
        <v>0.71115907899999997</v>
      </c>
      <c r="F1278" s="1" t="s">
        <v>106</v>
      </c>
      <c r="G1278" s="1">
        <v>1.0978593270000001</v>
      </c>
      <c r="H1278" s="1">
        <v>43.5</v>
      </c>
      <c r="I1278" s="1">
        <v>98.1</v>
      </c>
      <c r="J1278" s="1">
        <v>0.65119709399999992</v>
      </c>
      <c r="K1278" s="1">
        <v>0.522280945</v>
      </c>
      <c r="L1278" s="1">
        <v>0.58016629799999997</v>
      </c>
      <c r="M1278" s="3">
        <v>0.62446713499999995</v>
      </c>
      <c r="N1278" s="1" t="s">
        <v>86</v>
      </c>
      <c r="O1278" s="1">
        <v>0.57177615599999998</v>
      </c>
      <c r="P1278" s="1">
        <v>19.5</v>
      </c>
      <c r="Q1278" s="1">
        <v>82.2</v>
      </c>
      <c r="R1278" s="1">
        <v>0.57563812599999997</v>
      </c>
      <c r="S1278" s="1">
        <v>0.138323514832802</v>
      </c>
      <c r="T1278" t="s">
        <v>1425</v>
      </c>
      <c r="U1278" s="1">
        <v>383</v>
      </c>
      <c r="V1278">
        <f t="shared" si="76"/>
        <v>0.28702208599651363</v>
      </c>
      <c r="W1278" s="1">
        <f t="shared" si="77"/>
        <v>24</v>
      </c>
      <c r="X1278">
        <f t="shared" si="78"/>
        <v>0.52608317100000013</v>
      </c>
      <c r="Y1278">
        <f t="shared" si="79"/>
        <v>15.899999999999991</v>
      </c>
      <c r="Z1278" s="1">
        <v>0</v>
      </c>
      <c r="AA1278">
        <v>100</v>
      </c>
      <c r="AB1278">
        <v>0</v>
      </c>
      <c r="AC1278">
        <v>0</v>
      </c>
      <c r="AD1278">
        <v>158</v>
      </c>
      <c r="AE1278">
        <v>0</v>
      </c>
      <c r="AF1278" t="s">
        <v>2589</v>
      </c>
      <c r="AG1278" t="s">
        <v>2590</v>
      </c>
    </row>
    <row r="1279" spans="1:33">
      <c r="A1279" s="2" t="s">
        <v>105</v>
      </c>
      <c r="B1279" s="2" t="s">
        <v>87</v>
      </c>
      <c r="C1279" s="1">
        <v>0.56210716000000005</v>
      </c>
      <c r="D1279">
        <v>0.68032504299999996</v>
      </c>
      <c r="E1279">
        <v>0.71115907899999997</v>
      </c>
      <c r="F1279" s="1" t="s">
        <v>106</v>
      </c>
      <c r="G1279" s="1">
        <v>1.0978593270000001</v>
      </c>
      <c r="H1279" s="1">
        <v>43.5</v>
      </c>
      <c r="I1279" s="1">
        <v>98.1</v>
      </c>
      <c r="J1279" s="1">
        <v>0.65119709399999992</v>
      </c>
      <c r="K1279" s="1">
        <v>0.46780425199999998</v>
      </c>
      <c r="L1279" s="1">
        <v>0.54149707400000002</v>
      </c>
      <c r="M1279" s="3">
        <v>0.61626236400000001</v>
      </c>
      <c r="N1279" s="1" t="s">
        <v>88</v>
      </c>
      <c r="O1279" s="1">
        <v>1.395454545</v>
      </c>
      <c r="P1279" s="1">
        <v>65.2</v>
      </c>
      <c r="Q1279" s="1">
        <v>110</v>
      </c>
      <c r="R1279" s="1">
        <v>0.54185456333333337</v>
      </c>
      <c r="S1279" s="1">
        <v>0.19279945526819478</v>
      </c>
      <c r="T1279" t="s">
        <v>1426</v>
      </c>
      <c r="U1279" s="1">
        <v>6687</v>
      </c>
      <c r="V1279">
        <f t="shared" si="76"/>
        <v>0.42502570257776667</v>
      </c>
      <c r="W1279" s="1">
        <f t="shared" si="77"/>
        <v>21.700000000000003</v>
      </c>
      <c r="X1279">
        <f t="shared" si="78"/>
        <v>0.29759521799999988</v>
      </c>
      <c r="Y1279">
        <f t="shared" si="79"/>
        <v>11.900000000000006</v>
      </c>
      <c r="Z1279" s="1">
        <v>0</v>
      </c>
      <c r="AA1279">
        <v>100</v>
      </c>
      <c r="AB1279">
        <v>0</v>
      </c>
      <c r="AC1279">
        <v>0</v>
      </c>
      <c r="AD1279">
        <v>91</v>
      </c>
      <c r="AE1279">
        <v>0</v>
      </c>
      <c r="AF1279" t="s">
        <v>2589</v>
      </c>
      <c r="AG1279" t="s">
        <v>2590</v>
      </c>
    </row>
    <row r="1280" spans="1:33">
      <c r="A1280" s="2" t="s">
        <v>105</v>
      </c>
      <c r="B1280" s="2" t="s">
        <v>89</v>
      </c>
      <c r="C1280" s="1">
        <v>0.56210716000000005</v>
      </c>
      <c r="D1280">
        <v>0.68032504299999996</v>
      </c>
      <c r="E1280">
        <v>0.71115907899999997</v>
      </c>
      <c r="F1280" s="1" t="s">
        <v>106</v>
      </c>
      <c r="G1280" s="1">
        <v>1.0978593270000001</v>
      </c>
      <c r="H1280" s="1">
        <v>43.5</v>
      </c>
      <c r="I1280" s="1">
        <v>98.1</v>
      </c>
      <c r="J1280" s="1">
        <v>0.65119709399999992</v>
      </c>
      <c r="K1280" s="1">
        <v>0.51097051500000001</v>
      </c>
      <c r="L1280" s="1">
        <v>0.61917891400000002</v>
      </c>
      <c r="M1280" s="3">
        <v>0.60984479800000002</v>
      </c>
      <c r="N1280" s="1" t="s">
        <v>90</v>
      </c>
      <c r="O1280" s="1">
        <v>1.429752066</v>
      </c>
      <c r="P1280" s="1">
        <v>59.8</v>
      </c>
      <c r="Q1280" s="1">
        <v>108.9</v>
      </c>
      <c r="R1280" s="1">
        <v>0.57999807566666661</v>
      </c>
      <c r="S1280" s="1">
        <v>0.12891233101642222</v>
      </c>
      <c r="T1280" t="s">
        <v>1427</v>
      </c>
      <c r="U1280" s="1">
        <v>20648</v>
      </c>
      <c r="V1280">
        <f t="shared" si="76"/>
        <v>0.47943088794842365</v>
      </c>
      <c r="W1280" s="1">
        <f t="shared" si="77"/>
        <v>16.299999999999997</v>
      </c>
      <c r="X1280">
        <f t="shared" si="78"/>
        <v>0.33189273899999994</v>
      </c>
      <c r="Y1280">
        <f t="shared" si="79"/>
        <v>10.800000000000011</v>
      </c>
      <c r="Z1280" s="1">
        <v>0</v>
      </c>
      <c r="AA1280">
        <v>100</v>
      </c>
      <c r="AB1280">
        <v>0</v>
      </c>
      <c r="AC1280">
        <v>1</v>
      </c>
      <c r="AD1280">
        <v>99</v>
      </c>
      <c r="AE1280">
        <v>1.01E-2</v>
      </c>
      <c r="AF1280" t="s">
        <v>2589</v>
      </c>
      <c r="AG1280" t="s">
        <v>2589</v>
      </c>
    </row>
    <row r="1281" spans="1:33">
      <c r="A1281" s="2" t="s">
        <v>105</v>
      </c>
      <c r="B1281" s="2" t="s">
        <v>91</v>
      </c>
      <c r="C1281" s="1">
        <v>0.56210716000000005</v>
      </c>
      <c r="D1281">
        <v>0.68032504299999996</v>
      </c>
      <c r="E1281">
        <v>0.71115907899999997</v>
      </c>
      <c r="F1281" s="1" t="s">
        <v>106</v>
      </c>
      <c r="G1281" s="1">
        <v>1.0978593270000001</v>
      </c>
      <c r="H1281" s="1">
        <v>43.5</v>
      </c>
      <c r="I1281" s="1">
        <v>98.1</v>
      </c>
      <c r="J1281" s="1">
        <v>0.65119709399999992</v>
      </c>
      <c r="K1281" s="1">
        <v>0.37439919700000002</v>
      </c>
      <c r="L1281" s="1">
        <v>0.508839347</v>
      </c>
      <c r="M1281" s="3">
        <v>0.52701193599999996</v>
      </c>
      <c r="N1281" s="1" t="s">
        <v>92</v>
      </c>
      <c r="O1281" s="1">
        <v>1.911504425</v>
      </c>
      <c r="P1281" s="1">
        <v>24.6</v>
      </c>
      <c r="Q1281" s="1">
        <v>33.9</v>
      </c>
      <c r="R1281" s="1">
        <v>0.47008349333333332</v>
      </c>
      <c r="S1281" s="1">
        <v>0.31392959972146023</v>
      </c>
      <c r="T1281" t="s">
        <v>1428</v>
      </c>
      <c r="U1281" s="1">
        <v>553</v>
      </c>
      <c r="V1281">
        <f t="shared" si="76"/>
        <v>0.30474723681163313</v>
      </c>
      <c r="W1281" s="1">
        <f t="shared" si="77"/>
        <v>18.899999999999999</v>
      </c>
      <c r="X1281">
        <f t="shared" si="78"/>
        <v>0.81364509799999984</v>
      </c>
      <c r="Y1281">
        <f t="shared" si="79"/>
        <v>64.199999999999989</v>
      </c>
      <c r="Z1281" s="1">
        <v>0</v>
      </c>
      <c r="AA1281">
        <v>100</v>
      </c>
      <c r="AB1281">
        <v>0</v>
      </c>
      <c r="AC1281">
        <v>0</v>
      </c>
      <c r="AD1281">
        <v>107</v>
      </c>
      <c r="AE1281">
        <v>0</v>
      </c>
      <c r="AF1281" t="s">
        <v>2589</v>
      </c>
      <c r="AG1281" t="s">
        <v>2590</v>
      </c>
    </row>
    <row r="1282" spans="1:33">
      <c r="A1282" s="2" t="s">
        <v>105</v>
      </c>
      <c r="B1282" s="2" t="s">
        <v>93</v>
      </c>
      <c r="C1282" s="1">
        <v>0.56210716000000005</v>
      </c>
      <c r="D1282">
        <v>0.68032504299999996</v>
      </c>
      <c r="E1282">
        <v>0.71115907899999997</v>
      </c>
      <c r="F1282" s="1" t="s">
        <v>106</v>
      </c>
      <c r="G1282" s="1">
        <v>1.0978593270000001</v>
      </c>
      <c r="H1282" s="1">
        <v>43.5</v>
      </c>
      <c r="I1282" s="1">
        <v>98.1</v>
      </c>
      <c r="J1282" s="1">
        <v>0.65119709399999992</v>
      </c>
      <c r="K1282" s="1">
        <v>0.54134617200000001</v>
      </c>
      <c r="L1282" s="1">
        <v>0.674899633</v>
      </c>
      <c r="M1282" s="3">
        <v>0.719840174</v>
      </c>
      <c r="N1282" s="1" t="s">
        <v>94</v>
      </c>
      <c r="O1282" s="1">
        <v>1.175388967</v>
      </c>
      <c r="P1282" s="1">
        <v>36.6</v>
      </c>
      <c r="Q1282" s="1">
        <v>70.7</v>
      </c>
      <c r="R1282" s="1">
        <v>0.64536199299999997</v>
      </c>
      <c r="S1282" s="1">
        <v>2.3147680376298413E-2</v>
      </c>
      <c r="T1282" t="s">
        <v>1429</v>
      </c>
      <c r="U1282" s="1">
        <v>6645</v>
      </c>
      <c r="V1282">
        <f t="shared" ref="V1282:V1345" si="80">LOG10(U1282) / 9</f>
        <v>0.42472166503097231</v>
      </c>
      <c r="W1282" s="1">
        <f t="shared" ref="W1282:W1345" si="81">ABS(H1282-P1282)</f>
        <v>6.8999999999999986</v>
      </c>
      <c r="X1282">
        <f t="shared" ref="X1282:X1345" si="82">ABS(G1282-O1282)</f>
        <v>7.7529639999999844E-2</v>
      </c>
      <c r="Y1282">
        <f t="shared" ref="Y1282:Y1345" si="83">ABS(I1282-Q1282)</f>
        <v>27.399999999999991</v>
      </c>
      <c r="Z1282" s="1">
        <v>0</v>
      </c>
      <c r="AA1282">
        <v>100</v>
      </c>
      <c r="AB1282">
        <v>0</v>
      </c>
      <c r="AC1282">
        <v>0</v>
      </c>
      <c r="AD1282">
        <v>98</v>
      </c>
      <c r="AE1282">
        <v>0</v>
      </c>
      <c r="AF1282" t="s">
        <v>2589</v>
      </c>
      <c r="AG1282" t="s">
        <v>2589</v>
      </c>
    </row>
    <row r="1283" spans="1:33">
      <c r="A1283" s="2" t="s">
        <v>105</v>
      </c>
      <c r="B1283" s="2" t="s">
        <v>95</v>
      </c>
      <c r="C1283" s="1">
        <v>0.56210716000000005</v>
      </c>
      <c r="D1283">
        <v>0.68032504299999996</v>
      </c>
      <c r="E1283">
        <v>0.71115907899999997</v>
      </c>
      <c r="F1283" s="1" t="s">
        <v>106</v>
      </c>
      <c r="G1283" s="1">
        <v>1.0978593270000001</v>
      </c>
      <c r="H1283" s="1">
        <v>43.5</v>
      </c>
      <c r="I1283" s="1">
        <v>98.1</v>
      </c>
      <c r="J1283" s="1">
        <v>0.65119709399999992</v>
      </c>
      <c r="K1283" s="1">
        <v>0.59462093100000002</v>
      </c>
      <c r="L1283" s="1">
        <v>0.68038960500000001</v>
      </c>
      <c r="M1283" s="3">
        <v>0.72533004899999998</v>
      </c>
      <c r="N1283" s="1" t="s">
        <v>96</v>
      </c>
      <c r="O1283" s="1">
        <v>1.9717647060000001</v>
      </c>
      <c r="P1283" s="1">
        <v>34.6</v>
      </c>
      <c r="Q1283" s="1">
        <v>42.5</v>
      </c>
      <c r="R1283" s="1">
        <v>0.66678019499999996</v>
      </c>
      <c r="S1283" s="1">
        <v>3.5467814475002302E-2</v>
      </c>
      <c r="T1283" t="s">
        <v>1430</v>
      </c>
      <c r="U1283" s="1">
        <v>87316</v>
      </c>
      <c r="V1283">
        <f t="shared" si="80"/>
        <v>0.54901042579931048</v>
      </c>
      <c r="W1283" s="1">
        <f t="shared" si="81"/>
        <v>8.8999999999999986</v>
      </c>
      <c r="X1283">
        <f t="shared" si="82"/>
        <v>0.87390537899999998</v>
      </c>
      <c r="Y1283">
        <f t="shared" si="83"/>
        <v>55.599999999999994</v>
      </c>
      <c r="Z1283" s="1">
        <v>16</v>
      </c>
      <c r="AA1283">
        <v>84</v>
      </c>
      <c r="AB1283">
        <v>0.1905</v>
      </c>
      <c r="AC1283">
        <v>15</v>
      </c>
      <c r="AD1283">
        <v>89</v>
      </c>
      <c r="AE1283">
        <v>0.16850000000000001</v>
      </c>
      <c r="AF1283" t="s">
        <v>2589</v>
      </c>
      <c r="AG1283" t="s">
        <v>2593</v>
      </c>
    </row>
    <row r="1284" spans="1:33">
      <c r="A1284" s="2" t="s">
        <v>105</v>
      </c>
      <c r="B1284" s="2" t="s">
        <v>97</v>
      </c>
      <c r="C1284" s="1">
        <v>0.56210716000000005</v>
      </c>
      <c r="D1284">
        <v>0.68032504299999996</v>
      </c>
      <c r="E1284">
        <v>0.71115907899999997</v>
      </c>
      <c r="F1284" s="1" t="s">
        <v>106</v>
      </c>
      <c r="G1284" s="1">
        <v>1.0978593270000001</v>
      </c>
      <c r="H1284" s="1">
        <v>43.5</v>
      </c>
      <c r="I1284" s="1">
        <v>98.1</v>
      </c>
      <c r="J1284" s="1">
        <v>0.65119709399999992</v>
      </c>
      <c r="K1284" s="1">
        <v>0.63674842300000001</v>
      </c>
      <c r="L1284" s="1">
        <v>0.68532635500000005</v>
      </c>
      <c r="M1284" s="3">
        <v>0.727031494</v>
      </c>
      <c r="N1284" s="1" t="s">
        <v>98</v>
      </c>
      <c r="O1284" s="1">
        <v>2.360103627</v>
      </c>
      <c r="P1284" s="1">
        <v>36.799999999999997</v>
      </c>
      <c r="Q1284" s="1">
        <v>38.6</v>
      </c>
      <c r="R1284" s="1">
        <v>0.68303542400000017</v>
      </c>
      <c r="S1284" s="1">
        <v>7.6473948648469389E-2</v>
      </c>
      <c r="T1284" t="s">
        <v>1431</v>
      </c>
      <c r="U1284" s="1">
        <v>6746</v>
      </c>
      <c r="V1284">
        <f t="shared" si="80"/>
        <v>0.42544959298368695</v>
      </c>
      <c r="W1284" s="1">
        <f t="shared" si="81"/>
        <v>6.7000000000000028</v>
      </c>
      <c r="X1284">
        <f t="shared" si="82"/>
        <v>1.2622442999999999</v>
      </c>
      <c r="Y1284">
        <f t="shared" si="83"/>
        <v>59.499999999999993</v>
      </c>
      <c r="Z1284" s="1">
        <v>11</v>
      </c>
      <c r="AA1284">
        <v>89</v>
      </c>
      <c r="AB1284">
        <v>0.1236</v>
      </c>
      <c r="AC1284">
        <v>12</v>
      </c>
      <c r="AD1284">
        <v>92</v>
      </c>
      <c r="AE1284">
        <v>0.13039999999999999</v>
      </c>
      <c r="AF1284" t="s">
        <v>2589</v>
      </c>
      <c r="AG1284" t="s">
        <v>2593</v>
      </c>
    </row>
    <row r="1285" spans="1:33">
      <c r="A1285" s="2" t="s">
        <v>105</v>
      </c>
      <c r="B1285" s="2" t="s">
        <v>99</v>
      </c>
      <c r="C1285" s="1">
        <v>0.56210716000000005</v>
      </c>
      <c r="D1285">
        <v>0.68032504299999996</v>
      </c>
      <c r="E1285">
        <v>0.71115907899999997</v>
      </c>
      <c r="F1285" s="1" t="s">
        <v>106</v>
      </c>
      <c r="G1285" s="1">
        <v>1.0978593270000001</v>
      </c>
      <c r="H1285" s="1">
        <v>43.5</v>
      </c>
      <c r="I1285" s="1">
        <v>98.1</v>
      </c>
      <c r="J1285" s="1">
        <v>0.65119709399999992</v>
      </c>
      <c r="K1285" s="1">
        <v>0.52525630099999998</v>
      </c>
      <c r="L1285" s="1">
        <v>0.68706170200000005</v>
      </c>
      <c r="M1285" s="3">
        <v>0.71473597300000002</v>
      </c>
      <c r="N1285" s="1" t="s">
        <v>100</v>
      </c>
      <c r="O1285" s="1">
        <v>1.72605042</v>
      </c>
      <c r="P1285" s="1">
        <v>46.5</v>
      </c>
      <c r="Q1285" s="1">
        <v>59.5</v>
      </c>
      <c r="R1285" s="1">
        <v>0.64235132533333339</v>
      </c>
      <c r="S1285" s="1">
        <v>3.7631935297130346E-2</v>
      </c>
      <c r="T1285" t="s">
        <v>1432</v>
      </c>
      <c r="U1285" s="1">
        <v>7721</v>
      </c>
      <c r="V1285">
        <f t="shared" si="80"/>
        <v>0.43196372805049416</v>
      </c>
      <c r="W1285" s="1">
        <f t="shared" si="81"/>
        <v>3</v>
      </c>
      <c r="X1285">
        <f t="shared" si="82"/>
        <v>0.62819109299999987</v>
      </c>
      <c r="Y1285">
        <f t="shared" si="83"/>
        <v>38.599999999999994</v>
      </c>
      <c r="Z1285" s="1">
        <v>0</v>
      </c>
      <c r="AA1285">
        <v>100</v>
      </c>
      <c r="AB1285">
        <v>0</v>
      </c>
      <c r="AC1285">
        <v>0</v>
      </c>
      <c r="AD1285">
        <v>106</v>
      </c>
      <c r="AE1285">
        <v>0</v>
      </c>
      <c r="AF1285" t="s">
        <v>2589</v>
      </c>
      <c r="AG1285" t="s">
        <v>2589</v>
      </c>
    </row>
    <row r="1286" spans="1:33">
      <c r="A1286" s="2" t="s">
        <v>105</v>
      </c>
      <c r="B1286" s="2" t="s">
        <v>148</v>
      </c>
      <c r="C1286" s="1">
        <v>0.56210716000000005</v>
      </c>
      <c r="D1286">
        <v>0.68032504299999996</v>
      </c>
      <c r="E1286">
        <v>0.71115907899999997</v>
      </c>
      <c r="F1286" s="1" t="s">
        <v>106</v>
      </c>
      <c r="G1286" s="1">
        <v>1.0978593270000001</v>
      </c>
      <c r="H1286" s="1">
        <v>43.5</v>
      </c>
      <c r="I1286" s="1">
        <v>98.1</v>
      </c>
      <c r="J1286" s="1">
        <v>0.65119709399999992</v>
      </c>
      <c r="K1286" s="1">
        <v>0.52246277500000005</v>
      </c>
      <c r="L1286" s="1">
        <v>0.64036274199999998</v>
      </c>
      <c r="M1286" s="3">
        <v>0.62317592099999997</v>
      </c>
      <c r="N1286" s="1" t="s">
        <v>149</v>
      </c>
      <c r="O1286" s="1">
        <v>1.201000834</v>
      </c>
      <c r="P1286" s="1">
        <v>59.2</v>
      </c>
      <c r="Q1286" s="1">
        <v>119.9</v>
      </c>
      <c r="R1286" s="1">
        <v>0.59533381266666663</v>
      </c>
      <c r="S1286" s="1">
        <v>0.10444950385184121</v>
      </c>
      <c r="T1286" t="s">
        <v>1435</v>
      </c>
      <c r="U1286" s="1">
        <v>14221</v>
      </c>
      <c r="V1286">
        <f t="shared" si="80"/>
        <v>0.46143668182474723</v>
      </c>
      <c r="W1286" s="1">
        <f t="shared" si="81"/>
        <v>15.700000000000003</v>
      </c>
      <c r="X1286">
        <f t="shared" si="82"/>
        <v>0.10314150699999991</v>
      </c>
      <c r="Y1286">
        <f t="shared" si="83"/>
        <v>21.800000000000011</v>
      </c>
      <c r="Z1286" s="1">
        <v>0</v>
      </c>
      <c r="AA1286">
        <v>100</v>
      </c>
      <c r="AB1286">
        <v>0</v>
      </c>
      <c r="AC1286">
        <v>0</v>
      </c>
      <c r="AD1286">
        <v>101</v>
      </c>
      <c r="AE1286">
        <v>0</v>
      </c>
      <c r="AF1286" t="s">
        <v>2589</v>
      </c>
      <c r="AG1286" t="s">
        <v>2589</v>
      </c>
    </row>
    <row r="1287" spans="1:33">
      <c r="A1287" s="2" t="s">
        <v>105</v>
      </c>
      <c r="B1287" s="2" t="s">
        <v>101</v>
      </c>
      <c r="C1287" s="1">
        <v>0.56210716000000005</v>
      </c>
      <c r="D1287">
        <v>0.68032504299999996</v>
      </c>
      <c r="E1287">
        <v>0.71115907899999997</v>
      </c>
      <c r="F1287" s="1" t="s">
        <v>106</v>
      </c>
      <c r="G1287" s="1">
        <v>1.0978593270000001</v>
      </c>
      <c r="H1287" s="1">
        <v>43.5</v>
      </c>
      <c r="I1287" s="1">
        <v>98.1</v>
      </c>
      <c r="J1287" s="1">
        <v>0.65119709399999992</v>
      </c>
      <c r="K1287" s="1">
        <v>0.57277697599999999</v>
      </c>
      <c r="L1287" s="1">
        <v>0.64568820599999999</v>
      </c>
      <c r="M1287" s="3">
        <v>0.70909993500000001</v>
      </c>
      <c r="N1287" s="1" t="s">
        <v>102</v>
      </c>
      <c r="O1287" s="1">
        <v>1.2818181820000001</v>
      </c>
      <c r="P1287" s="1">
        <v>58</v>
      </c>
      <c r="Q1287" s="1">
        <v>110</v>
      </c>
      <c r="R1287" s="1">
        <v>0.64252170566666666</v>
      </c>
      <c r="S1287" s="1">
        <v>3.6301453481247248E-2</v>
      </c>
      <c r="T1287" t="s">
        <v>1433</v>
      </c>
      <c r="U1287" s="1">
        <v>13370</v>
      </c>
      <c r="V1287">
        <f t="shared" si="80"/>
        <v>0.45845904525133158</v>
      </c>
      <c r="W1287" s="1">
        <f t="shared" si="81"/>
        <v>14.5</v>
      </c>
      <c r="X1287">
        <f t="shared" si="82"/>
        <v>0.18395885499999998</v>
      </c>
      <c r="Y1287">
        <f t="shared" si="83"/>
        <v>11.900000000000006</v>
      </c>
      <c r="Z1287" s="1">
        <v>1</v>
      </c>
      <c r="AA1287">
        <v>99</v>
      </c>
      <c r="AB1287">
        <v>1.01E-2</v>
      </c>
      <c r="AC1287">
        <v>1</v>
      </c>
      <c r="AD1287">
        <v>98</v>
      </c>
      <c r="AE1287">
        <v>1.0200000000000001E-2</v>
      </c>
      <c r="AF1287" t="s">
        <v>2589</v>
      </c>
      <c r="AG1287" t="s">
        <v>2589</v>
      </c>
    </row>
    <row r="1288" spans="1:33">
      <c r="A1288" s="2" t="s">
        <v>105</v>
      </c>
      <c r="B1288" s="2" t="s">
        <v>103</v>
      </c>
      <c r="C1288" s="1">
        <v>0.56210716000000005</v>
      </c>
      <c r="D1288">
        <v>0.68032504299999996</v>
      </c>
      <c r="E1288">
        <v>0.71115907899999997</v>
      </c>
      <c r="F1288" s="1" t="s">
        <v>106</v>
      </c>
      <c r="G1288" s="1">
        <v>1.0978593270000001</v>
      </c>
      <c r="H1288" s="1">
        <v>43.5</v>
      </c>
      <c r="I1288" s="1">
        <v>98.1</v>
      </c>
      <c r="J1288" s="1">
        <v>0.65119709399999992</v>
      </c>
      <c r="K1288" s="1">
        <v>0.58538445800000005</v>
      </c>
      <c r="L1288" s="1">
        <v>0.70461059999999998</v>
      </c>
      <c r="M1288" s="3">
        <v>0.67846608399999997</v>
      </c>
      <c r="N1288" s="1" t="s">
        <v>104</v>
      </c>
      <c r="O1288" s="1">
        <v>1.1020080320000001</v>
      </c>
      <c r="P1288" s="1">
        <v>58.7</v>
      </c>
      <c r="Q1288" s="1">
        <v>124.5</v>
      </c>
      <c r="R1288" s="1">
        <v>0.65615371400000011</v>
      </c>
      <c r="S1288" s="1">
        <v>4.6908984246635296E-2</v>
      </c>
      <c r="T1288" t="s">
        <v>1434</v>
      </c>
      <c r="U1288" s="1">
        <v>8574</v>
      </c>
      <c r="V1288">
        <f t="shared" si="80"/>
        <v>0.43702038657495712</v>
      </c>
      <c r="W1288" s="1">
        <f t="shared" si="81"/>
        <v>15.200000000000003</v>
      </c>
      <c r="X1288">
        <f t="shared" si="82"/>
        <v>4.1487049999999748E-3</v>
      </c>
      <c r="Y1288">
        <f t="shared" si="83"/>
        <v>26.400000000000006</v>
      </c>
      <c r="Z1288" s="1">
        <v>0</v>
      </c>
      <c r="AA1288">
        <v>100</v>
      </c>
      <c r="AB1288">
        <v>0</v>
      </c>
      <c r="AC1288">
        <v>0</v>
      </c>
      <c r="AD1288">
        <v>100</v>
      </c>
      <c r="AE1288">
        <v>0</v>
      </c>
      <c r="AF1288" t="s">
        <v>2589</v>
      </c>
      <c r="AG1288" t="s">
        <v>2589</v>
      </c>
    </row>
    <row r="1289" spans="1:33">
      <c r="A1289" s="2" t="s">
        <v>103</v>
      </c>
      <c r="B1289" s="2" t="s">
        <v>10</v>
      </c>
      <c r="C1289" s="1">
        <v>0.58538445800000005</v>
      </c>
      <c r="D1289">
        <v>0.70461059999999998</v>
      </c>
      <c r="E1289">
        <v>0.67846608399999997</v>
      </c>
      <c r="F1289" s="1" t="s">
        <v>104</v>
      </c>
      <c r="G1289" s="1">
        <v>1.1020080320000001</v>
      </c>
      <c r="H1289" s="1">
        <v>58.7</v>
      </c>
      <c r="I1289" s="1">
        <v>124.5</v>
      </c>
      <c r="J1289" s="1">
        <v>0.65615371400000011</v>
      </c>
      <c r="K1289" s="1">
        <v>0.52456325500000001</v>
      </c>
      <c r="L1289" s="1">
        <v>0.61925627999999999</v>
      </c>
      <c r="M1289" s="3">
        <v>0.72111139899999999</v>
      </c>
      <c r="N1289" s="1" t="s">
        <v>12</v>
      </c>
      <c r="O1289" s="1">
        <v>0.61690647499999995</v>
      </c>
      <c r="P1289" s="1">
        <v>30</v>
      </c>
      <c r="Q1289" s="1">
        <v>111.2</v>
      </c>
      <c r="R1289" s="1">
        <v>0.62164364466666666</v>
      </c>
      <c r="S1289" s="1">
        <v>0.11315123317259444</v>
      </c>
      <c r="T1289" t="s">
        <v>1436</v>
      </c>
      <c r="U1289" s="1">
        <v>809</v>
      </c>
      <c r="V1289">
        <f t="shared" si="80"/>
        <v>0.32310539129025245</v>
      </c>
      <c r="W1289" s="1">
        <f t="shared" si="81"/>
        <v>28.700000000000003</v>
      </c>
      <c r="X1289">
        <f t="shared" si="82"/>
        <v>0.48510155700000013</v>
      </c>
      <c r="Y1289">
        <f t="shared" si="83"/>
        <v>13.299999999999997</v>
      </c>
      <c r="Z1289" s="1">
        <v>1</v>
      </c>
      <c r="AA1289">
        <v>99</v>
      </c>
      <c r="AB1289">
        <v>1.01E-2</v>
      </c>
      <c r="AC1289">
        <v>2</v>
      </c>
      <c r="AD1289">
        <v>146</v>
      </c>
      <c r="AE1289">
        <v>1.37E-2</v>
      </c>
      <c r="AF1289" t="s">
        <v>2589</v>
      </c>
      <c r="AG1289" t="s">
        <v>2588</v>
      </c>
    </row>
    <row r="1290" spans="1:33">
      <c r="A1290" s="2" t="s">
        <v>103</v>
      </c>
      <c r="B1290" s="2" t="s">
        <v>13</v>
      </c>
      <c r="C1290" s="1">
        <v>0.58538445800000005</v>
      </c>
      <c r="D1290">
        <v>0.70461059999999998</v>
      </c>
      <c r="E1290">
        <v>0.67846608399999997</v>
      </c>
      <c r="F1290" s="1" t="s">
        <v>104</v>
      </c>
      <c r="G1290" s="1">
        <v>1.1020080320000001</v>
      </c>
      <c r="H1290" s="1">
        <v>58.7</v>
      </c>
      <c r="I1290" s="1">
        <v>124.5</v>
      </c>
      <c r="J1290" s="1">
        <v>0.65615371400000011</v>
      </c>
      <c r="K1290" s="1">
        <v>0.48695497399999998</v>
      </c>
      <c r="L1290" s="1">
        <v>0.54991327199999995</v>
      </c>
      <c r="M1290" s="3">
        <v>0.67282609299999996</v>
      </c>
      <c r="N1290" s="1" t="s">
        <v>14</v>
      </c>
      <c r="O1290" s="1">
        <v>1.6052009460000001</v>
      </c>
      <c r="P1290" s="1">
        <v>26.6</v>
      </c>
      <c r="Q1290" s="1">
        <v>42.3</v>
      </c>
      <c r="R1290" s="1">
        <v>0.56989811299999993</v>
      </c>
      <c r="S1290" s="1">
        <v>0.18344327763460275</v>
      </c>
      <c r="T1290" t="s">
        <v>1437</v>
      </c>
      <c r="U1290" s="1">
        <v>2579</v>
      </c>
      <c r="V1290">
        <f t="shared" si="80"/>
        <v>0.37905014912643753</v>
      </c>
      <c r="W1290" s="1">
        <f t="shared" si="81"/>
        <v>32.1</v>
      </c>
      <c r="X1290">
        <f t="shared" si="82"/>
        <v>0.50319291399999999</v>
      </c>
      <c r="Y1290">
        <f t="shared" si="83"/>
        <v>82.2</v>
      </c>
      <c r="Z1290" s="1">
        <v>0</v>
      </c>
      <c r="AA1290">
        <v>100</v>
      </c>
      <c r="AB1290">
        <v>0</v>
      </c>
      <c r="AC1290">
        <v>0</v>
      </c>
      <c r="AD1290">
        <v>95</v>
      </c>
      <c r="AE1290">
        <v>0</v>
      </c>
      <c r="AF1290" t="s">
        <v>2589</v>
      </c>
      <c r="AG1290" t="s">
        <v>2590</v>
      </c>
    </row>
    <row r="1291" spans="1:33">
      <c r="A1291" s="2" t="s">
        <v>103</v>
      </c>
      <c r="B1291" s="2" t="s">
        <v>15</v>
      </c>
      <c r="C1291" s="1">
        <v>0.58538445800000005</v>
      </c>
      <c r="D1291">
        <v>0.70461059999999998</v>
      </c>
      <c r="E1291">
        <v>0.67846608399999997</v>
      </c>
      <c r="F1291" s="1" t="s">
        <v>104</v>
      </c>
      <c r="G1291" s="1">
        <v>1.1020080320000001</v>
      </c>
      <c r="H1291" s="1">
        <v>58.7</v>
      </c>
      <c r="I1291" s="1">
        <v>124.5</v>
      </c>
      <c r="J1291" s="1">
        <v>0.65615371400000011</v>
      </c>
      <c r="K1291" s="1">
        <v>0.54560998800000005</v>
      </c>
      <c r="L1291" s="1">
        <v>0.66721428400000005</v>
      </c>
      <c r="M1291" s="3">
        <v>0.72650398400000005</v>
      </c>
      <c r="N1291" s="1" t="s">
        <v>16</v>
      </c>
      <c r="O1291" s="1">
        <v>5.1392405060000002</v>
      </c>
      <c r="P1291" s="1">
        <v>35.9</v>
      </c>
      <c r="Q1291" s="1">
        <v>15.8</v>
      </c>
      <c r="R1291" s="1">
        <v>0.64644275200000012</v>
      </c>
      <c r="S1291" s="1">
        <v>7.2719548613579543E-2</v>
      </c>
      <c r="T1291" t="s">
        <v>1438</v>
      </c>
      <c r="U1291" s="1">
        <v>451</v>
      </c>
      <c r="V1291">
        <f t="shared" si="80"/>
        <v>0.2949085046531067</v>
      </c>
      <c r="W1291" s="1">
        <f t="shared" si="81"/>
        <v>22.800000000000004</v>
      </c>
      <c r="X1291">
        <f t="shared" si="82"/>
        <v>4.0372324739999996</v>
      </c>
      <c r="Y1291">
        <f t="shared" si="83"/>
        <v>108.7</v>
      </c>
      <c r="Z1291" s="1">
        <v>0</v>
      </c>
      <c r="AA1291">
        <v>100</v>
      </c>
      <c r="AB1291">
        <v>0</v>
      </c>
      <c r="AC1291">
        <v>0</v>
      </c>
      <c r="AD1291">
        <v>91</v>
      </c>
      <c r="AE1291">
        <v>0</v>
      </c>
      <c r="AF1291" t="s">
        <v>2589</v>
      </c>
      <c r="AG1291" t="s">
        <v>2591</v>
      </c>
    </row>
    <row r="1292" spans="1:33">
      <c r="A1292" s="2" t="s">
        <v>103</v>
      </c>
      <c r="B1292" s="2" t="s">
        <v>17</v>
      </c>
      <c r="C1292" s="1">
        <v>0.58538445800000005</v>
      </c>
      <c r="D1292">
        <v>0.70461059999999998</v>
      </c>
      <c r="E1292">
        <v>0.67846608399999997</v>
      </c>
      <c r="F1292" s="1" t="s">
        <v>104</v>
      </c>
      <c r="G1292" s="1">
        <v>1.1020080320000001</v>
      </c>
      <c r="H1292" s="1">
        <v>58.7</v>
      </c>
      <c r="I1292" s="1">
        <v>124.5</v>
      </c>
      <c r="J1292" s="1">
        <v>0.65615371400000011</v>
      </c>
      <c r="K1292" s="1">
        <v>0.659112378</v>
      </c>
      <c r="L1292" s="1">
        <v>0.68333493499999998</v>
      </c>
      <c r="M1292" s="3">
        <v>0.70345495199999997</v>
      </c>
      <c r="N1292" s="1" t="s">
        <v>18</v>
      </c>
      <c r="O1292" s="1">
        <v>1.9463955639999999</v>
      </c>
      <c r="P1292" s="1">
        <v>46.3</v>
      </c>
      <c r="Q1292" s="1">
        <v>54.1</v>
      </c>
      <c r="R1292" s="1">
        <v>0.68196742166666668</v>
      </c>
      <c r="S1292" s="1">
        <v>8.0702562738986433E-2</v>
      </c>
      <c r="T1292" t="s">
        <v>1439</v>
      </c>
      <c r="U1292" s="1">
        <v>1441</v>
      </c>
      <c r="V1292">
        <f t="shared" si="80"/>
        <v>0.35096266453488772</v>
      </c>
      <c r="W1292" s="1">
        <f t="shared" si="81"/>
        <v>12.400000000000006</v>
      </c>
      <c r="X1292">
        <f t="shared" si="82"/>
        <v>0.84438753199999983</v>
      </c>
      <c r="Y1292">
        <f t="shared" si="83"/>
        <v>70.400000000000006</v>
      </c>
      <c r="Z1292" s="1">
        <v>0</v>
      </c>
      <c r="AA1292">
        <v>100</v>
      </c>
      <c r="AB1292">
        <v>0</v>
      </c>
      <c r="AC1292">
        <v>0</v>
      </c>
      <c r="AD1292">
        <v>105</v>
      </c>
      <c r="AE1292">
        <v>0</v>
      </c>
      <c r="AF1292" t="s">
        <v>2589</v>
      </c>
      <c r="AG1292" t="s">
        <v>2591</v>
      </c>
    </row>
    <row r="1293" spans="1:33">
      <c r="A1293" s="2" t="s">
        <v>103</v>
      </c>
      <c r="B1293" s="2" t="s">
        <v>19</v>
      </c>
      <c r="C1293" s="1">
        <v>0.58538445800000005</v>
      </c>
      <c r="D1293">
        <v>0.70461059999999998</v>
      </c>
      <c r="E1293">
        <v>0.67846608399999997</v>
      </c>
      <c r="F1293" s="1" t="s">
        <v>104</v>
      </c>
      <c r="G1293" s="1">
        <v>1.1020080320000001</v>
      </c>
      <c r="H1293" s="1">
        <v>58.7</v>
      </c>
      <c r="I1293" s="1">
        <v>124.5</v>
      </c>
      <c r="J1293" s="1">
        <v>0.65615371400000011</v>
      </c>
      <c r="K1293" s="1">
        <v>0.49391595300000002</v>
      </c>
      <c r="L1293" s="1">
        <v>0.603599314</v>
      </c>
      <c r="M1293" s="3">
        <v>0.63481471599999995</v>
      </c>
      <c r="N1293" s="1" t="s">
        <v>20</v>
      </c>
      <c r="O1293" s="1">
        <v>1.2140902870000001</v>
      </c>
      <c r="P1293" s="1">
        <v>64.900000000000006</v>
      </c>
      <c r="Q1293" s="1">
        <v>146.19999999999999</v>
      </c>
      <c r="R1293" s="1">
        <v>0.57744332766666662</v>
      </c>
      <c r="S1293" s="1">
        <v>0.14309161133546666</v>
      </c>
      <c r="T1293" t="s">
        <v>1440</v>
      </c>
      <c r="U1293" s="1">
        <v>3165</v>
      </c>
      <c r="V1293">
        <f t="shared" si="80"/>
        <v>0.38893041270593043</v>
      </c>
      <c r="W1293" s="1">
        <f t="shared" si="81"/>
        <v>6.2000000000000028</v>
      </c>
      <c r="X1293">
        <f t="shared" si="82"/>
        <v>0.11208225500000002</v>
      </c>
      <c r="Y1293">
        <f t="shared" si="83"/>
        <v>21.699999999999989</v>
      </c>
      <c r="Z1293" s="1">
        <v>2</v>
      </c>
      <c r="AA1293">
        <v>98</v>
      </c>
      <c r="AB1293">
        <v>2.0400000000000001E-2</v>
      </c>
      <c r="AC1293">
        <v>3</v>
      </c>
      <c r="AD1293">
        <v>82</v>
      </c>
      <c r="AE1293">
        <v>3.6600000000000001E-2</v>
      </c>
      <c r="AF1293" t="s">
        <v>2589</v>
      </c>
      <c r="AG1293" t="s">
        <v>2593</v>
      </c>
    </row>
    <row r="1294" spans="1:33">
      <c r="A1294" s="2" t="s">
        <v>103</v>
      </c>
      <c r="B1294" s="2" t="s">
        <v>21</v>
      </c>
      <c r="C1294" s="1">
        <v>0.58538445800000005</v>
      </c>
      <c r="D1294">
        <v>0.70461059999999998</v>
      </c>
      <c r="E1294">
        <v>0.67846608399999997</v>
      </c>
      <c r="F1294" s="1" t="s">
        <v>104</v>
      </c>
      <c r="G1294" s="1">
        <v>1.1020080320000001</v>
      </c>
      <c r="H1294" s="1">
        <v>58.7</v>
      </c>
      <c r="I1294" s="1">
        <v>124.5</v>
      </c>
      <c r="J1294" s="1">
        <v>0.65615371400000011</v>
      </c>
      <c r="K1294" s="1">
        <v>0.53276376800000003</v>
      </c>
      <c r="L1294" s="1">
        <v>0.65428149899999999</v>
      </c>
      <c r="M1294" s="3">
        <v>0.70160154799999996</v>
      </c>
      <c r="N1294" s="1" t="s">
        <v>22</v>
      </c>
      <c r="O1294" s="1">
        <v>1.2440604749999999</v>
      </c>
      <c r="P1294" s="1">
        <v>24.6</v>
      </c>
      <c r="Q1294" s="1">
        <v>46.3</v>
      </c>
      <c r="R1294" s="1">
        <v>0.62954893833333336</v>
      </c>
      <c r="S1294" s="1">
        <v>7.6401604158810685E-2</v>
      </c>
      <c r="T1294" t="s">
        <v>1441</v>
      </c>
      <c r="U1294" s="1">
        <v>20801</v>
      </c>
      <c r="V1294">
        <f t="shared" si="80"/>
        <v>0.47978713488925162</v>
      </c>
      <c r="W1294" s="1">
        <f t="shared" si="81"/>
        <v>34.1</v>
      </c>
      <c r="X1294">
        <f t="shared" si="82"/>
        <v>0.14205244299999986</v>
      </c>
      <c r="Y1294">
        <f t="shared" si="83"/>
        <v>78.2</v>
      </c>
      <c r="Z1294" s="1">
        <v>2</v>
      </c>
      <c r="AA1294">
        <v>98</v>
      </c>
      <c r="AB1294">
        <v>2.0400000000000001E-2</v>
      </c>
      <c r="AC1294">
        <v>2</v>
      </c>
      <c r="AD1294">
        <v>89</v>
      </c>
      <c r="AE1294">
        <v>2.2499999999999999E-2</v>
      </c>
      <c r="AF1294" t="s">
        <v>2589</v>
      </c>
      <c r="AG1294" t="s">
        <v>2589</v>
      </c>
    </row>
    <row r="1295" spans="1:33">
      <c r="A1295" s="2" t="s">
        <v>103</v>
      </c>
      <c r="B1295" s="2" t="s">
        <v>23</v>
      </c>
      <c r="C1295" s="1">
        <v>0.58538445800000005</v>
      </c>
      <c r="D1295">
        <v>0.70461059999999998</v>
      </c>
      <c r="E1295">
        <v>0.67846608399999997</v>
      </c>
      <c r="F1295" s="1" t="s">
        <v>104</v>
      </c>
      <c r="G1295" s="1">
        <v>1.1020080320000001</v>
      </c>
      <c r="H1295" s="1">
        <v>58.7</v>
      </c>
      <c r="I1295" s="1">
        <v>124.5</v>
      </c>
      <c r="J1295" s="1">
        <v>0.65615371400000011</v>
      </c>
      <c r="K1295" s="1">
        <v>0.49415677200000002</v>
      </c>
      <c r="L1295" s="1">
        <v>0.62090818999999997</v>
      </c>
      <c r="M1295" s="3">
        <v>0.63381026900000004</v>
      </c>
      <c r="N1295" s="1" t="s">
        <v>24</v>
      </c>
      <c r="O1295" s="1">
        <v>1.141304348</v>
      </c>
      <c r="P1295" s="1">
        <v>44.4</v>
      </c>
      <c r="Q1295" s="1">
        <v>101.2</v>
      </c>
      <c r="R1295" s="1">
        <v>0.58295841033333329</v>
      </c>
      <c r="S1295" s="1">
        <v>0.13161582711071235</v>
      </c>
      <c r="T1295" t="s">
        <v>1442</v>
      </c>
      <c r="U1295" s="1">
        <v>1282</v>
      </c>
      <c r="V1295">
        <f t="shared" si="80"/>
        <v>0.3453208916869776</v>
      </c>
      <c r="W1295" s="1">
        <f t="shared" si="81"/>
        <v>14.300000000000004</v>
      </c>
      <c r="X1295">
        <f t="shared" si="82"/>
        <v>3.9296315999999942E-2</v>
      </c>
      <c r="Y1295">
        <f t="shared" si="83"/>
        <v>23.299999999999997</v>
      </c>
      <c r="Z1295" s="1">
        <v>0</v>
      </c>
      <c r="AA1295">
        <v>100</v>
      </c>
      <c r="AB1295">
        <v>0</v>
      </c>
      <c r="AC1295">
        <v>1</v>
      </c>
      <c r="AD1295">
        <v>86</v>
      </c>
      <c r="AE1295">
        <v>1.1599999999999999E-2</v>
      </c>
      <c r="AF1295" t="s">
        <v>2589</v>
      </c>
      <c r="AG1295" t="s">
        <v>2590</v>
      </c>
    </row>
    <row r="1296" spans="1:33">
      <c r="A1296" s="2" t="s">
        <v>103</v>
      </c>
      <c r="B1296" s="2" t="s">
        <v>25</v>
      </c>
      <c r="C1296" s="1">
        <v>0.58538445800000005</v>
      </c>
      <c r="D1296">
        <v>0.70461059999999998</v>
      </c>
      <c r="E1296">
        <v>0.67846608399999997</v>
      </c>
      <c r="F1296" s="1" t="s">
        <v>104</v>
      </c>
      <c r="G1296" s="1">
        <v>1.1020080320000001</v>
      </c>
      <c r="H1296" s="1">
        <v>58.7</v>
      </c>
      <c r="I1296" s="1">
        <v>124.5</v>
      </c>
      <c r="J1296" s="1">
        <v>0.65615371400000011</v>
      </c>
      <c r="K1296" s="1">
        <v>0.53959274199999996</v>
      </c>
      <c r="L1296" s="1">
        <v>0.64971567399999997</v>
      </c>
      <c r="M1296" s="3">
        <v>0.65028459999999999</v>
      </c>
      <c r="N1296" s="1" t="s">
        <v>26</v>
      </c>
      <c r="O1296" s="1">
        <v>1.623046875</v>
      </c>
      <c r="P1296" s="1">
        <v>34.700000000000003</v>
      </c>
      <c r="Q1296" s="1">
        <v>51.2</v>
      </c>
      <c r="R1296" s="1">
        <v>0.61319767199999997</v>
      </c>
      <c r="S1296" s="1">
        <v>7.6840940879276051E-2</v>
      </c>
      <c r="T1296" t="s">
        <v>1443</v>
      </c>
      <c r="U1296" s="1">
        <v>3634</v>
      </c>
      <c r="V1296">
        <f t="shared" si="80"/>
        <v>0.39559832477466839</v>
      </c>
      <c r="W1296" s="1">
        <f t="shared" si="81"/>
        <v>24</v>
      </c>
      <c r="X1296">
        <f t="shared" si="82"/>
        <v>0.52103884299999992</v>
      </c>
      <c r="Y1296">
        <f t="shared" si="83"/>
        <v>73.3</v>
      </c>
      <c r="Z1296" s="1">
        <v>0</v>
      </c>
      <c r="AA1296">
        <v>100</v>
      </c>
      <c r="AB1296">
        <v>0</v>
      </c>
      <c r="AC1296">
        <v>0</v>
      </c>
      <c r="AD1296">
        <v>89</v>
      </c>
      <c r="AE1296">
        <v>0</v>
      </c>
      <c r="AF1296" t="s">
        <v>2589</v>
      </c>
      <c r="AG1296" t="s">
        <v>2594</v>
      </c>
    </row>
    <row r="1297" spans="1:33">
      <c r="A1297" s="2" t="s">
        <v>103</v>
      </c>
      <c r="B1297" s="2" t="s">
        <v>27</v>
      </c>
      <c r="C1297" s="1">
        <v>0.58538445800000005</v>
      </c>
      <c r="D1297">
        <v>0.70461059999999998</v>
      </c>
      <c r="E1297">
        <v>0.67846608399999997</v>
      </c>
      <c r="F1297" s="1" t="s">
        <v>104</v>
      </c>
      <c r="G1297" s="1">
        <v>1.1020080320000001</v>
      </c>
      <c r="H1297" s="1">
        <v>58.7</v>
      </c>
      <c r="I1297" s="1">
        <v>124.5</v>
      </c>
      <c r="J1297" s="1">
        <v>0.65615371400000011</v>
      </c>
      <c r="K1297" s="1">
        <v>0.518608662</v>
      </c>
      <c r="L1297" s="1">
        <v>0.64320369700000002</v>
      </c>
      <c r="M1297" s="3">
        <v>0.62228994199999998</v>
      </c>
      <c r="N1297" s="1" t="s">
        <v>28</v>
      </c>
      <c r="O1297" s="1">
        <v>1.8717391299999999</v>
      </c>
      <c r="P1297" s="1">
        <v>33.700000000000003</v>
      </c>
      <c r="Q1297" s="1">
        <v>46</v>
      </c>
      <c r="R1297" s="1">
        <v>0.59470076699999996</v>
      </c>
      <c r="S1297" s="1">
        <v>0.10670320331409544</v>
      </c>
      <c r="T1297" t="s">
        <v>1444</v>
      </c>
      <c r="U1297" s="1">
        <v>4341</v>
      </c>
      <c r="V1297">
        <f t="shared" si="80"/>
        <v>0.40417664287096666</v>
      </c>
      <c r="W1297" s="1">
        <f t="shared" si="81"/>
        <v>25</v>
      </c>
      <c r="X1297">
        <f t="shared" si="82"/>
        <v>0.76973109799999984</v>
      </c>
      <c r="Y1297">
        <f t="shared" si="83"/>
        <v>78.5</v>
      </c>
      <c r="Z1297" s="1">
        <v>0</v>
      </c>
      <c r="AA1297">
        <v>100</v>
      </c>
      <c r="AB1297">
        <v>0</v>
      </c>
      <c r="AC1297">
        <v>1</v>
      </c>
      <c r="AD1297">
        <v>95</v>
      </c>
      <c r="AE1297">
        <v>1.0500000000000001E-2</v>
      </c>
      <c r="AF1297" t="s">
        <v>2589</v>
      </c>
      <c r="AG1297" t="s">
        <v>2590</v>
      </c>
    </row>
    <row r="1298" spans="1:33">
      <c r="A1298" s="2" t="s">
        <v>103</v>
      </c>
      <c r="B1298" s="2" t="s">
        <v>29</v>
      </c>
      <c r="C1298" s="1">
        <v>0.58538445800000005</v>
      </c>
      <c r="D1298">
        <v>0.70461059999999998</v>
      </c>
      <c r="E1298">
        <v>0.67846608399999997</v>
      </c>
      <c r="F1298" s="1" t="s">
        <v>104</v>
      </c>
      <c r="G1298" s="1">
        <v>1.1020080320000001</v>
      </c>
      <c r="H1298" s="1">
        <v>58.7</v>
      </c>
      <c r="I1298" s="1">
        <v>124.5</v>
      </c>
      <c r="J1298" s="1">
        <v>0.65615371400000011</v>
      </c>
      <c r="K1298" s="1">
        <v>0.59351545100000003</v>
      </c>
      <c r="L1298" s="1">
        <v>0.68136602400000001</v>
      </c>
      <c r="M1298" s="3">
        <v>0.73518087600000004</v>
      </c>
      <c r="N1298" s="1" t="s">
        <v>30</v>
      </c>
      <c r="O1298" s="1">
        <v>2.849112426</v>
      </c>
      <c r="P1298" s="1">
        <v>37.9</v>
      </c>
      <c r="Q1298" s="1">
        <v>33.799999999999997</v>
      </c>
      <c r="R1298" s="1">
        <v>0.67002078366666673</v>
      </c>
      <c r="S1298" s="1">
        <v>6.1830340385518621E-2</v>
      </c>
      <c r="T1298" t="s">
        <v>1445</v>
      </c>
      <c r="U1298" s="1">
        <v>388</v>
      </c>
      <c r="V1298">
        <f t="shared" si="80"/>
        <v>0.28764796951046745</v>
      </c>
      <c r="W1298" s="1">
        <f t="shared" si="81"/>
        <v>20.800000000000004</v>
      </c>
      <c r="X1298">
        <f t="shared" si="82"/>
        <v>1.7471043939999999</v>
      </c>
      <c r="Y1298">
        <f t="shared" si="83"/>
        <v>90.7</v>
      </c>
      <c r="Z1298" s="1">
        <v>0</v>
      </c>
      <c r="AA1298">
        <v>100</v>
      </c>
      <c r="AB1298">
        <v>0</v>
      </c>
      <c r="AC1298">
        <v>0</v>
      </c>
      <c r="AD1298">
        <v>85</v>
      </c>
      <c r="AE1298">
        <v>0</v>
      </c>
      <c r="AF1298" t="s">
        <v>2589</v>
      </c>
      <c r="AG1298" t="s">
        <v>2593</v>
      </c>
    </row>
    <row r="1299" spans="1:33">
      <c r="A1299" s="2" t="s">
        <v>103</v>
      </c>
      <c r="B1299" s="2" t="s">
        <v>31</v>
      </c>
      <c r="C1299" s="1">
        <v>0.58538445800000005</v>
      </c>
      <c r="D1299">
        <v>0.70461059999999998</v>
      </c>
      <c r="E1299">
        <v>0.67846608399999997</v>
      </c>
      <c r="F1299" s="1" t="s">
        <v>104</v>
      </c>
      <c r="G1299" s="1">
        <v>1.1020080320000001</v>
      </c>
      <c r="H1299" s="1">
        <v>58.7</v>
      </c>
      <c r="I1299" s="1">
        <v>124.5</v>
      </c>
      <c r="J1299" s="1">
        <v>0.65615371400000011</v>
      </c>
      <c r="K1299" s="1">
        <v>0.47727961800000002</v>
      </c>
      <c r="L1299" s="1">
        <v>0.66941086400000005</v>
      </c>
      <c r="M1299" s="3">
        <v>0.69294815300000001</v>
      </c>
      <c r="N1299" s="1" t="s">
        <v>32</v>
      </c>
      <c r="O1299" s="1">
        <v>1.341891892</v>
      </c>
      <c r="P1299" s="1">
        <v>42.1</v>
      </c>
      <c r="Q1299" s="1">
        <v>74</v>
      </c>
      <c r="R1299" s="1">
        <v>0.61321287833333338</v>
      </c>
      <c r="S1299" s="1">
        <v>0.11460980834298634</v>
      </c>
      <c r="T1299" t="s">
        <v>1446</v>
      </c>
      <c r="U1299" s="1">
        <v>5340</v>
      </c>
      <c r="V1299">
        <f t="shared" si="80"/>
        <v>0.41417125078095068</v>
      </c>
      <c r="W1299" s="1">
        <f t="shared" si="81"/>
        <v>16.600000000000001</v>
      </c>
      <c r="X1299">
        <f t="shared" si="82"/>
        <v>0.23988385999999995</v>
      </c>
      <c r="Y1299">
        <f t="shared" si="83"/>
        <v>50.5</v>
      </c>
      <c r="Z1299" s="1">
        <v>3</v>
      </c>
      <c r="AA1299">
        <v>97</v>
      </c>
      <c r="AB1299">
        <v>3.09E-2</v>
      </c>
      <c r="AC1299">
        <v>3</v>
      </c>
      <c r="AD1299">
        <v>90</v>
      </c>
      <c r="AE1299">
        <v>3.3300000000000003E-2</v>
      </c>
      <c r="AF1299" t="s">
        <v>2589</v>
      </c>
      <c r="AG1299" t="s">
        <v>2589</v>
      </c>
    </row>
    <row r="1300" spans="1:33">
      <c r="A1300" s="2" t="s">
        <v>103</v>
      </c>
      <c r="B1300" s="2" t="s">
        <v>33</v>
      </c>
      <c r="C1300" s="1">
        <v>0.58538445800000005</v>
      </c>
      <c r="D1300">
        <v>0.70461059999999998</v>
      </c>
      <c r="E1300">
        <v>0.67846608399999997</v>
      </c>
      <c r="F1300" s="1" t="s">
        <v>104</v>
      </c>
      <c r="G1300" s="1">
        <v>1.1020080320000001</v>
      </c>
      <c r="H1300" s="1">
        <v>58.7</v>
      </c>
      <c r="I1300" s="1">
        <v>124.5</v>
      </c>
      <c r="J1300" s="1">
        <v>0.65615371400000011</v>
      </c>
      <c r="K1300" s="1">
        <v>0.51347926600000005</v>
      </c>
      <c r="L1300" s="1">
        <v>0.63144379399999995</v>
      </c>
      <c r="M1300" s="3">
        <v>0.64189093500000005</v>
      </c>
      <c r="N1300" s="1" t="s">
        <v>34</v>
      </c>
      <c r="O1300" s="1">
        <v>2.3123667380000001</v>
      </c>
      <c r="P1300" s="1">
        <v>79.099999999999994</v>
      </c>
      <c r="Q1300" s="1">
        <v>93.8</v>
      </c>
      <c r="R1300" s="1">
        <v>0.59560466500000009</v>
      </c>
      <c r="S1300" s="1">
        <v>0.10891042035163899</v>
      </c>
      <c r="T1300" t="s">
        <v>1447</v>
      </c>
      <c r="U1300" s="1">
        <v>7406</v>
      </c>
      <c r="V1300">
        <f t="shared" si="80"/>
        <v>0.42995374530149155</v>
      </c>
      <c r="W1300" s="1">
        <f t="shared" si="81"/>
        <v>20.399999999999991</v>
      </c>
      <c r="X1300">
        <f t="shared" si="82"/>
        <v>1.2103587060000001</v>
      </c>
      <c r="Y1300">
        <f t="shared" si="83"/>
        <v>30.700000000000003</v>
      </c>
      <c r="Z1300" s="1">
        <v>1</v>
      </c>
      <c r="AA1300">
        <v>99</v>
      </c>
      <c r="AB1300">
        <v>1.01E-2</v>
      </c>
      <c r="AC1300">
        <v>2</v>
      </c>
      <c r="AD1300">
        <v>85</v>
      </c>
      <c r="AE1300">
        <v>2.35E-2</v>
      </c>
      <c r="AF1300" t="s">
        <v>2589</v>
      </c>
      <c r="AG1300" t="s">
        <v>2590</v>
      </c>
    </row>
    <row r="1301" spans="1:33">
      <c r="A1301" s="2" t="s">
        <v>103</v>
      </c>
      <c r="B1301" s="2" t="s">
        <v>35</v>
      </c>
      <c r="C1301" s="1">
        <v>0.58538445800000005</v>
      </c>
      <c r="D1301">
        <v>0.70461059999999998</v>
      </c>
      <c r="E1301">
        <v>0.67846608399999997</v>
      </c>
      <c r="F1301" s="1" t="s">
        <v>104</v>
      </c>
      <c r="G1301" s="1">
        <v>1.1020080320000001</v>
      </c>
      <c r="H1301" s="1">
        <v>58.7</v>
      </c>
      <c r="I1301" s="1">
        <v>124.5</v>
      </c>
      <c r="J1301" s="1">
        <v>0.65615371400000011</v>
      </c>
      <c r="K1301" s="1">
        <v>0.52542897600000005</v>
      </c>
      <c r="L1301" s="1">
        <v>0.60774736299999998</v>
      </c>
      <c r="M1301" s="3">
        <v>0.62585751700000003</v>
      </c>
      <c r="N1301" s="1" t="s">
        <v>36</v>
      </c>
      <c r="O1301" s="1">
        <v>0.98848810399999998</v>
      </c>
      <c r="P1301" s="1">
        <v>54.2</v>
      </c>
      <c r="Q1301" s="1">
        <v>130.30000000000001</v>
      </c>
      <c r="R1301" s="1">
        <v>0.58634461866666665</v>
      </c>
      <c r="S1301" s="1">
        <v>0.12547831615766913</v>
      </c>
      <c r="T1301" t="s">
        <v>1448</v>
      </c>
      <c r="U1301" s="1">
        <v>96768</v>
      </c>
      <c r="V1301">
        <f t="shared" si="80"/>
        <v>0.55397019612767506</v>
      </c>
      <c r="W1301" s="1">
        <f t="shared" si="81"/>
        <v>4.5</v>
      </c>
      <c r="X1301">
        <f t="shared" si="82"/>
        <v>0.1135199280000001</v>
      </c>
      <c r="Y1301">
        <f t="shared" si="83"/>
        <v>5.8000000000000114</v>
      </c>
      <c r="Z1301" s="1">
        <v>4</v>
      </c>
      <c r="AA1301">
        <v>96</v>
      </c>
      <c r="AB1301">
        <v>4.1700000000000001E-2</v>
      </c>
      <c r="AC1301">
        <v>4</v>
      </c>
      <c r="AD1301">
        <v>82</v>
      </c>
      <c r="AE1301">
        <v>4.8800000000000003E-2</v>
      </c>
      <c r="AF1301" t="s">
        <v>2589</v>
      </c>
      <c r="AG1301" t="s">
        <v>2589</v>
      </c>
    </row>
    <row r="1302" spans="1:33">
      <c r="A1302" s="2" t="s">
        <v>103</v>
      </c>
      <c r="B1302" s="2" t="s">
        <v>37</v>
      </c>
      <c r="C1302" s="1">
        <v>0.58538445800000005</v>
      </c>
      <c r="D1302">
        <v>0.70461059999999998</v>
      </c>
      <c r="E1302">
        <v>0.67846608399999997</v>
      </c>
      <c r="F1302" s="1" t="s">
        <v>104</v>
      </c>
      <c r="G1302" s="1">
        <v>1.1020080320000001</v>
      </c>
      <c r="H1302" s="1">
        <v>58.7</v>
      </c>
      <c r="I1302" s="1">
        <v>124.5</v>
      </c>
      <c r="J1302" s="1">
        <v>0.65615371400000011</v>
      </c>
      <c r="K1302" s="1">
        <v>0.50856695500000004</v>
      </c>
      <c r="L1302" s="1">
        <v>0.654733224</v>
      </c>
      <c r="M1302" s="3">
        <v>0.61418267199999999</v>
      </c>
      <c r="N1302" s="1" t="s">
        <v>38</v>
      </c>
      <c r="O1302" s="1">
        <v>0.64065708399999999</v>
      </c>
      <c r="P1302" s="1">
        <v>41.9</v>
      </c>
      <c r="Q1302" s="1">
        <v>146.1</v>
      </c>
      <c r="R1302" s="1">
        <v>0.59249428366666679</v>
      </c>
      <c r="S1302" s="1">
        <v>0.111897446182485</v>
      </c>
      <c r="T1302" t="s">
        <v>1449</v>
      </c>
      <c r="U1302" s="1">
        <v>3070</v>
      </c>
      <c r="V1302">
        <f t="shared" si="80"/>
        <v>0.38745981949746516</v>
      </c>
      <c r="W1302" s="1">
        <f t="shared" si="81"/>
        <v>16.800000000000004</v>
      </c>
      <c r="X1302">
        <f t="shared" si="82"/>
        <v>0.46135094800000009</v>
      </c>
      <c r="Y1302">
        <f t="shared" si="83"/>
        <v>21.599999999999994</v>
      </c>
      <c r="Z1302" s="1">
        <v>1</v>
      </c>
      <c r="AA1302">
        <v>99</v>
      </c>
      <c r="AB1302">
        <v>1.01E-2</v>
      </c>
      <c r="AC1302">
        <v>2</v>
      </c>
      <c r="AD1302">
        <v>83</v>
      </c>
      <c r="AE1302">
        <v>2.41E-2</v>
      </c>
      <c r="AF1302" t="s">
        <v>2589</v>
      </c>
      <c r="AG1302" t="s">
        <v>2590</v>
      </c>
    </row>
    <row r="1303" spans="1:33">
      <c r="A1303" s="2" t="s">
        <v>103</v>
      </c>
      <c r="B1303" s="2" t="s">
        <v>39</v>
      </c>
      <c r="C1303" s="1">
        <v>0.58538445800000005</v>
      </c>
      <c r="D1303">
        <v>0.70461059999999998</v>
      </c>
      <c r="E1303">
        <v>0.67846608399999997</v>
      </c>
      <c r="F1303" s="1" t="s">
        <v>104</v>
      </c>
      <c r="G1303" s="1">
        <v>1.1020080320000001</v>
      </c>
      <c r="H1303" s="1">
        <v>58.7</v>
      </c>
      <c r="I1303" s="1">
        <v>124.5</v>
      </c>
      <c r="J1303" s="1">
        <v>0.65615371400000011</v>
      </c>
      <c r="K1303" s="1">
        <v>0.60811616199999996</v>
      </c>
      <c r="L1303" s="1">
        <v>0.721105683</v>
      </c>
      <c r="M1303" s="3">
        <v>0.741016169</v>
      </c>
      <c r="N1303" s="1" t="s">
        <v>40</v>
      </c>
      <c r="O1303" s="1">
        <v>1.0601915180000001</v>
      </c>
      <c r="P1303" s="1">
        <v>34</v>
      </c>
      <c r="Q1303" s="1">
        <v>73.099999999999994</v>
      </c>
      <c r="R1303" s="1">
        <v>0.69007933799999999</v>
      </c>
      <c r="S1303" s="1">
        <v>6.8566254553006842E-2</v>
      </c>
      <c r="T1303" t="s">
        <v>1450</v>
      </c>
      <c r="U1303" s="1">
        <v>6418</v>
      </c>
      <c r="V1303">
        <f t="shared" si="80"/>
        <v>0.42304441252883174</v>
      </c>
      <c r="W1303" s="1">
        <f t="shared" si="81"/>
        <v>24.700000000000003</v>
      </c>
      <c r="X1303">
        <f t="shared" si="82"/>
        <v>4.1816513999999971E-2</v>
      </c>
      <c r="Y1303">
        <f t="shared" si="83"/>
        <v>51.400000000000006</v>
      </c>
      <c r="Z1303" s="1">
        <v>1</v>
      </c>
      <c r="AA1303">
        <v>99</v>
      </c>
      <c r="AB1303">
        <v>1.01E-2</v>
      </c>
      <c r="AC1303">
        <v>2</v>
      </c>
      <c r="AD1303">
        <v>86</v>
      </c>
      <c r="AE1303">
        <v>2.3300000000000001E-2</v>
      </c>
      <c r="AF1303" t="s">
        <v>2589</v>
      </c>
      <c r="AG1303" t="s">
        <v>2589</v>
      </c>
    </row>
    <row r="1304" spans="1:33">
      <c r="A1304" s="2" t="s">
        <v>103</v>
      </c>
      <c r="B1304" s="2" t="s">
        <v>41</v>
      </c>
      <c r="C1304" s="1">
        <v>0.58538445800000005</v>
      </c>
      <c r="D1304">
        <v>0.70461059999999998</v>
      </c>
      <c r="E1304">
        <v>0.67846608399999997</v>
      </c>
      <c r="F1304" s="1" t="s">
        <v>104</v>
      </c>
      <c r="G1304" s="1">
        <v>1.1020080320000001</v>
      </c>
      <c r="H1304" s="1">
        <v>58.7</v>
      </c>
      <c r="I1304" s="1">
        <v>124.5</v>
      </c>
      <c r="J1304" s="1">
        <v>0.65615371400000011</v>
      </c>
      <c r="K1304" s="1">
        <v>0.60402244999999999</v>
      </c>
      <c r="L1304" s="1">
        <v>0.669189213</v>
      </c>
      <c r="M1304" s="3">
        <v>0.69821693799999995</v>
      </c>
      <c r="N1304" s="1" t="s">
        <v>42</v>
      </c>
      <c r="O1304" s="1">
        <v>1.3243902439999999</v>
      </c>
      <c r="P1304" s="1">
        <v>23</v>
      </c>
      <c r="Q1304" s="1">
        <v>41</v>
      </c>
      <c r="R1304" s="1">
        <v>0.65714286700000002</v>
      </c>
      <c r="S1304" s="1">
        <v>4.4633458711208392E-2</v>
      </c>
      <c r="T1304" t="s">
        <v>1451</v>
      </c>
      <c r="U1304" s="1">
        <v>573</v>
      </c>
      <c r="V1304">
        <f t="shared" si="80"/>
        <v>0.30646162466304333</v>
      </c>
      <c r="W1304" s="1">
        <f t="shared" si="81"/>
        <v>35.700000000000003</v>
      </c>
      <c r="X1304">
        <f t="shared" si="82"/>
        <v>0.22238221199999986</v>
      </c>
      <c r="Y1304">
        <f t="shared" si="83"/>
        <v>83.5</v>
      </c>
      <c r="Z1304" s="1">
        <v>0</v>
      </c>
      <c r="AA1304">
        <v>100</v>
      </c>
      <c r="AB1304">
        <v>0</v>
      </c>
      <c r="AC1304">
        <v>0</v>
      </c>
      <c r="AD1304">
        <v>102</v>
      </c>
      <c r="AE1304">
        <v>0</v>
      </c>
      <c r="AF1304" t="s">
        <v>2589</v>
      </c>
      <c r="AG1304" t="s">
        <v>2591</v>
      </c>
    </row>
    <row r="1305" spans="1:33">
      <c r="A1305" s="2" t="s">
        <v>103</v>
      </c>
      <c r="B1305" s="2" t="s">
        <v>43</v>
      </c>
      <c r="C1305" s="1">
        <v>0.58538445800000005</v>
      </c>
      <c r="D1305">
        <v>0.70461059999999998</v>
      </c>
      <c r="E1305">
        <v>0.67846608399999997</v>
      </c>
      <c r="F1305" s="1" t="s">
        <v>104</v>
      </c>
      <c r="G1305" s="1">
        <v>1.1020080320000001</v>
      </c>
      <c r="H1305" s="1">
        <v>58.7</v>
      </c>
      <c r="I1305" s="1">
        <v>124.5</v>
      </c>
      <c r="J1305" s="1">
        <v>0.65615371400000011</v>
      </c>
      <c r="K1305" s="1">
        <v>0.54180634699999997</v>
      </c>
      <c r="L1305" s="1">
        <v>0.59470779900000004</v>
      </c>
      <c r="M1305" s="3">
        <v>0.69518155599999998</v>
      </c>
      <c r="N1305" s="1" t="s">
        <v>44</v>
      </c>
      <c r="O1305" s="1">
        <v>1.7403685090000001</v>
      </c>
      <c r="P1305" s="1">
        <v>41.2</v>
      </c>
      <c r="Q1305" s="1">
        <v>59.7</v>
      </c>
      <c r="R1305" s="1">
        <v>0.61056523400000007</v>
      </c>
      <c r="S1305" s="1">
        <v>0.11940303358858476</v>
      </c>
      <c r="T1305" t="s">
        <v>1452</v>
      </c>
      <c r="U1305" s="1">
        <v>7408</v>
      </c>
      <c r="V1305">
        <f t="shared" si="80"/>
        <v>0.42996677485265311</v>
      </c>
      <c r="W1305" s="1">
        <f t="shared" si="81"/>
        <v>17.5</v>
      </c>
      <c r="X1305">
        <f t="shared" si="82"/>
        <v>0.63836047699999998</v>
      </c>
      <c r="Y1305">
        <f t="shared" si="83"/>
        <v>64.8</v>
      </c>
      <c r="Z1305" s="1">
        <v>2</v>
      </c>
      <c r="AA1305">
        <v>98</v>
      </c>
      <c r="AB1305">
        <v>2.0400000000000001E-2</v>
      </c>
      <c r="AC1305">
        <v>3</v>
      </c>
      <c r="AD1305">
        <v>121</v>
      </c>
      <c r="AE1305">
        <v>2.4799999999999999E-2</v>
      </c>
      <c r="AF1305" t="s">
        <v>2589</v>
      </c>
      <c r="AG1305" t="s">
        <v>2589</v>
      </c>
    </row>
    <row r="1306" spans="1:33">
      <c r="A1306" s="2" t="s">
        <v>103</v>
      </c>
      <c r="B1306" s="2" t="s">
        <v>45</v>
      </c>
      <c r="C1306" s="1">
        <v>0.58538445800000005</v>
      </c>
      <c r="D1306">
        <v>0.70461059999999998</v>
      </c>
      <c r="E1306">
        <v>0.67846608399999997</v>
      </c>
      <c r="F1306" s="1" t="s">
        <v>104</v>
      </c>
      <c r="G1306" s="1">
        <v>1.1020080320000001</v>
      </c>
      <c r="H1306" s="1">
        <v>58.7</v>
      </c>
      <c r="I1306" s="1">
        <v>124.5</v>
      </c>
      <c r="J1306" s="1">
        <v>0.65615371400000011</v>
      </c>
      <c r="K1306" s="1">
        <v>0.50907007599999998</v>
      </c>
      <c r="L1306" s="1">
        <v>0.68428041399999995</v>
      </c>
      <c r="M1306" s="3">
        <v>0.67454742099999998</v>
      </c>
      <c r="N1306" s="1" t="s">
        <v>46</v>
      </c>
      <c r="O1306" s="1">
        <v>0.98140043799999999</v>
      </c>
      <c r="P1306" s="1">
        <v>38.9</v>
      </c>
      <c r="Q1306" s="1">
        <v>91.4</v>
      </c>
      <c r="R1306" s="1">
        <v>0.62263263699999993</v>
      </c>
      <c r="S1306" s="1">
        <v>7.9073113525041497E-2</v>
      </c>
      <c r="T1306" t="s">
        <v>1453</v>
      </c>
      <c r="U1306" s="1">
        <v>5323</v>
      </c>
      <c r="V1306">
        <f t="shared" si="80"/>
        <v>0.41401738513030606</v>
      </c>
      <c r="W1306" s="1">
        <f t="shared" si="81"/>
        <v>19.800000000000004</v>
      </c>
      <c r="X1306">
        <f t="shared" si="82"/>
        <v>0.1206075940000001</v>
      </c>
      <c r="Y1306">
        <f t="shared" si="83"/>
        <v>33.099999999999994</v>
      </c>
      <c r="Z1306" s="1">
        <v>3</v>
      </c>
      <c r="AA1306">
        <v>97</v>
      </c>
      <c r="AB1306">
        <v>3.09E-2</v>
      </c>
      <c r="AC1306">
        <v>3</v>
      </c>
      <c r="AD1306">
        <v>101</v>
      </c>
      <c r="AE1306">
        <v>2.9700000000000001E-2</v>
      </c>
      <c r="AF1306" t="s">
        <v>2589</v>
      </c>
      <c r="AG1306" t="s">
        <v>2589</v>
      </c>
    </row>
    <row r="1307" spans="1:33">
      <c r="A1307" s="2" t="s">
        <v>103</v>
      </c>
      <c r="B1307" s="2" t="s">
        <v>47</v>
      </c>
      <c r="C1307" s="1">
        <v>0.58538445800000005</v>
      </c>
      <c r="D1307">
        <v>0.70461059999999998</v>
      </c>
      <c r="E1307">
        <v>0.67846608399999997</v>
      </c>
      <c r="F1307" s="1" t="s">
        <v>104</v>
      </c>
      <c r="G1307" s="1">
        <v>1.1020080320000001</v>
      </c>
      <c r="H1307" s="1">
        <v>58.7</v>
      </c>
      <c r="I1307" s="1">
        <v>124.5</v>
      </c>
      <c r="J1307" s="1">
        <v>0.65615371400000011</v>
      </c>
      <c r="K1307" s="1">
        <v>0.50612154099999995</v>
      </c>
      <c r="L1307" s="1">
        <v>0.55940039100000005</v>
      </c>
      <c r="M1307" s="3">
        <v>0.66789001699999995</v>
      </c>
      <c r="N1307" s="1" t="s">
        <v>48</v>
      </c>
      <c r="O1307" s="1">
        <v>1.242622951</v>
      </c>
      <c r="P1307" s="1">
        <v>17.8</v>
      </c>
      <c r="Q1307" s="1">
        <v>30.5</v>
      </c>
      <c r="R1307" s="1">
        <v>0.57780398300000002</v>
      </c>
      <c r="S1307" s="1">
        <v>0.16577233786841836</v>
      </c>
      <c r="T1307" t="s">
        <v>1454</v>
      </c>
      <c r="U1307" s="1">
        <v>2027</v>
      </c>
      <c r="V1307">
        <f t="shared" si="80"/>
        <v>0.36742819429922319</v>
      </c>
      <c r="W1307" s="1">
        <f t="shared" si="81"/>
        <v>40.900000000000006</v>
      </c>
      <c r="X1307">
        <f t="shared" si="82"/>
        <v>0.14061491899999989</v>
      </c>
      <c r="Y1307">
        <f t="shared" si="83"/>
        <v>94</v>
      </c>
      <c r="Z1307" s="1">
        <v>0</v>
      </c>
      <c r="AA1307">
        <v>100</v>
      </c>
      <c r="AB1307">
        <v>0</v>
      </c>
      <c r="AC1307">
        <v>1</v>
      </c>
      <c r="AD1307">
        <v>110</v>
      </c>
      <c r="AE1307">
        <v>9.1000000000000004E-3</v>
      </c>
      <c r="AF1307" t="s">
        <v>2589</v>
      </c>
      <c r="AG1307" t="s">
        <v>2590</v>
      </c>
    </row>
    <row r="1308" spans="1:33">
      <c r="A1308" s="2" t="s">
        <v>103</v>
      </c>
      <c r="B1308" s="2" t="s">
        <v>49</v>
      </c>
      <c r="C1308" s="1">
        <v>0.58538445800000005</v>
      </c>
      <c r="D1308">
        <v>0.70461059999999998</v>
      </c>
      <c r="E1308">
        <v>0.67846608399999997</v>
      </c>
      <c r="F1308" s="1" t="s">
        <v>104</v>
      </c>
      <c r="G1308" s="1">
        <v>1.1020080320000001</v>
      </c>
      <c r="H1308" s="1">
        <v>58.7</v>
      </c>
      <c r="I1308" s="1">
        <v>124.5</v>
      </c>
      <c r="J1308" s="1">
        <v>0.65615371400000011</v>
      </c>
      <c r="K1308" s="1">
        <v>0.50647110500000003</v>
      </c>
      <c r="L1308" s="1">
        <v>0.55713136799999996</v>
      </c>
      <c r="M1308" s="3">
        <v>0.63402682300000002</v>
      </c>
      <c r="N1308" s="1" t="s">
        <v>50</v>
      </c>
      <c r="O1308" s="1">
        <v>1.876675603</v>
      </c>
      <c r="P1308" s="1">
        <v>28.8</v>
      </c>
      <c r="Q1308" s="1">
        <v>37.299999999999997</v>
      </c>
      <c r="R1308" s="1">
        <v>0.56587643200000004</v>
      </c>
      <c r="S1308" s="1">
        <v>0.17306729636542703</v>
      </c>
      <c r="T1308" t="s">
        <v>1455</v>
      </c>
      <c r="U1308" s="1">
        <v>5570</v>
      </c>
      <c r="V1308">
        <f t="shared" si="80"/>
        <v>0.41620613279708096</v>
      </c>
      <c r="W1308" s="1">
        <f t="shared" si="81"/>
        <v>29.900000000000002</v>
      </c>
      <c r="X1308">
        <f t="shared" si="82"/>
        <v>0.77466757099999994</v>
      </c>
      <c r="Y1308">
        <f t="shared" si="83"/>
        <v>87.2</v>
      </c>
      <c r="Z1308" s="1">
        <v>0</v>
      </c>
      <c r="AA1308">
        <v>100</v>
      </c>
      <c r="AB1308">
        <v>0</v>
      </c>
      <c r="AC1308">
        <v>1</v>
      </c>
      <c r="AD1308">
        <v>84</v>
      </c>
      <c r="AE1308">
        <v>1.1900000000000001E-2</v>
      </c>
      <c r="AF1308" t="s">
        <v>2589</v>
      </c>
      <c r="AG1308" t="s">
        <v>2590</v>
      </c>
    </row>
    <row r="1309" spans="1:33">
      <c r="A1309" s="2" t="s">
        <v>103</v>
      </c>
      <c r="B1309" s="2" t="s">
        <v>51</v>
      </c>
      <c r="C1309" s="1">
        <v>0.58538445800000005</v>
      </c>
      <c r="D1309">
        <v>0.70461059999999998</v>
      </c>
      <c r="E1309">
        <v>0.67846608399999997</v>
      </c>
      <c r="F1309" s="1" t="s">
        <v>104</v>
      </c>
      <c r="G1309" s="1">
        <v>1.1020080320000001</v>
      </c>
      <c r="H1309" s="1">
        <v>58.7</v>
      </c>
      <c r="I1309" s="1">
        <v>124.5</v>
      </c>
      <c r="J1309" s="1">
        <v>0.65615371400000011</v>
      </c>
      <c r="K1309" s="1">
        <v>0.60067161999999996</v>
      </c>
      <c r="L1309" s="1">
        <v>0.68094129999999997</v>
      </c>
      <c r="M1309" s="3">
        <v>0.73595931299999995</v>
      </c>
      <c r="N1309" s="1" t="s">
        <v>52</v>
      </c>
      <c r="O1309" s="1">
        <v>1.858638743</v>
      </c>
      <c r="P1309" s="1">
        <v>29.4</v>
      </c>
      <c r="Q1309" s="1">
        <v>38.200000000000003</v>
      </c>
      <c r="R1309" s="1">
        <v>0.67252407766666666</v>
      </c>
      <c r="S1309" s="1">
        <v>6.402659186112189E-2</v>
      </c>
      <c r="T1309" t="s">
        <v>1456</v>
      </c>
      <c r="U1309" s="1">
        <v>598</v>
      </c>
      <c r="V1309">
        <f t="shared" si="80"/>
        <v>0.30852235377649007</v>
      </c>
      <c r="W1309" s="1">
        <f t="shared" si="81"/>
        <v>29.300000000000004</v>
      </c>
      <c r="X1309">
        <f t="shared" si="82"/>
        <v>0.7566307109999999</v>
      </c>
      <c r="Y1309">
        <f t="shared" si="83"/>
        <v>86.3</v>
      </c>
      <c r="Z1309" s="1">
        <v>0</v>
      </c>
      <c r="AA1309">
        <v>100</v>
      </c>
      <c r="AB1309">
        <v>0</v>
      </c>
      <c r="AC1309">
        <v>1</v>
      </c>
      <c r="AD1309">
        <v>93</v>
      </c>
      <c r="AE1309">
        <v>1.0800000000000001E-2</v>
      </c>
      <c r="AF1309" t="s">
        <v>2589</v>
      </c>
      <c r="AG1309" t="s">
        <v>2591</v>
      </c>
    </row>
    <row r="1310" spans="1:33">
      <c r="A1310" s="2" t="s">
        <v>103</v>
      </c>
      <c r="B1310" s="2" t="s">
        <v>53</v>
      </c>
      <c r="C1310" s="1">
        <v>0.58538445800000005</v>
      </c>
      <c r="D1310">
        <v>0.70461059999999998</v>
      </c>
      <c r="E1310">
        <v>0.67846608399999997</v>
      </c>
      <c r="F1310" s="1" t="s">
        <v>104</v>
      </c>
      <c r="G1310" s="1">
        <v>1.1020080320000001</v>
      </c>
      <c r="H1310" s="1">
        <v>58.7</v>
      </c>
      <c r="I1310" s="1">
        <v>124.5</v>
      </c>
      <c r="J1310" s="1">
        <v>0.65615371400000011</v>
      </c>
      <c r="K1310" s="1">
        <v>0.54695832700000002</v>
      </c>
      <c r="L1310" s="1">
        <v>0.659790137</v>
      </c>
      <c r="M1310" s="3">
        <v>0.70662085500000005</v>
      </c>
      <c r="N1310" s="1" t="s">
        <v>54</v>
      </c>
      <c r="O1310" s="1">
        <v>2.5053995680000001</v>
      </c>
      <c r="P1310" s="1">
        <v>43.9</v>
      </c>
      <c r="Q1310" s="1">
        <v>46.3</v>
      </c>
      <c r="R1310" s="1">
        <v>0.63778977300000006</v>
      </c>
      <c r="S1310" s="1">
        <v>6.5407435183058318E-2</v>
      </c>
      <c r="T1310" t="s">
        <v>1457</v>
      </c>
      <c r="U1310" s="1">
        <v>1086</v>
      </c>
      <c r="V1310">
        <f t="shared" si="80"/>
        <v>0.337314425028092</v>
      </c>
      <c r="W1310" s="1">
        <f t="shared" si="81"/>
        <v>14.800000000000004</v>
      </c>
      <c r="X1310">
        <f t="shared" si="82"/>
        <v>1.403391536</v>
      </c>
      <c r="Y1310">
        <f t="shared" si="83"/>
        <v>78.2</v>
      </c>
      <c r="Z1310" s="1">
        <v>0</v>
      </c>
      <c r="AA1310">
        <v>100</v>
      </c>
      <c r="AB1310">
        <v>0</v>
      </c>
      <c r="AC1310">
        <v>1</v>
      </c>
      <c r="AD1310">
        <v>93</v>
      </c>
      <c r="AE1310">
        <v>1.0800000000000001E-2</v>
      </c>
      <c r="AF1310" t="s">
        <v>2589</v>
      </c>
      <c r="AG1310" t="s">
        <v>2593</v>
      </c>
    </row>
    <row r="1311" spans="1:33">
      <c r="A1311" s="2" t="s">
        <v>103</v>
      </c>
      <c r="B1311" s="2" t="s">
        <v>55</v>
      </c>
      <c r="C1311" s="1">
        <v>0.58538445800000005</v>
      </c>
      <c r="D1311">
        <v>0.70461059999999998</v>
      </c>
      <c r="E1311">
        <v>0.67846608399999997</v>
      </c>
      <c r="F1311" s="1" t="s">
        <v>104</v>
      </c>
      <c r="G1311" s="1">
        <v>1.1020080320000001</v>
      </c>
      <c r="H1311" s="1">
        <v>58.7</v>
      </c>
      <c r="I1311" s="1">
        <v>124.5</v>
      </c>
      <c r="J1311" s="1">
        <v>0.65615371400000011</v>
      </c>
      <c r="K1311" s="1">
        <v>0.52971861799999997</v>
      </c>
      <c r="L1311" s="1">
        <v>0.62258244500000004</v>
      </c>
      <c r="M1311" s="3">
        <v>0.63939760400000001</v>
      </c>
      <c r="N1311" s="1" t="s">
        <v>56</v>
      </c>
      <c r="O1311" s="1">
        <v>1.0796934869999999</v>
      </c>
      <c r="P1311" s="1">
        <v>55.3</v>
      </c>
      <c r="Q1311" s="1">
        <v>130.5</v>
      </c>
      <c r="R1311" s="1">
        <v>0.59723288899999993</v>
      </c>
      <c r="S1311" s="1">
        <v>0.1065535080845301</v>
      </c>
      <c r="T1311" t="s">
        <v>1458</v>
      </c>
      <c r="U1311" s="1">
        <v>8951</v>
      </c>
      <c r="V1311">
        <f t="shared" si="80"/>
        <v>0.43909683968092938</v>
      </c>
      <c r="W1311" s="1">
        <f t="shared" si="81"/>
        <v>3.4000000000000057</v>
      </c>
      <c r="X1311">
        <f t="shared" si="82"/>
        <v>2.2314545000000185E-2</v>
      </c>
      <c r="Y1311">
        <f t="shared" si="83"/>
        <v>6</v>
      </c>
      <c r="Z1311" s="1">
        <v>1</v>
      </c>
      <c r="AA1311">
        <v>99</v>
      </c>
      <c r="AB1311">
        <v>1.01E-2</v>
      </c>
      <c r="AC1311">
        <v>2</v>
      </c>
      <c r="AD1311">
        <v>84</v>
      </c>
      <c r="AE1311">
        <v>2.3800000000000002E-2</v>
      </c>
      <c r="AF1311" t="s">
        <v>2589</v>
      </c>
      <c r="AG1311" t="s">
        <v>2592</v>
      </c>
    </row>
    <row r="1312" spans="1:33">
      <c r="A1312" s="2" t="s">
        <v>103</v>
      </c>
      <c r="B1312" s="2" t="s">
        <v>57</v>
      </c>
      <c r="C1312" s="1">
        <v>0.58538445800000005</v>
      </c>
      <c r="D1312">
        <v>0.70461059999999998</v>
      </c>
      <c r="E1312">
        <v>0.67846608399999997</v>
      </c>
      <c r="F1312" s="1" t="s">
        <v>104</v>
      </c>
      <c r="G1312" s="1">
        <v>1.1020080320000001</v>
      </c>
      <c r="H1312" s="1">
        <v>58.7</v>
      </c>
      <c r="I1312" s="1">
        <v>124.5</v>
      </c>
      <c r="J1312" s="1">
        <v>0.65615371400000011</v>
      </c>
      <c r="K1312" s="1">
        <v>0.528732855</v>
      </c>
      <c r="L1312" s="1">
        <v>0.63387497599999998</v>
      </c>
      <c r="M1312" s="3">
        <v>0.63337360200000004</v>
      </c>
      <c r="N1312" s="1" t="s">
        <v>58</v>
      </c>
      <c r="O1312" s="1">
        <v>1.386610879</v>
      </c>
      <c r="P1312" s="1">
        <v>69</v>
      </c>
      <c r="Q1312" s="1">
        <v>119.5</v>
      </c>
      <c r="R1312" s="1">
        <v>0.59866047766666663</v>
      </c>
      <c r="S1312" s="1">
        <v>0.10122383394270001</v>
      </c>
      <c r="T1312" t="s">
        <v>1459</v>
      </c>
      <c r="U1312" s="1">
        <v>41221</v>
      </c>
      <c r="V1312">
        <f t="shared" si="80"/>
        <v>0.51279094703655848</v>
      </c>
      <c r="W1312" s="1">
        <f t="shared" si="81"/>
        <v>10.299999999999997</v>
      </c>
      <c r="X1312">
        <f t="shared" si="82"/>
        <v>0.28460284699999994</v>
      </c>
      <c r="Y1312">
        <f t="shared" si="83"/>
        <v>5</v>
      </c>
      <c r="Z1312" s="1">
        <v>3</v>
      </c>
      <c r="AA1312">
        <v>97</v>
      </c>
      <c r="AB1312">
        <v>3.09E-2</v>
      </c>
      <c r="AC1312">
        <v>3</v>
      </c>
      <c r="AD1312">
        <v>89</v>
      </c>
      <c r="AE1312">
        <v>3.3700000000000001E-2</v>
      </c>
      <c r="AF1312" t="s">
        <v>2589</v>
      </c>
      <c r="AG1312" t="s">
        <v>2589</v>
      </c>
    </row>
    <row r="1313" spans="1:33">
      <c r="A1313" s="2" t="s">
        <v>103</v>
      </c>
      <c r="B1313" s="2" t="s">
        <v>59</v>
      </c>
      <c r="C1313" s="1">
        <v>0.58538445800000005</v>
      </c>
      <c r="D1313">
        <v>0.70461059999999998</v>
      </c>
      <c r="E1313">
        <v>0.67846608399999997</v>
      </c>
      <c r="F1313" s="1" t="s">
        <v>104</v>
      </c>
      <c r="G1313" s="1">
        <v>1.1020080320000001</v>
      </c>
      <c r="H1313" s="1">
        <v>58.7</v>
      </c>
      <c r="I1313" s="1">
        <v>124.5</v>
      </c>
      <c r="J1313" s="1">
        <v>0.65615371400000011</v>
      </c>
      <c r="K1313" s="1">
        <v>0.56225432799999997</v>
      </c>
      <c r="L1313" s="1">
        <v>0.68100706499999997</v>
      </c>
      <c r="M1313" s="3">
        <v>0.67505263699999996</v>
      </c>
      <c r="N1313" s="1" t="s">
        <v>60</v>
      </c>
      <c r="O1313" s="1">
        <v>1.1501154730000001</v>
      </c>
      <c r="P1313" s="1">
        <v>60.5</v>
      </c>
      <c r="Q1313" s="1">
        <v>129.9</v>
      </c>
      <c r="R1313" s="1">
        <v>0.63943801</v>
      </c>
      <c r="S1313" s="1">
        <v>3.3223205726343422E-2</v>
      </c>
      <c r="T1313" t="s">
        <v>1460</v>
      </c>
      <c r="U1313" s="1">
        <v>12999</v>
      </c>
      <c r="V1313">
        <f t="shared" si="80"/>
        <v>0.45710110486155969</v>
      </c>
      <c r="W1313" s="1">
        <f t="shared" si="81"/>
        <v>1.7999999999999972</v>
      </c>
      <c r="X1313">
        <f t="shared" si="82"/>
        <v>4.8107440999999973E-2</v>
      </c>
      <c r="Y1313">
        <f t="shared" si="83"/>
        <v>5.4000000000000057</v>
      </c>
      <c r="Z1313" s="1">
        <v>2</v>
      </c>
      <c r="AA1313">
        <v>98</v>
      </c>
      <c r="AB1313">
        <v>2.0400000000000001E-2</v>
      </c>
      <c r="AC1313">
        <v>2</v>
      </c>
      <c r="AD1313">
        <v>109</v>
      </c>
      <c r="AE1313">
        <v>1.83E-2</v>
      </c>
      <c r="AF1313" t="s">
        <v>2589</v>
      </c>
      <c r="AG1313" t="s">
        <v>2589</v>
      </c>
    </row>
    <row r="1314" spans="1:33">
      <c r="A1314" s="2" t="s">
        <v>103</v>
      </c>
      <c r="B1314" s="2" t="s">
        <v>61</v>
      </c>
      <c r="C1314" s="1">
        <v>0.58538445800000005</v>
      </c>
      <c r="D1314">
        <v>0.70461059999999998</v>
      </c>
      <c r="E1314">
        <v>0.67846608399999997</v>
      </c>
      <c r="F1314" s="1" t="s">
        <v>104</v>
      </c>
      <c r="G1314" s="1">
        <v>1.1020080320000001</v>
      </c>
      <c r="H1314" s="1">
        <v>58.7</v>
      </c>
      <c r="I1314" s="1">
        <v>124.5</v>
      </c>
      <c r="J1314" s="1">
        <v>0.65615371400000011</v>
      </c>
      <c r="K1314" s="1">
        <v>0.62063455999999995</v>
      </c>
      <c r="L1314" s="1">
        <v>0.67798104299999995</v>
      </c>
      <c r="M1314" s="3">
        <v>0.72175371600000005</v>
      </c>
      <c r="N1314" s="1" t="s">
        <v>62</v>
      </c>
      <c r="O1314" s="1">
        <v>7.5471698109999998</v>
      </c>
      <c r="P1314" s="1">
        <v>26.4</v>
      </c>
      <c r="Q1314" s="1">
        <v>10.6</v>
      </c>
      <c r="R1314" s="1">
        <v>0.6734564396666668</v>
      </c>
      <c r="S1314" s="1">
        <v>6.1850805016540222E-2</v>
      </c>
      <c r="T1314" t="s">
        <v>1461</v>
      </c>
      <c r="U1314" s="1">
        <v>3422</v>
      </c>
      <c r="V1314">
        <f t="shared" si="80"/>
        <v>0.39269777835612019</v>
      </c>
      <c r="W1314" s="1">
        <f t="shared" si="81"/>
        <v>32.300000000000004</v>
      </c>
      <c r="X1314">
        <f t="shared" si="82"/>
        <v>6.4451617789999993</v>
      </c>
      <c r="Y1314">
        <f t="shared" si="83"/>
        <v>113.9</v>
      </c>
      <c r="Z1314" s="1">
        <v>0</v>
      </c>
      <c r="AA1314">
        <v>100</v>
      </c>
      <c r="AB1314">
        <v>0</v>
      </c>
      <c r="AC1314">
        <v>0</v>
      </c>
      <c r="AD1314">
        <v>86</v>
      </c>
      <c r="AE1314">
        <v>0</v>
      </c>
      <c r="AF1314" t="s">
        <v>2589</v>
      </c>
      <c r="AG1314" t="s">
        <v>2588</v>
      </c>
    </row>
    <row r="1315" spans="1:33">
      <c r="A1315" s="2" t="s">
        <v>103</v>
      </c>
      <c r="B1315" s="2" t="s">
        <v>63</v>
      </c>
      <c r="C1315" s="1">
        <v>0.58538445800000005</v>
      </c>
      <c r="D1315">
        <v>0.70461059999999998</v>
      </c>
      <c r="E1315">
        <v>0.67846608399999997</v>
      </c>
      <c r="F1315" s="1" t="s">
        <v>104</v>
      </c>
      <c r="G1315" s="1">
        <v>1.1020080320000001</v>
      </c>
      <c r="H1315" s="1">
        <v>58.7</v>
      </c>
      <c r="I1315" s="1">
        <v>124.5</v>
      </c>
      <c r="J1315" s="1">
        <v>0.65615371400000011</v>
      </c>
      <c r="K1315" s="1">
        <v>0.44311141399999998</v>
      </c>
      <c r="L1315" s="1">
        <v>0.57053969199999999</v>
      </c>
      <c r="M1315" s="3">
        <v>0.59266330599999995</v>
      </c>
      <c r="N1315" s="1" t="s">
        <v>64</v>
      </c>
      <c r="O1315" s="1">
        <v>0.89618138400000003</v>
      </c>
      <c r="P1315" s="1">
        <v>29.7</v>
      </c>
      <c r="Q1315" s="1">
        <v>83.8</v>
      </c>
      <c r="R1315" s="1">
        <v>0.53543813733333334</v>
      </c>
      <c r="S1315" s="1">
        <v>0.21349178938190505</v>
      </c>
      <c r="T1315" t="s">
        <v>1462</v>
      </c>
      <c r="U1315" s="1">
        <v>1358</v>
      </c>
      <c r="V1315">
        <f t="shared" si="80"/>
        <v>0.34809997443827589</v>
      </c>
      <c r="W1315" s="1">
        <f t="shared" si="81"/>
        <v>29.000000000000004</v>
      </c>
      <c r="X1315">
        <f t="shared" si="82"/>
        <v>0.20582664800000006</v>
      </c>
      <c r="Y1315">
        <f t="shared" si="83"/>
        <v>40.700000000000003</v>
      </c>
      <c r="Z1315" s="1">
        <v>0</v>
      </c>
      <c r="AA1315">
        <v>100</v>
      </c>
      <c r="AB1315">
        <v>0</v>
      </c>
      <c r="AC1315">
        <v>1</v>
      </c>
      <c r="AD1315">
        <v>92</v>
      </c>
      <c r="AE1315">
        <v>1.09E-2</v>
      </c>
      <c r="AF1315" t="s">
        <v>2589</v>
      </c>
      <c r="AG1315" t="s">
        <v>2590</v>
      </c>
    </row>
    <row r="1316" spans="1:33">
      <c r="A1316" s="2" t="s">
        <v>103</v>
      </c>
      <c r="B1316" s="2" t="s">
        <v>65</v>
      </c>
      <c r="C1316" s="1">
        <v>0.58538445800000005</v>
      </c>
      <c r="D1316">
        <v>0.70461059999999998</v>
      </c>
      <c r="E1316">
        <v>0.67846608399999997</v>
      </c>
      <c r="F1316" s="1" t="s">
        <v>104</v>
      </c>
      <c r="G1316" s="1">
        <v>1.1020080320000001</v>
      </c>
      <c r="H1316" s="1">
        <v>58.7</v>
      </c>
      <c r="I1316" s="1">
        <v>124.5</v>
      </c>
      <c r="J1316" s="1">
        <v>0.65615371400000011</v>
      </c>
      <c r="K1316" s="1">
        <v>0.67377447499999998</v>
      </c>
      <c r="L1316" s="1">
        <v>0.69144672900000004</v>
      </c>
      <c r="M1316" s="3">
        <v>0.73046409700000003</v>
      </c>
      <c r="N1316" s="1" t="s">
        <v>66</v>
      </c>
      <c r="O1316" s="1">
        <v>1.8507462690000001</v>
      </c>
      <c r="P1316" s="1">
        <v>34.5</v>
      </c>
      <c r="Q1316" s="1">
        <v>46.9</v>
      </c>
      <c r="R1316" s="1">
        <v>0.69856176700000006</v>
      </c>
      <c r="S1316" s="1">
        <v>0.10339185635683834</v>
      </c>
      <c r="T1316" t="s">
        <v>1463</v>
      </c>
      <c r="U1316" s="1">
        <v>514</v>
      </c>
      <c r="V1316">
        <f t="shared" si="80"/>
        <v>0.30121812433280842</v>
      </c>
      <c r="W1316" s="1">
        <f t="shared" si="81"/>
        <v>24.200000000000003</v>
      </c>
      <c r="X1316">
        <f t="shared" si="82"/>
        <v>0.74873823699999997</v>
      </c>
      <c r="Y1316">
        <f t="shared" si="83"/>
        <v>77.599999999999994</v>
      </c>
      <c r="Z1316" s="1">
        <v>0</v>
      </c>
      <c r="AA1316">
        <v>100</v>
      </c>
      <c r="AB1316">
        <v>0</v>
      </c>
      <c r="AC1316">
        <v>0</v>
      </c>
      <c r="AD1316">
        <v>75</v>
      </c>
      <c r="AE1316">
        <v>0</v>
      </c>
      <c r="AF1316" t="s">
        <v>2589</v>
      </c>
      <c r="AG1316" t="s">
        <v>2593</v>
      </c>
    </row>
    <row r="1317" spans="1:33">
      <c r="A1317" s="2" t="s">
        <v>103</v>
      </c>
      <c r="B1317" s="2" t="s">
        <v>67</v>
      </c>
      <c r="C1317" s="1">
        <v>0.58538445800000005</v>
      </c>
      <c r="D1317">
        <v>0.70461059999999998</v>
      </c>
      <c r="E1317">
        <v>0.67846608399999997</v>
      </c>
      <c r="F1317" s="1" t="s">
        <v>104</v>
      </c>
      <c r="G1317" s="1">
        <v>1.1020080320000001</v>
      </c>
      <c r="H1317" s="1">
        <v>58.7</v>
      </c>
      <c r="I1317" s="1">
        <v>124.5</v>
      </c>
      <c r="J1317" s="1">
        <v>0.65615371400000011</v>
      </c>
      <c r="K1317" s="1">
        <v>0.53971122199999999</v>
      </c>
      <c r="L1317" s="1">
        <v>0.621203065</v>
      </c>
      <c r="M1317" s="3">
        <v>0.67806811499999997</v>
      </c>
      <c r="N1317" s="1" t="s">
        <v>68</v>
      </c>
      <c r="O1317" s="1">
        <v>1.5131894480000001</v>
      </c>
      <c r="P1317" s="1">
        <v>27.2</v>
      </c>
      <c r="Q1317" s="1">
        <v>41.7</v>
      </c>
      <c r="R1317" s="1">
        <v>0.61299413400000002</v>
      </c>
      <c r="S1317" s="1">
        <v>9.509479355260668E-2</v>
      </c>
      <c r="T1317" t="s">
        <v>1464</v>
      </c>
      <c r="U1317" s="1">
        <v>1606</v>
      </c>
      <c r="V1317">
        <f t="shared" si="80"/>
        <v>0.35619394899362911</v>
      </c>
      <c r="W1317" s="1">
        <f t="shared" si="81"/>
        <v>31.500000000000004</v>
      </c>
      <c r="X1317">
        <f t="shared" si="82"/>
        <v>0.41118141600000002</v>
      </c>
      <c r="Y1317">
        <f t="shared" si="83"/>
        <v>82.8</v>
      </c>
      <c r="Z1317" s="1">
        <v>0</v>
      </c>
      <c r="AA1317">
        <v>100</v>
      </c>
      <c r="AB1317">
        <v>0</v>
      </c>
      <c r="AC1317">
        <v>1</v>
      </c>
      <c r="AD1317">
        <v>85</v>
      </c>
      <c r="AE1317">
        <v>1.18E-2</v>
      </c>
      <c r="AF1317" t="s">
        <v>2589</v>
      </c>
      <c r="AG1317" t="s">
        <v>2588</v>
      </c>
    </row>
    <row r="1318" spans="1:33">
      <c r="A1318" s="2" t="s">
        <v>103</v>
      </c>
      <c r="B1318" s="2" t="s">
        <v>69</v>
      </c>
      <c r="C1318" s="1">
        <v>0.58538445800000005</v>
      </c>
      <c r="D1318">
        <v>0.70461059999999998</v>
      </c>
      <c r="E1318">
        <v>0.67846608399999997</v>
      </c>
      <c r="F1318" s="1" t="s">
        <v>104</v>
      </c>
      <c r="G1318" s="1">
        <v>1.1020080320000001</v>
      </c>
      <c r="H1318" s="1">
        <v>58.7</v>
      </c>
      <c r="I1318" s="1">
        <v>124.5</v>
      </c>
      <c r="J1318" s="1">
        <v>0.65615371400000011</v>
      </c>
      <c r="K1318" s="1">
        <v>0.50188385300000005</v>
      </c>
      <c r="L1318" s="1">
        <v>0.64580031500000001</v>
      </c>
      <c r="M1318" s="3">
        <v>0.66006355800000005</v>
      </c>
      <c r="N1318" s="1" t="s">
        <v>70</v>
      </c>
      <c r="O1318" s="1">
        <v>1.2401055409999999</v>
      </c>
      <c r="P1318" s="1">
        <v>43.4</v>
      </c>
      <c r="Q1318" s="1">
        <v>75.8</v>
      </c>
      <c r="R1318" s="1">
        <v>0.60258257533333337</v>
      </c>
      <c r="S1318" s="1">
        <v>0.10377694166011985</v>
      </c>
      <c r="T1318" t="s">
        <v>1465</v>
      </c>
      <c r="U1318" s="1">
        <v>51980</v>
      </c>
      <c r="V1318">
        <f t="shared" si="80"/>
        <v>0.52398180835166597</v>
      </c>
      <c r="W1318" s="1">
        <f t="shared" si="81"/>
        <v>15.300000000000004</v>
      </c>
      <c r="X1318">
        <f t="shared" si="82"/>
        <v>0.13809750899999984</v>
      </c>
      <c r="Y1318">
        <f t="shared" si="83"/>
        <v>48.7</v>
      </c>
      <c r="Z1318" s="1">
        <v>3</v>
      </c>
      <c r="AA1318">
        <v>97</v>
      </c>
      <c r="AB1318">
        <v>3.09E-2</v>
      </c>
      <c r="AC1318">
        <v>3</v>
      </c>
      <c r="AD1318">
        <v>90</v>
      </c>
      <c r="AE1318">
        <v>3.3300000000000003E-2</v>
      </c>
      <c r="AF1318" t="s">
        <v>2589</v>
      </c>
      <c r="AG1318" t="s">
        <v>2589</v>
      </c>
    </row>
    <row r="1319" spans="1:33">
      <c r="A1319" s="2" t="s">
        <v>103</v>
      </c>
      <c r="B1319" s="2" t="s">
        <v>71</v>
      </c>
      <c r="C1319" s="1">
        <v>0.58538445800000005</v>
      </c>
      <c r="D1319">
        <v>0.70461059999999998</v>
      </c>
      <c r="E1319">
        <v>0.67846608399999997</v>
      </c>
      <c r="F1319" s="1" t="s">
        <v>104</v>
      </c>
      <c r="G1319" s="1">
        <v>1.1020080320000001</v>
      </c>
      <c r="H1319" s="1">
        <v>58.7</v>
      </c>
      <c r="I1319" s="1">
        <v>124.5</v>
      </c>
      <c r="J1319" s="1">
        <v>0.65615371400000011</v>
      </c>
      <c r="K1319" s="1">
        <v>0.53267569100000001</v>
      </c>
      <c r="L1319" s="1">
        <v>0.64507433599999997</v>
      </c>
      <c r="M1319" s="3">
        <v>0.66598465100000004</v>
      </c>
      <c r="N1319" s="1" t="s">
        <v>72</v>
      </c>
      <c r="O1319" s="1">
        <v>0.97289666900000005</v>
      </c>
      <c r="P1319" s="1">
        <v>64.8</v>
      </c>
      <c r="Q1319" s="1">
        <v>177.1</v>
      </c>
      <c r="R1319" s="1">
        <v>0.61457822600000001</v>
      </c>
      <c r="S1319" s="1">
        <v>8.0489546025999406E-2</v>
      </c>
      <c r="T1319" t="s">
        <v>1466</v>
      </c>
      <c r="U1319" s="1">
        <v>27394</v>
      </c>
      <c r="V1319">
        <f t="shared" si="80"/>
        <v>0.49307282793610141</v>
      </c>
      <c r="W1319" s="1">
        <f t="shared" si="81"/>
        <v>6.0999999999999943</v>
      </c>
      <c r="X1319">
        <f t="shared" si="82"/>
        <v>0.12911136300000003</v>
      </c>
      <c r="Y1319">
        <f t="shared" si="83"/>
        <v>52.599999999999994</v>
      </c>
      <c r="Z1319" s="1">
        <v>3</v>
      </c>
      <c r="AA1319">
        <v>97</v>
      </c>
      <c r="AB1319">
        <v>3.09E-2</v>
      </c>
      <c r="AC1319">
        <v>3</v>
      </c>
      <c r="AD1319">
        <v>101</v>
      </c>
      <c r="AE1319">
        <v>2.9700000000000001E-2</v>
      </c>
      <c r="AF1319" t="s">
        <v>2589</v>
      </c>
      <c r="AG1319" t="s">
        <v>2589</v>
      </c>
    </row>
    <row r="1320" spans="1:33">
      <c r="A1320" s="2" t="s">
        <v>103</v>
      </c>
      <c r="B1320" s="2" t="s">
        <v>73</v>
      </c>
      <c r="C1320" s="1">
        <v>0.58538445800000005</v>
      </c>
      <c r="D1320">
        <v>0.70461059999999998</v>
      </c>
      <c r="E1320">
        <v>0.67846608399999997</v>
      </c>
      <c r="F1320" s="1" t="s">
        <v>104</v>
      </c>
      <c r="G1320" s="1">
        <v>1.1020080320000001</v>
      </c>
      <c r="H1320" s="1">
        <v>58.7</v>
      </c>
      <c r="I1320" s="1">
        <v>124.5</v>
      </c>
      <c r="J1320" s="1">
        <v>0.65615371400000011</v>
      </c>
      <c r="K1320" s="1">
        <v>0.55697925299999995</v>
      </c>
      <c r="L1320" s="1">
        <v>0.64461978399999997</v>
      </c>
      <c r="M1320" s="3">
        <v>0.69570690000000002</v>
      </c>
      <c r="N1320" s="1" t="s">
        <v>74</v>
      </c>
      <c r="O1320" s="1">
        <v>1.23433584</v>
      </c>
      <c r="P1320" s="1">
        <v>44</v>
      </c>
      <c r="Q1320" s="1">
        <v>79.8</v>
      </c>
      <c r="R1320" s="1">
        <v>0.63243531233333328</v>
      </c>
      <c r="S1320" s="1">
        <v>6.8578417973760117E-2</v>
      </c>
      <c r="T1320" t="s">
        <v>1467</v>
      </c>
      <c r="U1320" s="1">
        <v>16260</v>
      </c>
      <c r="V1320">
        <f t="shared" si="80"/>
        <v>0.46790228236200548</v>
      </c>
      <c r="W1320" s="1">
        <f t="shared" si="81"/>
        <v>14.700000000000003</v>
      </c>
      <c r="X1320">
        <f t="shared" si="82"/>
        <v>0.13232780799999988</v>
      </c>
      <c r="Y1320">
        <f t="shared" si="83"/>
        <v>44.7</v>
      </c>
      <c r="Z1320" s="1">
        <v>3</v>
      </c>
      <c r="AA1320">
        <v>97</v>
      </c>
      <c r="AB1320">
        <v>3.09E-2</v>
      </c>
      <c r="AC1320">
        <v>3</v>
      </c>
      <c r="AD1320">
        <v>86</v>
      </c>
      <c r="AE1320">
        <v>3.49E-2</v>
      </c>
      <c r="AF1320" t="s">
        <v>2589</v>
      </c>
      <c r="AG1320" t="s">
        <v>2589</v>
      </c>
    </row>
    <row r="1321" spans="1:33">
      <c r="A1321" s="2" t="s">
        <v>103</v>
      </c>
      <c r="B1321" s="2" t="s">
        <v>75</v>
      </c>
      <c r="C1321" s="1">
        <v>0.58538445800000005</v>
      </c>
      <c r="D1321">
        <v>0.70461059999999998</v>
      </c>
      <c r="E1321">
        <v>0.67846608399999997</v>
      </c>
      <c r="F1321" s="1" t="s">
        <v>104</v>
      </c>
      <c r="G1321" s="1">
        <v>1.1020080320000001</v>
      </c>
      <c r="H1321" s="1">
        <v>58.7</v>
      </c>
      <c r="I1321" s="1">
        <v>124.5</v>
      </c>
      <c r="J1321" s="1">
        <v>0.65615371400000011</v>
      </c>
      <c r="K1321" s="1">
        <v>0.50354843500000002</v>
      </c>
      <c r="L1321" s="1">
        <v>0.59724402499999996</v>
      </c>
      <c r="M1321" s="3">
        <v>0.70308254199999998</v>
      </c>
      <c r="N1321" s="1" t="s">
        <v>76</v>
      </c>
      <c r="O1321" s="1">
        <v>1.2696850390000001</v>
      </c>
      <c r="P1321" s="1">
        <v>26.6</v>
      </c>
      <c r="Q1321" s="1">
        <v>50.8</v>
      </c>
      <c r="R1321" s="1">
        <v>0.60129166733333339</v>
      </c>
      <c r="S1321" s="1">
        <v>0.13722494704736793</v>
      </c>
      <c r="T1321" t="s">
        <v>1468</v>
      </c>
      <c r="U1321" s="1">
        <v>2308</v>
      </c>
      <c r="V1321">
        <f t="shared" si="80"/>
        <v>0.37369286716485489</v>
      </c>
      <c r="W1321" s="1">
        <f t="shared" si="81"/>
        <v>32.1</v>
      </c>
      <c r="X1321">
        <f t="shared" si="82"/>
        <v>0.16767700699999999</v>
      </c>
      <c r="Y1321">
        <f t="shared" si="83"/>
        <v>73.7</v>
      </c>
      <c r="Z1321" s="1">
        <v>0</v>
      </c>
      <c r="AA1321">
        <v>100</v>
      </c>
      <c r="AB1321">
        <v>0</v>
      </c>
      <c r="AC1321">
        <v>1</v>
      </c>
      <c r="AD1321">
        <v>88</v>
      </c>
      <c r="AE1321">
        <v>1.14E-2</v>
      </c>
      <c r="AF1321" t="s">
        <v>2589</v>
      </c>
      <c r="AG1321" t="s">
        <v>2594</v>
      </c>
    </row>
    <row r="1322" spans="1:33">
      <c r="A1322" s="2" t="s">
        <v>103</v>
      </c>
      <c r="B1322" s="2" t="s">
        <v>77</v>
      </c>
      <c r="C1322" s="1">
        <v>0.58538445800000005</v>
      </c>
      <c r="D1322">
        <v>0.70461059999999998</v>
      </c>
      <c r="E1322">
        <v>0.67846608399999997</v>
      </c>
      <c r="F1322" s="1" t="s">
        <v>104</v>
      </c>
      <c r="G1322" s="1">
        <v>1.1020080320000001</v>
      </c>
      <c r="H1322" s="1">
        <v>58.7</v>
      </c>
      <c r="I1322" s="1">
        <v>124.5</v>
      </c>
      <c r="J1322" s="1">
        <v>0.65615371400000011</v>
      </c>
      <c r="K1322" s="1">
        <v>0.54630843299999998</v>
      </c>
      <c r="L1322" s="1">
        <v>0.68935555900000001</v>
      </c>
      <c r="M1322" s="3">
        <v>0.65478744899999997</v>
      </c>
      <c r="N1322" s="1" t="s">
        <v>78</v>
      </c>
      <c r="O1322" s="1">
        <v>1.3914285710000001</v>
      </c>
      <c r="P1322" s="1">
        <v>56.5</v>
      </c>
      <c r="Q1322" s="1">
        <v>105</v>
      </c>
      <c r="R1322" s="1">
        <v>0.63015048033333343</v>
      </c>
      <c r="S1322" s="1">
        <v>4.8169801340420072E-2</v>
      </c>
      <c r="T1322" t="s">
        <v>1469</v>
      </c>
      <c r="U1322" s="1">
        <v>2919</v>
      </c>
      <c r="V1322">
        <f t="shared" si="80"/>
        <v>0.38502601055422381</v>
      </c>
      <c r="W1322" s="1">
        <f t="shared" si="81"/>
        <v>2.2000000000000028</v>
      </c>
      <c r="X1322">
        <f t="shared" si="82"/>
        <v>0.28942053899999998</v>
      </c>
      <c r="Y1322">
        <f t="shared" si="83"/>
        <v>19.5</v>
      </c>
      <c r="Z1322" s="1">
        <v>0</v>
      </c>
      <c r="AA1322">
        <v>100</v>
      </c>
      <c r="AB1322">
        <v>0</v>
      </c>
      <c r="AC1322">
        <v>1</v>
      </c>
      <c r="AD1322">
        <v>77</v>
      </c>
      <c r="AE1322">
        <v>1.2999999999999999E-2</v>
      </c>
      <c r="AF1322" t="s">
        <v>2589</v>
      </c>
      <c r="AG1322" t="s">
        <v>2590</v>
      </c>
    </row>
    <row r="1323" spans="1:33">
      <c r="A1323" s="2" t="s">
        <v>103</v>
      </c>
      <c r="B1323" s="2" t="s">
        <v>79</v>
      </c>
      <c r="C1323" s="1">
        <v>0.58538445800000005</v>
      </c>
      <c r="D1323">
        <v>0.70461059999999998</v>
      </c>
      <c r="E1323">
        <v>0.67846608399999997</v>
      </c>
      <c r="F1323" s="1" t="s">
        <v>104</v>
      </c>
      <c r="G1323" s="1">
        <v>1.1020080320000001</v>
      </c>
      <c r="H1323" s="1">
        <v>58.7</v>
      </c>
      <c r="I1323" s="1">
        <v>124.5</v>
      </c>
      <c r="J1323" s="1">
        <v>0.65615371400000011</v>
      </c>
      <c r="K1323" s="1">
        <v>0.63652882899999996</v>
      </c>
      <c r="L1323" s="1">
        <v>0.77536518600000004</v>
      </c>
      <c r="M1323" s="3">
        <v>0.610415606</v>
      </c>
      <c r="N1323" s="1" t="s">
        <v>80</v>
      </c>
      <c r="O1323" s="1">
        <v>0.95325542600000002</v>
      </c>
      <c r="P1323" s="1">
        <v>45.6</v>
      </c>
      <c r="Q1323" s="1">
        <v>119.8</v>
      </c>
      <c r="R1323" s="1">
        <v>0.67410320700000004</v>
      </c>
      <c r="S1323" s="1">
        <v>0.11069248249563074</v>
      </c>
      <c r="T1323" t="s">
        <v>1470</v>
      </c>
      <c r="U1323" s="1">
        <v>4967</v>
      </c>
      <c r="V1323">
        <f t="shared" si="80"/>
        <v>0.41067712888835817</v>
      </c>
      <c r="W1323" s="1">
        <f t="shared" si="81"/>
        <v>13.100000000000001</v>
      </c>
      <c r="X1323">
        <f t="shared" si="82"/>
        <v>0.14875260600000006</v>
      </c>
      <c r="Y1323">
        <f t="shared" si="83"/>
        <v>4.7000000000000028</v>
      </c>
      <c r="Z1323" s="1">
        <v>0</v>
      </c>
      <c r="AA1323">
        <v>100</v>
      </c>
      <c r="AB1323">
        <v>0</v>
      </c>
      <c r="AC1323">
        <v>0</v>
      </c>
      <c r="AD1323">
        <v>69</v>
      </c>
      <c r="AE1323">
        <v>0</v>
      </c>
      <c r="AF1323" t="s">
        <v>2589</v>
      </c>
      <c r="AG1323" t="s">
        <v>2590</v>
      </c>
    </row>
    <row r="1324" spans="1:33">
      <c r="A1324" s="2" t="s">
        <v>103</v>
      </c>
      <c r="B1324" s="2" t="s">
        <v>81</v>
      </c>
      <c r="C1324" s="1">
        <v>0.58538445800000005</v>
      </c>
      <c r="D1324">
        <v>0.70461059999999998</v>
      </c>
      <c r="E1324">
        <v>0.67846608399999997</v>
      </c>
      <c r="F1324" s="1" t="s">
        <v>104</v>
      </c>
      <c r="G1324" s="1">
        <v>1.1020080320000001</v>
      </c>
      <c r="H1324" s="1">
        <v>58.7</v>
      </c>
      <c r="I1324" s="1">
        <v>124.5</v>
      </c>
      <c r="J1324" s="1">
        <v>0.65615371400000011</v>
      </c>
      <c r="K1324" s="1">
        <v>0.50183280699999999</v>
      </c>
      <c r="L1324" s="1">
        <v>0.68550824600000004</v>
      </c>
      <c r="M1324" s="3">
        <v>0.66941488999999998</v>
      </c>
      <c r="N1324" s="1" t="s">
        <v>82</v>
      </c>
      <c r="O1324" s="1">
        <v>1.4359576970000001</v>
      </c>
      <c r="P1324" s="1">
        <v>51</v>
      </c>
      <c r="Q1324" s="1">
        <v>85.1</v>
      </c>
      <c r="R1324" s="1">
        <v>0.61891864766666671</v>
      </c>
      <c r="S1324" s="1">
        <v>8.6184119337571474E-2</v>
      </c>
      <c r="T1324" t="s">
        <v>1471</v>
      </c>
      <c r="U1324" s="1">
        <v>6231</v>
      </c>
      <c r="V1324">
        <f t="shared" si="80"/>
        <v>0.42161752791719576</v>
      </c>
      <c r="W1324" s="1">
        <f t="shared" si="81"/>
        <v>7.7000000000000028</v>
      </c>
      <c r="X1324">
        <f t="shared" si="82"/>
        <v>0.33394966500000001</v>
      </c>
      <c r="Y1324">
        <f t="shared" si="83"/>
        <v>39.400000000000006</v>
      </c>
      <c r="Z1324" s="1">
        <v>0</v>
      </c>
      <c r="AA1324">
        <v>100</v>
      </c>
      <c r="AB1324">
        <v>0</v>
      </c>
      <c r="AC1324">
        <v>0</v>
      </c>
      <c r="AD1324">
        <v>80</v>
      </c>
      <c r="AE1324">
        <v>0</v>
      </c>
      <c r="AF1324" t="s">
        <v>2589</v>
      </c>
      <c r="AG1324" t="s">
        <v>2589</v>
      </c>
    </row>
    <row r="1325" spans="1:33">
      <c r="A1325" s="2" t="s">
        <v>103</v>
      </c>
      <c r="B1325" s="2" t="s">
        <v>83</v>
      </c>
      <c r="C1325" s="1">
        <v>0.58538445800000005</v>
      </c>
      <c r="D1325">
        <v>0.70461059999999998</v>
      </c>
      <c r="E1325">
        <v>0.67846608399999997</v>
      </c>
      <c r="F1325" s="1" t="s">
        <v>104</v>
      </c>
      <c r="G1325" s="1">
        <v>1.1020080320000001</v>
      </c>
      <c r="H1325" s="1">
        <v>58.7</v>
      </c>
      <c r="I1325" s="1">
        <v>124.5</v>
      </c>
      <c r="J1325" s="1">
        <v>0.65615371400000011</v>
      </c>
      <c r="K1325" s="1">
        <v>0.51815179099999997</v>
      </c>
      <c r="L1325" s="1">
        <v>0.50115949400000004</v>
      </c>
      <c r="M1325" s="3">
        <v>0.68053170600000001</v>
      </c>
      <c r="N1325" s="1" t="s">
        <v>84</v>
      </c>
      <c r="O1325" s="1">
        <v>1.760323887</v>
      </c>
      <c r="P1325" s="1">
        <v>83.4</v>
      </c>
      <c r="Q1325" s="1">
        <v>123.5</v>
      </c>
      <c r="R1325" s="1">
        <v>0.56661433033333342</v>
      </c>
      <c r="S1325" s="1">
        <v>0.21428217573751437</v>
      </c>
      <c r="T1325" t="s">
        <v>1472</v>
      </c>
      <c r="U1325" s="1">
        <v>51275</v>
      </c>
      <c r="V1325">
        <f t="shared" si="80"/>
        <v>0.52332285211560037</v>
      </c>
      <c r="W1325" s="1">
        <f t="shared" si="81"/>
        <v>24.700000000000003</v>
      </c>
      <c r="X1325">
        <f t="shared" si="82"/>
        <v>0.65831585499999989</v>
      </c>
      <c r="Y1325">
        <f t="shared" si="83"/>
        <v>1</v>
      </c>
      <c r="Z1325" s="1">
        <v>1</v>
      </c>
      <c r="AA1325">
        <v>99</v>
      </c>
      <c r="AB1325">
        <v>1.01E-2</v>
      </c>
      <c r="AC1325">
        <v>2</v>
      </c>
      <c r="AD1325">
        <v>73</v>
      </c>
      <c r="AE1325">
        <v>2.7400000000000001E-2</v>
      </c>
      <c r="AF1325" t="s">
        <v>2589</v>
      </c>
      <c r="AG1325" t="s">
        <v>2589</v>
      </c>
    </row>
    <row r="1326" spans="1:33">
      <c r="A1326" s="2" t="s">
        <v>103</v>
      </c>
      <c r="B1326" s="2" t="s">
        <v>85</v>
      </c>
      <c r="C1326" s="1">
        <v>0.58538445800000005</v>
      </c>
      <c r="D1326">
        <v>0.70461059999999998</v>
      </c>
      <c r="E1326">
        <v>0.67846608399999997</v>
      </c>
      <c r="F1326" s="1" t="s">
        <v>104</v>
      </c>
      <c r="G1326" s="1">
        <v>1.1020080320000001</v>
      </c>
      <c r="H1326" s="1">
        <v>58.7</v>
      </c>
      <c r="I1326" s="1">
        <v>124.5</v>
      </c>
      <c r="J1326" s="1">
        <v>0.65615371400000011</v>
      </c>
      <c r="K1326" s="1">
        <v>0.522280945</v>
      </c>
      <c r="L1326" s="1">
        <v>0.58016629799999997</v>
      </c>
      <c r="M1326" s="3">
        <v>0.62446713499999995</v>
      </c>
      <c r="N1326" s="1" t="s">
        <v>86</v>
      </c>
      <c r="O1326" s="1">
        <v>0.57177615599999998</v>
      </c>
      <c r="P1326" s="1">
        <v>19.5</v>
      </c>
      <c r="Q1326" s="1">
        <v>82.2</v>
      </c>
      <c r="R1326" s="1">
        <v>0.57563812599999997</v>
      </c>
      <c r="S1326" s="1">
        <v>0.14961391695398188</v>
      </c>
      <c r="T1326" t="s">
        <v>1473</v>
      </c>
      <c r="U1326" s="1">
        <v>570</v>
      </c>
      <c r="V1326">
        <f t="shared" si="80"/>
        <v>0.30620831729694348</v>
      </c>
      <c r="W1326" s="1">
        <f t="shared" si="81"/>
        <v>39.200000000000003</v>
      </c>
      <c r="X1326">
        <f t="shared" si="82"/>
        <v>0.5302318760000001</v>
      </c>
      <c r="Y1326">
        <f t="shared" si="83"/>
        <v>42.3</v>
      </c>
      <c r="Z1326" s="1">
        <v>0</v>
      </c>
      <c r="AA1326">
        <v>100</v>
      </c>
      <c r="AB1326">
        <v>0</v>
      </c>
      <c r="AC1326">
        <v>1</v>
      </c>
      <c r="AD1326">
        <v>139</v>
      </c>
      <c r="AE1326">
        <v>7.1999999999999998E-3</v>
      </c>
      <c r="AF1326" t="s">
        <v>2589</v>
      </c>
      <c r="AG1326" t="s">
        <v>2590</v>
      </c>
    </row>
    <row r="1327" spans="1:33">
      <c r="A1327" s="2" t="s">
        <v>103</v>
      </c>
      <c r="B1327" s="2" t="s">
        <v>87</v>
      </c>
      <c r="C1327" s="1">
        <v>0.58538445800000005</v>
      </c>
      <c r="D1327">
        <v>0.70461059999999998</v>
      </c>
      <c r="E1327">
        <v>0.67846608399999997</v>
      </c>
      <c r="F1327" s="1" t="s">
        <v>104</v>
      </c>
      <c r="G1327" s="1">
        <v>1.1020080320000001</v>
      </c>
      <c r="H1327" s="1">
        <v>58.7</v>
      </c>
      <c r="I1327" s="1">
        <v>124.5</v>
      </c>
      <c r="J1327" s="1">
        <v>0.65615371400000011</v>
      </c>
      <c r="K1327" s="1">
        <v>0.46780425199999998</v>
      </c>
      <c r="L1327" s="1">
        <v>0.54149707400000002</v>
      </c>
      <c r="M1327" s="3">
        <v>0.61626236400000001</v>
      </c>
      <c r="N1327" s="1" t="s">
        <v>88</v>
      </c>
      <c r="O1327" s="1">
        <v>1.395454545</v>
      </c>
      <c r="P1327" s="1">
        <v>65.2</v>
      </c>
      <c r="Q1327" s="1">
        <v>110</v>
      </c>
      <c r="R1327" s="1">
        <v>0.54185456333333337</v>
      </c>
      <c r="S1327" s="1">
        <v>0.21047667326569353</v>
      </c>
      <c r="T1327" t="s">
        <v>1474</v>
      </c>
      <c r="U1327" s="1">
        <v>6183</v>
      </c>
      <c r="V1327">
        <f t="shared" si="80"/>
        <v>0.42124436072209726</v>
      </c>
      <c r="W1327" s="1">
        <f t="shared" si="81"/>
        <v>6.5</v>
      </c>
      <c r="X1327">
        <f t="shared" si="82"/>
        <v>0.29344651299999991</v>
      </c>
      <c r="Y1327">
        <f t="shared" si="83"/>
        <v>14.5</v>
      </c>
      <c r="Z1327" s="1">
        <v>0</v>
      </c>
      <c r="AA1327">
        <v>100</v>
      </c>
      <c r="AB1327">
        <v>0</v>
      </c>
      <c r="AC1327">
        <v>1</v>
      </c>
      <c r="AD1327">
        <v>72</v>
      </c>
      <c r="AE1327">
        <v>1.3899999999999999E-2</v>
      </c>
      <c r="AF1327" t="s">
        <v>2589</v>
      </c>
      <c r="AG1327" t="s">
        <v>2590</v>
      </c>
    </row>
    <row r="1328" spans="1:33">
      <c r="A1328" s="2" t="s">
        <v>103</v>
      </c>
      <c r="B1328" s="2" t="s">
        <v>89</v>
      </c>
      <c r="C1328" s="1">
        <v>0.58538445800000005</v>
      </c>
      <c r="D1328">
        <v>0.70461059999999998</v>
      </c>
      <c r="E1328">
        <v>0.67846608399999997</v>
      </c>
      <c r="F1328" s="1" t="s">
        <v>104</v>
      </c>
      <c r="G1328" s="1">
        <v>1.1020080320000001</v>
      </c>
      <c r="H1328" s="1">
        <v>58.7</v>
      </c>
      <c r="I1328" s="1">
        <v>124.5</v>
      </c>
      <c r="J1328" s="1">
        <v>0.65615371400000011</v>
      </c>
      <c r="K1328" s="1">
        <v>0.51097051500000001</v>
      </c>
      <c r="L1328" s="1">
        <v>0.61917891400000002</v>
      </c>
      <c r="M1328" s="3">
        <v>0.60984479800000002</v>
      </c>
      <c r="N1328" s="1" t="s">
        <v>90</v>
      </c>
      <c r="O1328" s="1">
        <v>1.429752066</v>
      </c>
      <c r="P1328" s="1">
        <v>59.8</v>
      </c>
      <c r="Q1328" s="1">
        <v>108.9</v>
      </c>
      <c r="R1328" s="1">
        <v>0.57999807566666661</v>
      </c>
      <c r="S1328" s="1">
        <v>0.13245712052548791</v>
      </c>
      <c r="T1328" t="s">
        <v>1475</v>
      </c>
      <c r="U1328" s="1">
        <v>13028</v>
      </c>
      <c r="V1328">
        <f t="shared" si="80"/>
        <v>0.45720863887698177</v>
      </c>
      <c r="W1328" s="1">
        <f t="shared" si="81"/>
        <v>1.0999999999999943</v>
      </c>
      <c r="X1328">
        <f t="shared" si="82"/>
        <v>0.32774403399999996</v>
      </c>
      <c r="Y1328">
        <f t="shared" si="83"/>
        <v>15.599999999999994</v>
      </c>
      <c r="Z1328" s="1">
        <v>2</v>
      </c>
      <c r="AA1328">
        <v>98</v>
      </c>
      <c r="AB1328">
        <v>2.0400000000000001E-2</v>
      </c>
      <c r="AC1328">
        <v>3</v>
      </c>
      <c r="AD1328">
        <v>79</v>
      </c>
      <c r="AE1328">
        <v>3.7999999999999999E-2</v>
      </c>
      <c r="AF1328" t="s">
        <v>2589</v>
      </c>
      <c r="AG1328" t="s">
        <v>2589</v>
      </c>
    </row>
    <row r="1329" spans="1:33">
      <c r="A1329" s="2" t="s">
        <v>103</v>
      </c>
      <c r="B1329" s="2" t="s">
        <v>91</v>
      </c>
      <c r="C1329" s="1">
        <v>0.58538445800000005</v>
      </c>
      <c r="D1329">
        <v>0.70461059999999998</v>
      </c>
      <c r="E1329">
        <v>0.67846608399999997</v>
      </c>
      <c r="F1329" s="1" t="s">
        <v>104</v>
      </c>
      <c r="G1329" s="1">
        <v>1.1020080320000001</v>
      </c>
      <c r="H1329" s="1">
        <v>58.7</v>
      </c>
      <c r="I1329" s="1">
        <v>124.5</v>
      </c>
      <c r="J1329" s="1">
        <v>0.65615371400000011</v>
      </c>
      <c r="K1329" s="1">
        <v>0.37439919700000002</v>
      </c>
      <c r="L1329" s="1">
        <v>0.508839347</v>
      </c>
      <c r="M1329" s="3">
        <v>0.52701193599999996</v>
      </c>
      <c r="N1329" s="1" t="s">
        <v>92</v>
      </c>
      <c r="O1329" s="1">
        <v>1.911504425</v>
      </c>
      <c r="P1329" s="1">
        <v>24.6</v>
      </c>
      <c r="Q1329" s="1">
        <v>33.9</v>
      </c>
      <c r="R1329" s="1">
        <v>0.47008349333333332</v>
      </c>
      <c r="S1329" s="1">
        <v>0.32523764051356979</v>
      </c>
      <c r="T1329" t="s">
        <v>1476</v>
      </c>
      <c r="U1329" s="1">
        <v>326</v>
      </c>
      <c r="V1329">
        <f t="shared" si="80"/>
        <v>0.27924640000754875</v>
      </c>
      <c r="W1329" s="1">
        <f t="shared" si="81"/>
        <v>34.1</v>
      </c>
      <c r="X1329">
        <f t="shared" si="82"/>
        <v>0.80949639299999987</v>
      </c>
      <c r="Y1329">
        <f t="shared" si="83"/>
        <v>90.6</v>
      </c>
      <c r="Z1329" s="1">
        <v>0</v>
      </c>
      <c r="AA1329">
        <v>100</v>
      </c>
      <c r="AB1329">
        <v>0</v>
      </c>
      <c r="AC1329">
        <v>1</v>
      </c>
      <c r="AD1329">
        <v>88</v>
      </c>
      <c r="AE1329">
        <v>1.14E-2</v>
      </c>
      <c r="AF1329" t="s">
        <v>2589</v>
      </c>
      <c r="AG1329" t="s">
        <v>2590</v>
      </c>
    </row>
    <row r="1330" spans="1:33">
      <c r="A1330" s="2" t="s">
        <v>103</v>
      </c>
      <c r="B1330" s="2" t="s">
        <v>93</v>
      </c>
      <c r="C1330" s="1">
        <v>0.58538445800000005</v>
      </c>
      <c r="D1330">
        <v>0.70461059999999998</v>
      </c>
      <c r="E1330">
        <v>0.67846608399999997</v>
      </c>
      <c r="F1330" s="1" t="s">
        <v>104</v>
      </c>
      <c r="G1330" s="1">
        <v>1.1020080320000001</v>
      </c>
      <c r="H1330" s="1">
        <v>58.7</v>
      </c>
      <c r="I1330" s="1">
        <v>124.5</v>
      </c>
      <c r="J1330" s="1">
        <v>0.65615371400000011</v>
      </c>
      <c r="K1330" s="1">
        <v>0.54134617200000001</v>
      </c>
      <c r="L1330" s="1">
        <v>0.674899633</v>
      </c>
      <c r="M1330" s="3">
        <v>0.719840174</v>
      </c>
      <c r="N1330" s="1" t="s">
        <v>94</v>
      </c>
      <c r="O1330" s="1">
        <v>1.175388967</v>
      </c>
      <c r="P1330" s="1">
        <v>36.6</v>
      </c>
      <c r="Q1330" s="1">
        <v>70.7</v>
      </c>
      <c r="R1330" s="1">
        <v>0.64536199299999997</v>
      </c>
      <c r="S1330" s="1">
        <v>6.7334445250710945E-2</v>
      </c>
      <c r="T1330" t="s">
        <v>1477</v>
      </c>
      <c r="U1330" s="1">
        <v>9603</v>
      </c>
      <c r="V1330">
        <f t="shared" si="80"/>
        <v>0.4424896587626439</v>
      </c>
      <c r="W1330" s="1">
        <f t="shared" si="81"/>
        <v>22.1</v>
      </c>
      <c r="X1330">
        <f t="shared" si="82"/>
        <v>7.3380934999999869E-2</v>
      </c>
      <c r="Y1330">
        <f t="shared" si="83"/>
        <v>53.8</v>
      </c>
      <c r="Z1330" s="1">
        <v>2</v>
      </c>
      <c r="AA1330">
        <v>98</v>
      </c>
      <c r="AB1330">
        <v>2.0400000000000001E-2</v>
      </c>
      <c r="AC1330">
        <v>2</v>
      </c>
      <c r="AD1330">
        <v>78</v>
      </c>
      <c r="AE1330">
        <v>2.5600000000000001E-2</v>
      </c>
      <c r="AF1330" t="s">
        <v>2589</v>
      </c>
      <c r="AG1330" t="s">
        <v>2589</v>
      </c>
    </row>
    <row r="1331" spans="1:33">
      <c r="A1331" s="2" t="s">
        <v>103</v>
      </c>
      <c r="B1331" s="2" t="s">
        <v>95</v>
      </c>
      <c r="C1331" s="1">
        <v>0.58538445800000005</v>
      </c>
      <c r="D1331">
        <v>0.70461059999999998</v>
      </c>
      <c r="E1331">
        <v>0.67846608399999997</v>
      </c>
      <c r="F1331" s="1" t="s">
        <v>104</v>
      </c>
      <c r="G1331" s="1">
        <v>1.1020080320000001</v>
      </c>
      <c r="H1331" s="1">
        <v>58.7</v>
      </c>
      <c r="I1331" s="1">
        <v>124.5</v>
      </c>
      <c r="J1331" s="1">
        <v>0.65615371400000011</v>
      </c>
      <c r="K1331" s="1">
        <v>0.59462093100000002</v>
      </c>
      <c r="L1331" s="1">
        <v>0.68038960500000001</v>
      </c>
      <c r="M1331" s="3">
        <v>0.72533004899999998</v>
      </c>
      <c r="N1331" s="1" t="s">
        <v>96</v>
      </c>
      <c r="O1331" s="1">
        <v>1.9717647060000001</v>
      </c>
      <c r="P1331" s="1">
        <v>34.6</v>
      </c>
      <c r="Q1331" s="1">
        <v>42.5</v>
      </c>
      <c r="R1331" s="1">
        <v>0.66678019499999996</v>
      </c>
      <c r="S1331" s="1">
        <v>5.3555580921048528E-2</v>
      </c>
      <c r="T1331" t="s">
        <v>1478</v>
      </c>
      <c r="U1331" s="1">
        <v>532</v>
      </c>
      <c r="V1331">
        <f t="shared" si="80"/>
        <v>0.30287907025500538</v>
      </c>
      <c r="W1331" s="1">
        <f t="shared" si="81"/>
        <v>24.1</v>
      </c>
      <c r="X1331">
        <f t="shared" si="82"/>
        <v>0.86975667400000001</v>
      </c>
      <c r="Y1331">
        <f t="shared" si="83"/>
        <v>82</v>
      </c>
      <c r="Z1331" s="1">
        <v>0</v>
      </c>
      <c r="AA1331">
        <v>100</v>
      </c>
      <c r="AB1331">
        <v>0</v>
      </c>
      <c r="AC1331">
        <v>0</v>
      </c>
      <c r="AD1331">
        <v>86</v>
      </c>
      <c r="AE1331">
        <v>0</v>
      </c>
      <c r="AF1331" t="s">
        <v>2589</v>
      </c>
      <c r="AG1331" t="s">
        <v>2593</v>
      </c>
    </row>
    <row r="1332" spans="1:33">
      <c r="A1332" s="2" t="s">
        <v>103</v>
      </c>
      <c r="B1332" s="2" t="s">
        <v>97</v>
      </c>
      <c r="C1332" s="1">
        <v>0.58538445800000005</v>
      </c>
      <c r="D1332">
        <v>0.70461059999999998</v>
      </c>
      <c r="E1332">
        <v>0.67846608399999997</v>
      </c>
      <c r="F1332" s="1" t="s">
        <v>104</v>
      </c>
      <c r="G1332" s="1">
        <v>1.1020080320000001</v>
      </c>
      <c r="H1332" s="1">
        <v>58.7</v>
      </c>
      <c r="I1332" s="1">
        <v>124.5</v>
      </c>
      <c r="J1332" s="1">
        <v>0.65615371400000011</v>
      </c>
      <c r="K1332" s="1">
        <v>0.63674842300000001</v>
      </c>
      <c r="L1332" s="1">
        <v>0.68532635500000005</v>
      </c>
      <c r="M1332" s="3">
        <v>0.727031494</v>
      </c>
      <c r="N1332" s="1" t="s">
        <v>98</v>
      </c>
      <c r="O1332" s="1">
        <v>2.360103627</v>
      </c>
      <c r="P1332" s="1">
        <v>36.799999999999997</v>
      </c>
      <c r="Q1332" s="1">
        <v>38.6</v>
      </c>
      <c r="R1332" s="1">
        <v>0.68303542400000017</v>
      </c>
      <c r="S1332" s="1">
        <v>7.3271672931695397E-2</v>
      </c>
      <c r="T1332" t="s">
        <v>1479</v>
      </c>
      <c r="U1332" s="1">
        <v>189</v>
      </c>
      <c r="V1332">
        <f t="shared" si="80"/>
        <v>0.25294020046369381</v>
      </c>
      <c r="W1332" s="1">
        <f t="shared" si="81"/>
        <v>21.900000000000006</v>
      </c>
      <c r="X1332">
        <f t="shared" si="82"/>
        <v>1.2580955949999999</v>
      </c>
      <c r="Y1332">
        <f t="shared" si="83"/>
        <v>85.9</v>
      </c>
      <c r="Z1332" s="1">
        <v>0</v>
      </c>
      <c r="AA1332">
        <v>100</v>
      </c>
      <c r="AB1332">
        <v>0</v>
      </c>
      <c r="AC1332">
        <v>0</v>
      </c>
      <c r="AD1332">
        <v>86</v>
      </c>
      <c r="AE1332">
        <v>0</v>
      </c>
      <c r="AF1332" t="s">
        <v>2589</v>
      </c>
      <c r="AG1332" t="s">
        <v>2593</v>
      </c>
    </row>
    <row r="1333" spans="1:33">
      <c r="A1333" s="2" t="s">
        <v>103</v>
      </c>
      <c r="B1333" s="2" t="s">
        <v>99</v>
      </c>
      <c r="C1333" s="1">
        <v>0.58538445800000005</v>
      </c>
      <c r="D1333">
        <v>0.70461059999999998</v>
      </c>
      <c r="E1333">
        <v>0.67846608399999997</v>
      </c>
      <c r="F1333" s="1" t="s">
        <v>104</v>
      </c>
      <c r="G1333" s="1">
        <v>1.1020080320000001</v>
      </c>
      <c r="H1333" s="1">
        <v>58.7</v>
      </c>
      <c r="I1333" s="1">
        <v>124.5</v>
      </c>
      <c r="J1333" s="1">
        <v>0.65615371400000011</v>
      </c>
      <c r="K1333" s="1">
        <v>0.52525630099999998</v>
      </c>
      <c r="L1333" s="1">
        <v>0.68706170200000005</v>
      </c>
      <c r="M1333" s="3">
        <v>0.71473597300000002</v>
      </c>
      <c r="N1333" s="1" t="s">
        <v>100</v>
      </c>
      <c r="O1333" s="1">
        <v>1.72605042</v>
      </c>
      <c r="P1333" s="1">
        <v>46.5</v>
      </c>
      <c r="Q1333" s="1">
        <v>59.5</v>
      </c>
      <c r="R1333" s="1">
        <v>0.64235132533333339</v>
      </c>
      <c r="S1333" s="1">
        <v>7.2379996776066408E-2</v>
      </c>
      <c r="T1333" t="s">
        <v>1480</v>
      </c>
      <c r="U1333" s="1">
        <v>10508</v>
      </c>
      <c r="V1333">
        <f t="shared" si="80"/>
        <v>0.446835562679337</v>
      </c>
      <c r="W1333" s="1">
        <f t="shared" si="81"/>
        <v>12.200000000000003</v>
      </c>
      <c r="X1333">
        <f t="shared" si="82"/>
        <v>0.62404238799999989</v>
      </c>
      <c r="Y1333">
        <f t="shared" si="83"/>
        <v>65</v>
      </c>
      <c r="Z1333" s="1">
        <v>0</v>
      </c>
      <c r="AA1333">
        <v>100</v>
      </c>
      <c r="AB1333">
        <v>0</v>
      </c>
      <c r="AC1333">
        <v>0</v>
      </c>
      <c r="AD1333">
        <v>88</v>
      </c>
      <c r="AE1333">
        <v>0</v>
      </c>
      <c r="AF1333" t="s">
        <v>2589</v>
      </c>
      <c r="AG1333" t="s">
        <v>2589</v>
      </c>
    </row>
    <row r="1334" spans="1:33">
      <c r="A1334" s="2" t="s">
        <v>103</v>
      </c>
      <c r="B1334" s="2" t="s">
        <v>148</v>
      </c>
      <c r="C1334" s="1">
        <v>0.58538445800000005</v>
      </c>
      <c r="D1334">
        <v>0.70461059999999998</v>
      </c>
      <c r="E1334">
        <v>0.67846608399999997</v>
      </c>
      <c r="F1334" s="1" t="s">
        <v>104</v>
      </c>
      <c r="G1334" s="1">
        <v>1.1020080320000001</v>
      </c>
      <c r="H1334" s="1">
        <v>58.7</v>
      </c>
      <c r="I1334" s="1">
        <v>124.5</v>
      </c>
      <c r="J1334" s="1">
        <v>0.65615371400000011</v>
      </c>
      <c r="K1334" s="1">
        <v>0.52246277500000005</v>
      </c>
      <c r="L1334" s="1">
        <v>0.64036274199999998</v>
      </c>
      <c r="M1334" s="3">
        <v>0.62317592099999997</v>
      </c>
      <c r="N1334" s="1" t="s">
        <v>149</v>
      </c>
      <c r="O1334" s="1">
        <v>1.201000834</v>
      </c>
      <c r="P1334" s="1">
        <v>59.2</v>
      </c>
      <c r="Q1334" s="1">
        <v>119.9</v>
      </c>
      <c r="R1334" s="1">
        <v>0.59533381266666663</v>
      </c>
      <c r="S1334" s="1">
        <v>0.10556480272186948</v>
      </c>
      <c r="T1334" t="s">
        <v>1482</v>
      </c>
      <c r="U1334" s="1">
        <v>9978</v>
      </c>
      <c r="V1334">
        <f t="shared" si="80"/>
        <v>0.44433816662257364</v>
      </c>
      <c r="W1334" s="1">
        <f t="shared" si="81"/>
        <v>0.5</v>
      </c>
      <c r="X1334">
        <f t="shared" si="82"/>
        <v>9.8992801999999935E-2</v>
      </c>
      <c r="Y1334">
        <f t="shared" si="83"/>
        <v>4.5999999999999943</v>
      </c>
      <c r="Z1334" s="1">
        <v>3</v>
      </c>
      <c r="AA1334">
        <v>97</v>
      </c>
      <c r="AB1334">
        <v>3.09E-2</v>
      </c>
      <c r="AC1334">
        <v>3</v>
      </c>
      <c r="AD1334">
        <v>80</v>
      </c>
      <c r="AE1334">
        <v>3.7499999999999999E-2</v>
      </c>
      <c r="AF1334" t="s">
        <v>2589</v>
      </c>
      <c r="AG1334" t="s">
        <v>2589</v>
      </c>
    </row>
    <row r="1335" spans="1:33">
      <c r="A1335" s="2" t="s">
        <v>103</v>
      </c>
      <c r="B1335" s="2" t="s">
        <v>101</v>
      </c>
      <c r="C1335" s="1">
        <v>0.58538445800000005</v>
      </c>
      <c r="D1335">
        <v>0.70461059999999998</v>
      </c>
      <c r="E1335">
        <v>0.67846608399999997</v>
      </c>
      <c r="F1335" s="1" t="s">
        <v>104</v>
      </c>
      <c r="G1335" s="1">
        <v>1.1020080320000001</v>
      </c>
      <c r="H1335" s="1">
        <v>58.7</v>
      </c>
      <c r="I1335" s="1">
        <v>124.5</v>
      </c>
      <c r="J1335" s="1">
        <v>0.65615371400000011</v>
      </c>
      <c r="K1335" s="1">
        <v>0.57277697599999999</v>
      </c>
      <c r="L1335" s="1">
        <v>0.64568820599999999</v>
      </c>
      <c r="M1335" s="3">
        <v>0.70909993500000001</v>
      </c>
      <c r="N1335" s="1" t="s">
        <v>102</v>
      </c>
      <c r="O1335" s="1">
        <v>1.2818181820000001</v>
      </c>
      <c r="P1335" s="1">
        <v>58</v>
      </c>
      <c r="Q1335" s="1">
        <v>110</v>
      </c>
      <c r="R1335" s="1">
        <v>0.64252170566666666</v>
      </c>
      <c r="S1335" s="1">
        <v>6.7596079354957886E-2</v>
      </c>
      <c r="T1335" t="s">
        <v>1481</v>
      </c>
      <c r="U1335" s="1">
        <v>4629</v>
      </c>
      <c r="V1335">
        <f t="shared" si="80"/>
        <v>0.40727635342031232</v>
      </c>
      <c r="W1335" s="1">
        <f t="shared" si="81"/>
        <v>0.70000000000000284</v>
      </c>
      <c r="X1335">
        <f t="shared" si="82"/>
        <v>0.17981015</v>
      </c>
      <c r="Y1335">
        <f t="shared" si="83"/>
        <v>14.5</v>
      </c>
      <c r="Z1335" s="1">
        <v>1</v>
      </c>
      <c r="AA1335">
        <v>99</v>
      </c>
      <c r="AB1335">
        <v>1.01E-2</v>
      </c>
      <c r="AC1335">
        <v>2</v>
      </c>
      <c r="AD1335">
        <v>79</v>
      </c>
      <c r="AE1335">
        <v>2.53E-2</v>
      </c>
      <c r="AF1335" t="s">
        <v>2589</v>
      </c>
      <c r="AG1335" t="s">
        <v>2589</v>
      </c>
    </row>
    <row r="1336" spans="1:33">
      <c r="A1336" s="2" t="s">
        <v>101</v>
      </c>
      <c r="B1336" s="2" t="s">
        <v>10</v>
      </c>
      <c r="C1336" s="1">
        <v>0.57277697599999999</v>
      </c>
      <c r="D1336">
        <v>0.64568820599999999</v>
      </c>
      <c r="E1336">
        <v>0.70909993500000001</v>
      </c>
      <c r="F1336" s="1" t="s">
        <v>102</v>
      </c>
      <c r="G1336" s="1">
        <v>1.2818181820000001</v>
      </c>
      <c r="H1336" s="1">
        <v>58</v>
      </c>
      <c r="I1336" s="1">
        <v>110</v>
      </c>
      <c r="J1336" s="1">
        <v>0.64252170566666666</v>
      </c>
      <c r="K1336" s="1">
        <v>0.52456325500000001</v>
      </c>
      <c r="L1336" s="1">
        <v>0.61925627999999999</v>
      </c>
      <c r="M1336" s="3">
        <v>0.72111139899999999</v>
      </c>
      <c r="N1336" s="1" t="s">
        <v>12</v>
      </c>
      <c r="O1336" s="1">
        <v>0.61690647499999995</v>
      </c>
      <c r="P1336" s="1">
        <v>30</v>
      </c>
      <c r="Q1336" s="1">
        <v>111.2</v>
      </c>
      <c r="R1336" s="1">
        <v>0.62164364466666666</v>
      </c>
      <c r="S1336" s="1">
        <v>5.6280412864144938E-2</v>
      </c>
      <c r="T1336" t="s">
        <v>1483</v>
      </c>
      <c r="U1336" s="1">
        <v>915</v>
      </c>
      <c r="V1336">
        <f t="shared" si="80"/>
        <v>0.32904678822960537</v>
      </c>
      <c r="W1336" s="1">
        <f t="shared" si="81"/>
        <v>28</v>
      </c>
      <c r="X1336">
        <f t="shared" si="82"/>
        <v>0.66491170700000013</v>
      </c>
      <c r="Y1336">
        <f t="shared" si="83"/>
        <v>1.2000000000000028</v>
      </c>
      <c r="Z1336" s="1">
        <v>3</v>
      </c>
      <c r="AA1336">
        <v>97</v>
      </c>
      <c r="AB1336">
        <v>3.09E-2</v>
      </c>
      <c r="AC1336">
        <v>4</v>
      </c>
      <c r="AD1336">
        <v>143</v>
      </c>
      <c r="AE1336">
        <v>2.8000000000000001E-2</v>
      </c>
      <c r="AF1336" t="s">
        <v>2589</v>
      </c>
      <c r="AG1336" t="s">
        <v>2588</v>
      </c>
    </row>
    <row r="1337" spans="1:33">
      <c r="A1337" s="2" t="s">
        <v>101</v>
      </c>
      <c r="B1337" s="2" t="s">
        <v>13</v>
      </c>
      <c r="C1337" s="1">
        <v>0.57277697599999999</v>
      </c>
      <c r="D1337">
        <v>0.64568820599999999</v>
      </c>
      <c r="E1337">
        <v>0.70909993500000001</v>
      </c>
      <c r="F1337" s="1" t="s">
        <v>102</v>
      </c>
      <c r="G1337" s="1">
        <v>1.2818181820000001</v>
      </c>
      <c r="H1337" s="1">
        <v>58</v>
      </c>
      <c r="I1337" s="1">
        <v>110</v>
      </c>
      <c r="J1337" s="1">
        <v>0.64252170566666666</v>
      </c>
      <c r="K1337" s="1">
        <v>0.48695497399999998</v>
      </c>
      <c r="L1337" s="1">
        <v>0.54991327199999995</v>
      </c>
      <c r="M1337" s="3">
        <v>0.67282609299999996</v>
      </c>
      <c r="N1337" s="1" t="s">
        <v>14</v>
      </c>
      <c r="O1337" s="1">
        <v>1.6052009460000001</v>
      </c>
      <c r="P1337" s="1">
        <v>26.6</v>
      </c>
      <c r="Q1337" s="1">
        <v>42.3</v>
      </c>
      <c r="R1337" s="1">
        <v>0.56989811299999993</v>
      </c>
      <c r="S1337" s="1">
        <v>0.13361903166627626</v>
      </c>
      <c r="T1337" t="s">
        <v>1484</v>
      </c>
      <c r="U1337" s="1">
        <v>834</v>
      </c>
      <c r="V1337">
        <f t="shared" si="80"/>
        <v>0.32457400562641542</v>
      </c>
      <c r="W1337" s="1">
        <f t="shared" si="81"/>
        <v>31.4</v>
      </c>
      <c r="X1337">
        <f t="shared" si="82"/>
        <v>0.32338276399999999</v>
      </c>
      <c r="Y1337">
        <f t="shared" si="83"/>
        <v>67.7</v>
      </c>
      <c r="Z1337" s="1">
        <v>1</v>
      </c>
      <c r="AA1337">
        <v>99</v>
      </c>
      <c r="AB1337">
        <v>1.01E-2</v>
      </c>
      <c r="AC1337">
        <v>2</v>
      </c>
      <c r="AD1337">
        <v>92</v>
      </c>
      <c r="AE1337">
        <v>2.1700000000000001E-2</v>
      </c>
      <c r="AF1337" t="s">
        <v>2589</v>
      </c>
      <c r="AG1337" t="s">
        <v>2590</v>
      </c>
    </row>
    <row r="1338" spans="1:33">
      <c r="A1338" s="2" t="s">
        <v>101</v>
      </c>
      <c r="B1338" s="2" t="s">
        <v>15</v>
      </c>
      <c r="C1338" s="1">
        <v>0.57277697599999999</v>
      </c>
      <c r="D1338">
        <v>0.64568820599999999</v>
      </c>
      <c r="E1338">
        <v>0.70909993500000001</v>
      </c>
      <c r="F1338" s="1" t="s">
        <v>102</v>
      </c>
      <c r="G1338" s="1">
        <v>1.2818181820000001</v>
      </c>
      <c r="H1338" s="1">
        <v>58</v>
      </c>
      <c r="I1338" s="1">
        <v>110</v>
      </c>
      <c r="J1338" s="1">
        <v>0.64252170566666666</v>
      </c>
      <c r="K1338" s="1">
        <v>0.54560998800000005</v>
      </c>
      <c r="L1338" s="1">
        <v>0.66721428400000005</v>
      </c>
      <c r="M1338" s="3">
        <v>0.72650398400000005</v>
      </c>
      <c r="N1338" s="1" t="s">
        <v>16</v>
      </c>
      <c r="O1338" s="1">
        <v>5.1392405060000002</v>
      </c>
      <c r="P1338" s="1">
        <v>35.9</v>
      </c>
      <c r="Q1338" s="1">
        <v>15.8</v>
      </c>
      <c r="R1338" s="1">
        <v>0.64644275200000012</v>
      </c>
      <c r="S1338" s="1">
        <v>3.8785541025601666E-2</v>
      </c>
      <c r="T1338" t="s">
        <v>1485</v>
      </c>
      <c r="U1338" s="1">
        <v>1212</v>
      </c>
      <c r="V1338">
        <f t="shared" si="80"/>
        <v>0.34261140220336306</v>
      </c>
      <c r="W1338" s="1">
        <f t="shared" si="81"/>
        <v>22.1</v>
      </c>
      <c r="X1338">
        <f t="shared" si="82"/>
        <v>3.8574223239999998</v>
      </c>
      <c r="Y1338">
        <f t="shared" si="83"/>
        <v>94.2</v>
      </c>
      <c r="Z1338" s="1">
        <v>1</v>
      </c>
      <c r="AA1338">
        <v>99</v>
      </c>
      <c r="AB1338">
        <v>1.01E-2</v>
      </c>
      <c r="AC1338">
        <v>1</v>
      </c>
      <c r="AD1338">
        <v>89</v>
      </c>
      <c r="AE1338">
        <v>1.12E-2</v>
      </c>
      <c r="AF1338" t="s">
        <v>2589</v>
      </c>
      <c r="AG1338" t="s">
        <v>2591</v>
      </c>
    </row>
    <row r="1339" spans="1:33">
      <c r="A1339" s="2" t="s">
        <v>101</v>
      </c>
      <c r="B1339" s="2" t="s">
        <v>17</v>
      </c>
      <c r="C1339" s="1">
        <v>0.57277697599999999</v>
      </c>
      <c r="D1339">
        <v>0.64568820599999999</v>
      </c>
      <c r="E1339">
        <v>0.70909993500000001</v>
      </c>
      <c r="F1339" s="1" t="s">
        <v>102</v>
      </c>
      <c r="G1339" s="1">
        <v>1.2818181820000001</v>
      </c>
      <c r="H1339" s="1">
        <v>58</v>
      </c>
      <c r="I1339" s="1">
        <v>110</v>
      </c>
      <c r="J1339" s="1">
        <v>0.64252170566666666</v>
      </c>
      <c r="K1339" s="1">
        <v>0.659112378</v>
      </c>
      <c r="L1339" s="1">
        <v>0.68333493499999998</v>
      </c>
      <c r="M1339" s="3">
        <v>0.70345495199999997</v>
      </c>
      <c r="N1339" s="1" t="s">
        <v>18</v>
      </c>
      <c r="O1339" s="1">
        <v>1.9463955639999999</v>
      </c>
      <c r="P1339" s="1">
        <v>46.3</v>
      </c>
      <c r="Q1339" s="1">
        <v>54.1</v>
      </c>
      <c r="R1339" s="1">
        <v>0.68196742166666668</v>
      </c>
      <c r="S1339" s="1">
        <v>9.4355411482179088E-2</v>
      </c>
      <c r="T1339" t="s">
        <v>1486</v>
      </c>
      <c r="U1339" s="1">
        <v>2121</v>
      </c>
      <c r="V1339">
        <f t="shared" si="80"/>
        <v>0.36961562983517354</v>
      </c>
      <c r="W1339" s="1">
        <f t="shared" si="81"/>
        <v>11.700000000000003</v>
      </c>
      <c r="X1339">
        <f t="shared" si="82"/>
        <v>0.66457738199999983</v>
      </c>
      <c r="Y1339">
        <f t="shared" si="83"/>
        <v>55.9</v>
      </c>
      <c r="Z1339" s="1">
        <v>1</v>
      </c>
      <c r="AA1339">
        <v>99</v>
      </c>
      <c r="AB1339">
        <v>1.01E-2</v>
      </c>
      <c r="AC1339">
        <v>1</v>
      </c>
      <c r="AD1339">
        <v>103</v>
      </c>
      <c r="AE1339">
        <v>9.7000000000000003E-3</v>
      </c>
      <c r="AF1339" t="s">
        <v>2589</v>
      </c>
      <c r="AG1339" t="s">
        <v>2591</v>
      </c>
    </row>
    <row r="1340" spans="1:33">
      <c r="A1340" s="2" t="s">
        <v>101</v>
      </c>
      <c r="B1340" s="2" t="s">
        <v>19</v>
      </c>
      <c r="C1340" s="1">
        <v>0.57277697599999999</v>
      </c>
      <c r="D1340">
        <v>0.64568820599999999</v>
      </c>
      <c r="E1340">
        <v>0.70909993500000001</v>
      </c>
      <c r="F1340" s="1" t="s">
        <v>102</v>
      </c>
      <c r="G1340" s="1">
        <v>1.2818181820000001</v>
      </c>
      <c r="H1340" s="1">
        <v>58</v>
      </c>
      <c r="I1340" s="1">
        <v>110</v>
      </c>
      <c r="J1340" s="1">
        <v>0.64252170566666666</v>
      </c>
      <c r="K1340" s="1">
        <v>0.49391595300000002</v>
      </c>
      <c r="L1340" s="1">
        <v>0.603599314</v>
      </c>
      <c r="M1340" s="3">
        <v>0.63481471599999995</v>
      </c>
      <c r="N1340" s="1" t="s">
        <v>20</v>
      </c>
      <c r="O1340" s="1">
        <v>1.2140902870000001</v>
      </c>
      <c r="P1340" s="1">
        <v>64.900000000000006</v>
      </c>
      <c r="Q1340" s="1">
        <v>146.19999999999999</v>
      </c>
      <c r="R1340" s="1">
        <v>0.57744332766666662</v>
      </c>
      <c r="S1340" s="1">
        <v>0.11622749046706704</v>
      </c>
      <c r="T1340" t="s">
        <v>1487</v>
      </c>
      <c r="U1340" s="1">
        <v>2760</v>
      </c>
      <c r="V1340">
        <f t="shared" si="80"/>
        <v>0.38232323134057977</v>
      </c>
      <c r="W1340" s="1">
        <f t="shared" si="81"/>
        <v>6.9000000000000057</v>
      </c>
      <c r="X1340">
        <f t="shared" si="82"/>
        <v>6.7727894999999982E-2</v>
      </c>
      <c r="Y1340">
        <f t="shared" si="83"/>
        <v>36.199999999999989</v>
      </c>
      <c r="Z1340" s="1">
        <v>6</v>
      </c>
      <c r="AA1340">
        <v>94</v>
      </c>
      <c r="AB1340">
        <v>6.3799999999999996E-2</v>
      </c>
      <c r="AC1340">
        <v>7</v>
      </c>
      <c r="AD1340">
        <v>77</v>
      </c>
      <c r="AE1340">
        <v>9.0899999999999995E-2</v>
      </c>
      <c r="AF1340" t="s">
        <v>2589</v>
      </c>
      <c r="AG1340" t="s">
        <v>2593</v>
      </c>
    </row>
    <row r="1341" spans="1:33">
      <c r="A1341" s="2" t="s">
        <v>101</v>
      </c>
      <c r="B1341" s="2" t="s">
        <v>21</v>
      </c>
      <c r="C1341" s="1">
        <v>0.57277697599999999</v>
      </c>
      <c r="D1341">
        <v>0.64568820599999999</v>
      </c>
      <c r="E1341">
        <v>0.70909993500000001</v>
      </c>
      <c r="F1341" s="1" t="s">
        <v>102</v>
      </c>
      <c r="G1341" s="1">
        <v>1.2818181820000001</v>
      </c>
      <c r="H1341" s="1">
        <v>58</v>
      </c>
      <c r="I1341" s="1">
        <v>110</v>
      </c>
      <c r="J1341" s="1">
        <v>0.64252170566666666</v>
      </c>
      <c r="K1341" s="1">
        <v>0.53276376800000003</v>
      </c>
      <c r="L1341" s="1">
        <v>0.65428149899999999</v>
      </c>
      <c r="M1341" s="3">
        <v>0.70160154799999996</v>
      </c>
      <c r="N1341" s="1" t="s">
        <v>22</v>
      </c>
      <c r="O1341" s="1">
        <v>1.2440604749999999</v>
      </c>
      <c r="P1341" s="1">
        <v>24.6</v>
      </c>
      <c r="Q1341" s="1">
        <v>46.3</v>
      </c>
      <c r="R1341" s="1">
        <v>0.62954893833333336</v>
      </c>
      <c r="S1341" s="1">
        <v>4.160681803066512E-2</v>
      </c>
      <c r="T1341" t="s">
        <v>1488</v>
      </c>
      <c r="U1341" s="1">
        <v>5184</v>
      </c>
      <c r="V1341">
        <f t="shared" si="80"/>
        <v>0.4127405547625041</v>
      </c>
      <c r="W1341" s="1">
        <f t="shared" si="81"/>
        <v>33.4</v>
      </c>
      <c r="X1341">
        <f t="shared" si="82"/>
        <v>3.775770700000014E-2</v>
      </c>
      <c r="Y1341">
        <f t="shared" si="83"/>
        <v>63.7</v>
      </c>
      <c r="Z1341" s="1">
        <v>1</v>
      </c>
      <c r="AA1341">
        <v>99</v>
      </c>
      <c r="AB1341">
        <v>1.01E-2</v>
      </c>
      <c r="AC1341">
        <v>2</v>
      </c>
      <c r="AD1341">
        <v>88</v>
      </c>
      <c r="AE1341">
        <v>2.2700000000000001E-2</v>
      </c>
      <c r="AF1341" t="s">
        <v>2589</v>
      </c>
      <c r="AG1341" t="s">
        <v>2589</v>
      </c>
    </row>
    <row r="1342" spans="1:33">
      <c r="A1342" s="2" t="s">
        <v>101</v>
      </c>
      <c r="B1342" s="2" t="s">
        <v>23</v>
      </c>
      <c r="C1342" s="1">
        <v>0.57277697599999999</v>
      </c>
      <c r="D1342">
        <v>0.64568820599999999</v>
      </c>
      <c r="E1342">
        <v>0.70909993500000001</v>
      </c>
      <c r="F1342" s="1" t="s">
        <v>102</v>
      </c>
      <c r="G1342" s="1">
        <v>1.2818181820000001</v>
      </c>
      <c r="H1342" s="1">
        <v>58</v>
      </c>
      <c r="I1342" s="1">
        <v>110</v>
      </c>
      <c r="J1342" s="1">
        <v>0.64252170566666666</v>
      </c>
      <c r="K1342" s="1">
        <v>0.49415677200000002</v>
      </c>
      <c r="L1342" s="1">
        <v>0.62090818999999997</v>
      </c>
      <c r="M1342" s="3">
        <v>0.63381026900000004</v>
      </c>
      <c r="N1342" s="1" t="s">
        <v>24</v>
      </c>
      <c r="O1342" s="1">
        <v>1.141304348</v>
      </c>
      <c r="P1342" s="1">
        <v>44.4</v>
      </c>
      <c r="Q1342" s="1">
        <v>101.2</v>
      </c>
      <c r="R1342" s="1">
        <v>0.58295841033333329</v>
      </c>
      <c r="S1342" s="1">
        <v>0.11164102953821869</v>
      </c>
      <c r="T1342" t="s">
        <v>1489</v>
      </c>
      <c r="U1342" s="1">
        <v>1219</v>
      </c>
      <c r="V1342">
        <f t="shared" si="80"/>
        <v>0.34288930062426465</v>
      </c>
      <c r="W1342" s="1">
        <f t="shared" si="81"/>
        <v>13.600000000000001</v>
      </c>
      <c r="X1342">
        <f t="shared" si="82"/>
        <v>0.14051383400000006</v>
      </c>
      <c r="Y1342">
        <f t="shared" si="83"/>
        <v>8.7999999999999972</v>
      </c>
      <c r="Z1342" s="1">
        <v>2</v>
      </c>
      <c r="AA1342">
        <v>98</v>
      </c>
      <c r="AB1342">
        <v>2.0400000000000001E-2</v>
      </c>
      <c r="AC1342">
        <v>4</v>
      </c>
      <c r="AD1342">
        <v>82</v>
      </c>
      <c r="AE1342">
        <v>4.8800000000000003E-2</v>
      </c>
      <c r="AF1342" t="s">
        <v>2589</v>
      </c>
      <c r="AG1342" t="s">
        <v>2590</v>
      </c>
    </row>
    <row r="1343" spans="1:33">
      <c r="A1343" s="2" t="s">
        <v>101</v>
      </c>
      <c r="B1343" s="2" t="s">
        <v>25</v>
      </c>
      <c r="C1343" s="1">
        <v>0.57277697599999999</v>
      </c>
      <c r="D1343">
        <v>0.64568820599999999</v>
      </c>
      <c r="E1343">
        <v>0.70909993500000001</v>
      </c>
      <c r="F1343" s="1" t="s">
        <v>102</v>
      </c>
      <c r="G1343" s="1">
        <v>1.2818181820000001</v>
      </c>
      <c r="H1343" s="1">
        <v>58</v>
      </c>
      <c r="I1343" s="1">
        <v>110</v>
      </c>
      <c r="J1343" s="1">
        <v>0.64252170566666666</v>
      </c>
      <c r="K1343" s="1">
        <v>0.53959274199999996</v>
      </c>
      <c r="L1343" s="1">
        <v>0.64971567399999997</v>
      </c>
      <c r="M1343" s="3">
        <v>0.65028459999999999</v>
      </c>
      <c r="N1343" s="1" t="s">
        <v>26</v>
      </c>
      <c r="O1343" s="1">
        <v>1.623046875</v>
      </c>
      <c r="P1343" s="1">
        <v>34.700000000000003</v>
      </c>
      <c r="Q1343" s="1">
        <v>51.2</v>
      </c>
      <c r="R1343" s="1">
        <v>0.61319767199999997</v>
      </c>
      <c r="S1343" s="1">
        <v>6.7650997892270665E-2</v>
      </c>
      <c r="T1343" t="s">
        <v>1490</v>
      </c>
      <c r="U1343" s="1">
        <v>4761</v>
      </c>
      <c r="V1343">
        <f t="shared" si="80"/>
        <v>0.4086331312749456</v>
      </c>
      <c r="W1343" s="1">
        <f t="shared" si="81"/>
        <v>23.299999999999997</v>
      </c>
      <c r="X1343">
        <f t="shared" si="82"/>
        <v>0.34122869299999992</v>
      </c>
      <c r="Y1343">
        <f t="shared" si="83"/>
        <v>58.8</v>
      </c>
      <c r="Z1343" s="1">
        <v>0</v>
      </c>
      <c r="AA1343">
        <v>100</v>
      </c>
      <c r="AB1343">
        <v>0</v>
      </c>
      <c r="AC1343">
        <v>0</v>
      </c>
      <c r="AD1343">
        <v>88</v>
      </c>
      <c r="AE1343">
        <v>0</v>
      </c>
      <c r="AF1343" t="s">
        <v>2589</v>
      </c>
      <c r="AG1343" t="s">
        <v>2594</v>
      </c>
    </row>
    <row r="1344" spans="1:33">
      <c r="A1344" s="2" t="s">
        <v>101</v>
      </c>
      <c r="B1344" s="2" t="s">
        <v>27</v>
      </c>
      <c r="C1344" s="1">
        <v>0.57277697599999999</v>
      </c>
      <c r="D1344">
        <v>0.64568820599999999</v>
      </c>
      <c r="E1344">
        <v>0.70909993500000001</v>
      </c>
      <c r="F1344" s="1" t="s">
        <v>102</v>
      </c>
      <c r="G1344" s="1">
        <v>1.2818181820000001</v>
      </c>
      <c r="H1344" s="1">
        <v>58</v>
      </c>
      <c r="I1344" s="1">
        <v>110</v>
      </c>
      <c r="J1344" s="1">
        <v>0.64252170566666666</v>
      </c>
      <c r="K1344" s="1">
        <v>0.518608662</v>
      </c>
      <c r="L1344" s="1">
        <v>0.64320369700000002</v>
      </c>
      <c r="M1344" s="3">
        <v>0.62228994199999998</v>
      </c>
      <c r="N1344" s="1" t="s">
        <v>28</v>
      </c>
      <c r="O1344" s="1">
        <v>1.8717391299999999</v>
      </c>
      <c r="P1344" s="1">
        <v>33.700000000000003</v>
      </c>
      <c r="Q1344" s="1">
        <v>46</v>
      </c>
      <c r="R1344" s="1">
        <v>0.59470076699999996</v>
      </c>
      <c r="S1344" s="1">
        <v>0.10235406152778566</v>
      </c>
      <c r="T1344" t="s">
        <v>1491</v>
      </c>
      <c r="U1344" s="1">
        <v>1141</v>
      </c>
      <c r="V1344">
        <f t="shared" si="80"/>
        <v>0.33969840493535719</v>
      </c>
      <c r="W1344" s="1">
        <f t="shared" si="81"/>
        <v>24.299999999999997</v>
      </c>
      <c r="X1344">
        <f t="shared" si="82"/>
        <v>0.58992094799999983</v>
      </c>
      <c r="Y1344">
        <f t="shared" si="83"/>
        <v>64</v>
      </c>
      <c r="Z1344" s="1">
        <v>1</v>
      </c>
      <c r="AA1344">
        <v>99</v>
      </c>
      <c r="AB1344">
        <v>1.01E-2</v>
      </c>
      <c r="AC1344">
        <v>2</v>
      </c>
      <c r="AD1344">
        <v>93</v>
      </c>
      <c r="AE1344">
        <v>2.1499999999999998E-2</v>
      </c>
      <c r="AF1344" t="s">
        <v>2589</v>
      </c>
      <c r="AG1344" t="s">
        <v>2590</v>
      </c>
    </row>
    <row r="1345" spans="1:33">
      <c r="A1345" s="2" t="s">
        <v>101</v>
      </c>
      <c r="B1345" s="2" t="s">
        <v>29</v>
      </c>
      <c r="C1345" s="1">
        <v>0.57277697599999999</v>
      </c>
      <c r="D1345">
        <v>0.64568820599999999</v>
      </c>
      <c r="E1345">
        <v>0.70909993500000001</v>
      </c>
      <c r="F1345" s="1" t="s">
        <v>102</v>
      </c>
      <c r="G1345" s="1">
        <v>1.2818181820000001</v>
      </c>
      <c r="H1345" s="1">
        <v>58</v>
      </c>
      <c r="I1345" s="1">
        <v>110</v>
      </c>
      <c r="J1345" s="1">
        <v>0.64252170566666666</v>
      </c>
      <c r="K1345" s="1">
        <v>0.59351545100000003</v>
      </c>
      <c r="L1345" s="1">
        <v>0.68136602400000001</v>
      </c>
      <c r="M1345" s="3">
        <v>0.73518087600000004</v>
      </c>
      <c r="N1345" s="1" t="s">
        <v>30</v>
      </c>
      <c r="O1345" s="1">
        <v>2.849112426</v>
      </c>
      <c r="P1345" s="1">
        <v>37.9</v>
      </c>
      <c r="Q1345" s="1">
        <v>33.799999999999997</v>
      </c>
      <c r="R1345" s="1">
        <v>0.67002078366666673</v>
      </c>
      <c r="S1345" s="1">
        <v>4.8818096296478368E-2</v>
      </c>
      <c r="T1345" t="s">
        <v>1492</v>
      </c>
      <c r="U1345" s="1">
        <v>667</v>
      </c>
      <c r="V1345">
        <f t="shared" si="80"/>
        <v>0.313791759324061</v>
      </c>
      <c r="W1345" s="1">
        <f t="shared" si="81"/>
        <v>20.100000000000001</v>
      </c>
      <c r="X1345">
        <f t="shared" si="82"/>
        <v>1.5672942439999999</v>
      </c>
      <c r="Y1345">
        <f t="shared" si="83"/>
        <v>76.2</v>
      </c>
      <c r="Z1345" s="1">
        <v>1</v>
      </c>
      <c r="AA1345">
        <v>99</v>
      </c>
      <c r="AB1345">
        <v>1.01E-2</v>
      </c>
      <c r="AC1345">
        <v>1</v>
      </c>
      <c r="AD1345">
        <v>83</v>
      </c>
      <c r="AE1345">
        <v>1.2E-2</v>
      </c>
      <c r="AF1345" t="s">
        <v>2589</v>
      </c>
      <c r="AG1345" t="s">
        <v>2593</v>
      </c>
    </row>
    <row r="1346" spans="1:33">
      <c r="A1346" s="2" t="s">
        <v>101</v>
      </c>
      <c r="B1346" s="2" t="s">
        <v>31</v>
      </c>
      <c r="C1346" s="1">
        <v>0.57277697599999999</v>
      </c>
      <c r="D1346">
        <v>0.64568820599999999</v>
      </c>
      <c r="E1346">
        <v>0.70909993500000001</v>
      </c>
      <c r="F1346" s="1" t="s">
        <v>102</v>
      </c>
      <c r="G1346" s="1">
        <v>1.2818181820000001</v>
      </c>
      <c r="H1346" s="1">
        <v>58</v>
      </c>
      <c r="I1346" s="1">
        <v>110</v>
      </c>
      <c r="J1346" s="1">
        <v>0.64252170566666666</v>
      </c>
      <c r="K1346" s="1">
        <v>0.47727961800000002</v>
      </c>
      <c r="L1346" s="1">
        <v>0.66941086400000005</v>
      </c>
      <c r="M1346" s="3">
        <v>0.69294815300000001</v>
      </c>
      <c r="N1346" s="1" t="s">
        <v>32</v>
      </c>
      <c r="O1346" s="1">
        <v>1.341891892</v>
      </c>
      <c r="P1346" s="1">
        <v>42.1</v>
      </c>
      <c r="Q1346" s="1">
        <v>74</v>
      </c>
      <c r="R1346" s="1">
        <v>0.61321287833333338</v>
      </c>
      <c r="S1346" s="1">
        <v>9.9716548021582904E-2</v>
      </c>
      <c r="T1346" t="s">
        <v>1493</v>
      </c>
      <c r="U1346" s="1">
        <v>2921</v>
      </c>
      <c r="V1346">
        <f t="shared" ref="V1346:V1409" si="84">LOG10(U1346) / 9</f>
        <v>0.38505906188594996</v>
      </c>
      <c r="W1346" s="1">
        <f t="shared" ref="W1346:W1409" si="85">ABS(H1346-P1346)</f>
        <v>15.899999999999999</v>
      </c>
      <c r="X1346">
        <f t="shared" ref="X1346:X1409" si="86">ABS(G1346-O1346)</f>
        <v>6.0073709999999947E-2</v>
      </c>
      <c r="Y1346">
        <f t="shared" ref="Y1346:Y1409" si="87">ABS(I1346-Q1346)</f>
        <v>36</v>
      </c>
      <c r="Z1346" s="1">
        <v>6</v>
      </c>
      <c r="AA1346">
        <v>94</v>
      </c>
      <c r="AB1346">
        <v>6.3799999999999996E-2</v>
      </c>
      <c r="AC1346">
        <v>8</v>
      </c>
      <c r="AD1346">
        <v>84</v>
      </c>
      <c r="AE1346">
        <v>9.5200000000000007E-2</v>
      </c>
      <c r="AF1346" t="s">
        <v>2589</v>
      </c>
      <c r="AG1346" t="s">
        <v>2589</v>
      </c>
    </row>
    <row r="1347" spans="1:33">
      <c r="A1347" s="2" t="s">
        <v>101</v>
      </c>
      <c r="B1347" s="2" t="s">
        <v>33</v>
      </c>
      <c r="C1347" s="1">
        <v>0.57277697599999999</v>
      </c>
      <c r="D1347">
        <v>0.64568820599999999</v>
      </c>
      <c r="E1347">
        <v>0.70909993500000001</v>
      </c>
      <c r="F1347" s="1" t="s">
        <v>102</v>
      </c>
      <c r="G1347" s="1">
        <v>1.2818181820000001</v>
      </c>
      <c r="H1347" s="1">
        <v>58</v>
      </c>
      <c r="I1347" s="1">
        <v>110</v>
      </c>
      <c r="J1347" s="1">
        <v>0.64252170566666666</v>
      </c>
      <c r="K1347" s="1">
        <v>0.51347926600000005</v>
      </c>
      <c r="L1347" s="1">
        <v>0.63144379399999995</v>
      </c>
      <c r="M1347" s="3">
        <v>0.64189093500000005</v>
      </c>
      <c r="N1347" s="1" t="s">
        <v>34</v>
      </c>
      <c r="O1347" s="1">
        <v>2.3123667380000001</v>
      </c>
      <c r="P1347" s="1">
        <v>79.099999999999994</v>
      </c>
      <c r="Q1347" s="1">
        <v>93.8</v>
      </c>
      <c r="R1347" s="1">
        <v>0.59560466500000009</v>
      </c>
      <c r="S1347" s="1">
        <v>9.0753354568687064E-2</v>
      </c>
      <c r="T1347" t="s">
        <v>1494</v>
      </c>
      <c r="U1347" s="1">
        <v>4082</v>
      </c>
      <c r="V1347">
        <f t="shared" si="84"/>
        <v>0.4012081111533391</v>
      </c>
      <c r="W1347" s="1">
        <f t="shared" si="85"/>
        <v>21.099999999999994</v>
      </c>
      <c r="X1347">
        <f t="shared" si="86"/>
        <v>1.0305485560000001</v>
      </c>
      <c r="Y1347">
        <f t="shared" si="87"/>
        <v>16.200000000000003</v>
      </c>
      <c r="Z1347" s="1">
        <v>4</v>
      </c>
      <c r="AA1347">
        <v>96</v>
      </c>
      <c r="AB1347">
        <v>4.1700000000000001E-2</v>
      </c>
      <c r="AC1347">
        <v>5</v>
      </c>
      <c r="AD1347">
        <v>81</v>
      </c>
      <c r="AE1347">
        <v>6.1699999999999998E-2</v>
      </c>
      <c r="AF1347" t="s">
        <v>2589</v>
      </c>
      <c r="AG1347" t="s">
        <v>2590</v>
      </c>
    </row>
    <row r="1348" spans="1:33">
      <c r="A1348" s="2" t="s">
        <v>101</v>
      </c>
      <c r="B1348" s="2" t="s">
        <v>35</v>
      </c>
      <c r="C1348" s="1">
        <v>0.57277697599999999</v>
      </c>
      <c r="D1348">
        <v>0.64568820599999999</v>
      </c>
      <c r="E1348">
        <v>0.70909993500000001</v>
      </c>
      <c r="F1348" s="1" t="s">
        <v>102</v>
      </c>
      <c r="G1348" s="1">
        <v>1.2818181820000001</v>
      </c>
      <c r="H1348" s="1">
        <v>58</v>
      </c>
      <c r="I1348" s="1">
        <v>110</v>
      </c>
      <c r="J1348" s="1">
        <v>0.64252170566666666</v>
      </c>
      <c r="K1348" s="1">
        <v>0.52542897600000005</v>
      </c>
      <c r="L1348" s="1">
        <v>0.60774736299999998</v>
      </c>
      <c r="M1348" s="3">
        <v>0.62585751700000003</v>
      </c>
      <c r="N1348" s="1" t="s">
        <v>36</v>
      </c>
      <c r="O1348" s="1">
        <v>0.98848810399999998</v>
      </c>
      <c r="P1348" s="1">
        <v>54.2</v>
      </c>
      <c r="Q1348" s="1">
        <v>130.30000000000001</v>
      </c>
      <c r="R1348" s="1">
        <v>0.58634461866666665</v>
      </c>
      <c r="S1348" s="1">
        <v>0.10300796486698184</v>
      </c>
      <c r="T1348" t="s">
        <v>1495</v>
      </c>
      <c r="U1348" s="1">
        <v>6479</v>
      </c>
      <c r="V1348">
        <f t="shared" si="84"/>
        <v>0.42350088666059188</v>
      </c>
      <c r="W1348" s="1">
        <f t="shared" si="85"/>
        <v>3.7999999999999972</v>
      </c>
      <c r="X1348">
        <f t="shared" si="86"/>
        <v>0.29333007800000011</v>
      </c>
      <c r="Y1348">
        <f t="shared" si="87"/>
        <v>20.300000000000011</v>
      </c>
      <c r="Z1348" s="1">
        <v>6</v>
      </c>
      <c r="AA1348">
        <v>94</v>
      </c>
      <c r="AB1348">
        <v>6.3799999999999996E-2</v>
      </c>
      <c r="AC1348">
        <v>8</v>
      </c>
      <c r="AD1348">
        <v>77</v>
      </c>
      <c r="AE1348">
        <v>0.10390000000000001</v>
      </c>
      <c r="AF1348" t="s">
        <v>2589</v>
      </c>
      <c r="AG1348" t="s">
        <v>2589</v>
      </c>
    </row>
    <row r="1349" spans="1:33">
      <c r="A1349" s="2" t="s">
        <v>101</v>
      </c>
      <c r="B1349" s="2" t="s">
        <v>37</v>
      </c>
      <c r="C1349" s="1">
        <v>0.57277697599999999</v>
      </c>
      <c r="D1349">
        <v>0.64568820599999999</v>
      </c>
      <c r="E1349">
        <v>0.70909993500000001</v>
      </c>
      <c r="F1349" s="1" t="s">
        <v>102</v>
      </c>
      <c r="G1349" s="1">
        <v>1.2818181820000001</v>
      </c>
      <c r="H1349" s="1">
        <v>58</v>
      </c>
      <c r="I1349" s="1">
        <v>110</v>
      </c>
      <c r="J1349" s="1">
        <v>0.64252170566666666</v>
      </c>
      <c r="K1349" s="1">
        <v>0.50856695500000004</v>
      </c>
      <c r="L1349" s="1">
        <v>0.654733224</v>
      </c>
      <c r="M1349" s="3">
        <v>0.61418267199999999</v>
      </c>
      <c r="N1349" s="1" t="s">
        <v>38</v>
      </c>
      <c r="O1349" s="1">
        <v>0.64065708399999999</v>
      </c>
      <c r="P1349" s="1">
        <v>41.9</v>
      </c>
      <c r="Q1349" s="1">
        <v>146.1</v>
      </c>
      <c r="R1349" s="1">
        <v>0.59249428366666679</v>
      </c>
      <c r="S1349" s="1">
        <v>0.11495227689285643</v>
      </c>
      <c r="T1349" t="s">
        <v>1496</v>
      </c>
      <c r="U1349" s="1">
        <v>3197</v>
      </c>
      <c r="V1349">
        <f t="shared" si="84"/>
        <v>0.38941584847463201</v>
      </c>
      <c r="W1349" s="1">
        <f t="shared" si="85"/>
        <v>16.100000000000001</v>
      </c>
      <c r="X1349">
        <f t="shared" si="86"/>
        <v>0.6411610980000001</v>
      </c>
      <c r="Y1349">
        <f t="shared" si="87"/>
        <v>36.099999999999994</v>
      </c>
      <c r="Z1349" s="1">
        <v>2</v>
      </c>
      <c r="AA1349">
        <v>98</v>
      </c>
      <c r="AB1349">
        <v>2.0400000000000001E-2</v>
      </c>
      <c r="AC1349">
        <v>3</v>
      </c>
      <c r="AD1349">
        <v>81</v>
      </c>
      <c r="AE1349">
        <v>3.6999999999999998E-2</v>
      </c>
      <c r="AF1349" t="s">
        <v>2589</v>
      </c>
      <c r="AG1349" t="s">
        <v>2590</v>
      </c>
    </row>
    <row r="1350" spans="1:33">
      <c r="A1350" s="2" t="s">
        <v>101</v>
      </c>
      <c r="B1350" s="2" t="s">
        <v>39</v>
      </c>
      <c r="C1350" s="1">
        <v>0.57277697599999999</v>
      </c>
      <c r="D1350">
        <v>0.64568820599999999</v>
      </c>
      <c r="E1350">
        <v>0.70909993500000001</v>
      </c>
      <c r="F1350" s="1" t="s">
        <v>102</v>
      </c>
      <c r="G1350" s="1">
        <v>1.2818181820000001</v>
      </c>
      <c r="H1350" s="1">
        <v>58</v>
      </c>
      <c r="I1350" s="1">
        <v>110</v>
      </c>
      <c r="J1350" s="1">
        <v>0.64252170566666666</v>
      </c>
      <c r="K1350" s="1">
        <v>0.60811616199999996</v>
      </c>
      <c r="L1350" s="1">
        <v>0.721105683</v>
      </c>
      <c r="M1350" s="3">
        <v>0.741016169</v>
      </c>
      <c r="N1350" s="1" t="s">
        <v>40</v>
      </c>
      <c r="O1350" s="1">
        <v>1.0601915180000001</v>
      </c>
      <c r="P1350" s="1">
        <v>34</v>
      </c>
      <c r="Q1350" s="1">
        <v>73.099999999999994</v>
      </c>
      <c r="R1350" s="1">
        <v>0.69007933799999999</v>
      </c>
      <c r="S1350" s="1">
        <v>8.9192487895174671E-2</v>
      </c>
      <c r="T1350" t="s">
        <v>1497</v>
      </c>
      <c r="U1350" s="1">
        <v>18075</v>
      </c>
      <c r="V1350">
        <f t="shared" si="84"/>
        <v>0.47300870066295203</v>
      </c>
      <c r="W1350" s="1">
        <f t="shared" si="85"/>
        <v>24</v>
      </c>
      <c r="X1350">
        <f t="shared" si="86"/>
        <v>0.22162666399999997</v>
      </c>
      <c r="Y1350">
        <f t="shared" si="87"/>
        <v>36.900000000000006</v>
      </c>
      <c r="Z1350" s="1">
        <v>2</v>
      </c>
      <c r="AA1350">
        <v>98</v>
      </c>
      <c r="AB1350">
        <v>2.0400000000000001E-2</v>
      </c>
      <c r="AC1350">
        <v>4</v>
      </c>
      <c r="AD1350">
        <v>83</v>
      </c>
      <c r="AE1350">
        <v>4.82E-2</v>
      </c>
      <c r="AF1350" t="s">
        <v>2589</v>
      </c>
      <c r="AG1350" t="s">
        <v>2589</v>
      </c>
    </row>
    <row r="1351" spans="1:33">
      <c r="A1351" s="2" t="s">
        <v>101</v>
      </c>
      <c r="B1351" s="2" t="s">
        <v>41</v>
      </c>
      <c r="C1351" s="1">
        <v>0.57277697599999999</v>
      </c>
      <c r="D1351">
        <v>0.64568820599999999</v>
      </c>
      <c r="E1351">
        <v>0.70909993500000001</v>
      </c>
      <c r="F1351" s="1" t="s">
        <v>102</v>
      </c>
      <c r="G1351" s="1">
        <v>1.2818181820000001</v>
      </c>
      <c r="H1351" s="1">
        <v>58</v>
      </c>
      <c r="I1351" s="1">
        <v>110</v>
      </c>
      <c r="J1351" s="1">
        <v>0.64252170566666666</v>
      </c>
      <c r="K1351" s="1">
        <v>0.60402244999999999</v>
      </c>
      <c r="L1351" s="1">
        <v>0.669189213</v>
      </c>
      <c r="M1351" s="3">
        <v>0.69821693799999995</v>
      </c>
      <c r="N1351" s="1" t="s">
        <v>42</v>
      </c>
      <c r="O1351" s="1">
        <v>1.3243902439999999</v>
      </c>
      <c r="P1351" s="1">
        <v>23</v>
      </c>
      <c r="Q1351" s="1">
        <v>41</v>
      </c>
      <c r="R1351" s="1">
        <v>0.65714286700000002</v>
      </c>
      <c r="S1351" s="1">
        <v>4.0583452282928513E-2</v>
      </c>
      <c r="T1351" t="s">
        <v>1498</v>
      </c>
      <c r="U1351" s="1">
        <v>3495</v>
      </c>
      <c r="V1351">
        <f t="shared" si="84"/>
        <v>0.39371635334241112</v>
      </c>
      <c r="W1351" s="1">
        <f t="shared" si="85"/>
        <v>35</v>
      </c>
      <c r="X1351">
        <f t="shared" si="86"/>
        <v>4.2572061999999855E-2</v>
      </c>
      <c r="Y1351">
        <f t="shared" si="87"/>
        <v>69</v>
      </c>
      <c r="Z1351" s="1">
        <v>1</v>
      </c>
      <c r="AA1351">
        <v>99</v>
      </c>
      <c r="AB1351">
        <v>1.01E-2</v>
      </c>
      <c r="AC1351">
        <v>1</v>
      </c>
      <c r="AD1351">
        <v>100</v>
      </c>
      <c r="AE1351">
        <v>0.01</v>
      </c>
      <c r="AF1351" t="s">
        <v>2589</v>
      </c>
      <c r="AG1351" t="s">
        <v>2591</v>
      </c>
    </row>
    <row r="1352" spans="1:33">
      <c r="A1352" s="2" t="s">
        <v>101</v>
      </c>
      <c r="B1352" s="2" t="s">
        <v>43</v>
      </c>
      <c r="C1352" s="1">
        <v>0.57277697599999999</v>
      </c>
      <c r="D1352">
        <v>0.64568820599999999</v>
      </c>
      <c r="E1352">
        <v>0.70909993500000001</v>
      </c>
      <c r="F1352" s="1" t="s">
        <v>102</v>
      </c>
      <c r="G1352" s="1">
        <v>1.2818181820000001</v>
      </c>
      <c r="H1352" s="1">
        <v>58</v>
      </c>
      <c r="I1352" s="1">
        <v>110</v>
      </c>
      <c r="J1352" s="1">
        <v>0.64252170566666666</v>
      </c>
      <c r="K1352" s="1">
        <v>0.54180634699999997</v>
      </c>
      <c r="L1352" s="1">
        <v>0.59470779900000004</v>
      </c>
      <c r="M1352" s="3">
        <v>0.69518155599999998</v>
      </c>
      <c r="N1352" s="1" t="s">
        <v>44</v>
      </c>
      <c r="O1352" s="1">
        <v>1.7403685090000001</v>
      </c>
      <c r="P1352" s="1">
        <v>41.2</v>
      </c>
      <c r="Q1352" s="1">
        <v>59.7</v>
      </c>
      <c r="R1352" s="1">
        <v>0.61056523400000007</v>
      </c>
      <c r="S1352" s="1">
        <v>6.125277979429937E-2</v>
      </c>
      <c r="T1352" t="s">
        <v>1499</v>
      </c>
      <c r="U1352" s="1">
        <v>57594</v>
      </c>
      <c r="V1352">
        <f t="shared" si="84"/>
        <v>0.52893080467314646</v>
      </c>
      <c r="W1352" s="1">
        <f t="shared" si="85"/>
        <v>16.799999999999997</v>
      </c>
      <c r="X1352">
        <f t="shared" si="86"/>
        <v>0.45855032699999998</v>
      </c>
      <c r="Y1352">
        <f t="shared" si="87"/>
        <v>50.3</v>
      </c>
      <c r="Z1352" s="1">
        <v>6</v>
      </c>
      <c r="AA1352">
        <v>94</v>
      </c>
      <c r="AB1352">
        <v>6.3799999999999996E-2</v>
      </c>
      <c r="AC1352">
        <v>8</v>
      </c>
      <c r="AD1352">
        <v>115</v>
      </c>
      <c r="AE1352">
        <v>6.9599999999999995E-2</v>
      </c>
      <c r="AF1352" t="s">
        <v>2589</v>
      </c>
      <c r="AG1352" t="s">
        <v>2589</v>
      </c>
    </row>
    <row r="1353" spans="1:33">
      <c r="A1353" s="2" t="s">
        <v>101</v>
      </c>
      <c r="B1353" s="2" t="s">
        <v>45</v>
      </c>
      <c r="C1353" s="1">
        <v>0.57277697599999999</v>
      </c>
      <c r="D1353">
        <v>0.64568820599999999</v>
      </c>
      <c r="E1353">
        <v>0.70909993500000001</v>
      </c>
      <c r="F1353" s="1" t="s">
        <v>102</v>
      </c>
      <c r="G1353" s="1">
        <v>1.2818181820000001</v>
      </c>
      <c r="H1353" s="1">
        <v>58</v>
      </c>
      <c r="I1353" s="1">
        <v>110</v>
      </c>
      <c r="J1353" s="1">
        <v>0.64252170566666666</v>
      </c>
      <c r="K1353" s="1">
        <v>0.50907007599999998</v>
      </c>
      <c r="L1353" s="1">
        <v>0.68428041399999995</v>
      </c>
      <c r="M1353" s="3">
        <v>0.67454742099999998</v>
      </c>
      <c r="N1353" s="1" t="s">
        <v>46</v>
      </c>
      <c r="O1353" s="1">
        <v>0.98140043799999999</v>
      </c>
      <c r="P1353" s="1">
        <v>38.9</v>
      </c>
      <c r="Q1353" s="1">
        <v>91.4</v>
      </c>
      <c r="R1353" s="1">
        <v>0.62263263699999993</v>
      </c>
      <c r="S1353" s="1">
        <v>8.2108488292292045E-2</v>
      </c>
      <c r="T1353" t="s">
        <v>1500</v>
      </c>
      <c r="U1353" s="1">
        <v>3648</v>
      </c>
      <c r="V1353">
        <f t="shared" si="84"/>
        <v>0.39578386996181986</v>
      </c>
      <c r="W1353" s="1">
        <f t="shared" si="85"/>
        <v>19.100000000000001</v>
      </c>
      <c r="X1353">
        <f t="shared" si="86"/>
        <v>0.3004177440000001</v>
      </c>
      <c r="Y1353">
        <f t="shared" si="87"/>
        <v>18.599999999999994</v>
      </c>
      <c r="Z1353" s="1">
        <v>6</v>
      </c>
      <c r="AA1353">
        <v>94</v>
      </c>
      <c r="AB1353">
        <v>6.3799999999999996E-2</v>
      </c>
      <c r="AC1353">
        <v>8</v>
      </c>
      <c r="AD1353">
        <v>95</v>
      </c>
      <c r="AE1353">
        <v>8.4199999999999997E-2</v>
      </c>
      <c r="AF1353" t="s">
        <v>2589</v>
      </c>
      <c r="AG1353" t="s">
        <v>2589</v>
      </c>
    </row>
    <row r="1354" spans="1:33">
      <c r="A1354" s="2" t="s">
        <v>101</v>
      </c>
      <c r="B1354" s="2" t="s">
        <v>47</v>
      </c>
      <c r="C1354" s="1">
        <v>0.57277697599999999</v>
      </c>
      <c r="D1354">
        <v>0.64568820599999999</v>
      </c>
      <c r="E1354">
        <v>0.70909993500000001</v>
      </c>
      <c r="F1354" s="1" t="s">
        <v>102</v>
      </c>
      <c r="G1354" s="1">
        <v>1.2818181820000001</v>
      </c>
      <c r="H1354" s="1">
        <v>58</v>
      </c>
      <c r="I1354" s="1">
        <v>110</v>
      </c>
      <c r="J1354" s="1">
        <v>0.64252170566666666</v>
      </c>
      <c r="K1354" s="1">
        <v>0.50612154099999995</v>
      </c>
      <c r="L1354" s="1">
        <v>0.55940039100000005</v>
      </c>
      <c r="M1354" s="3">
        <v>0.66789001699999995</v>
      </c>
      <c r="N1354" s="1" t="s">
        <v>48</v>
      </c>
      <c r="O1354" s="1">
        <v>1.242622951</v>
      </c>
      <c r="P1354" s="1">
        <v>17.8</v>
      </c>
      <c r="Q1354" s="1">
        <v>30.5</v>
      </c>
      <c r="R1354" s="1">
        <v>0.57780398300000002</v>
      </c>
      <c r="S1354" s="1">
        <v>0.11656239262335075</v>
      </c>
      <c r="T1354" t="s">
        <v>1501</v>
      </c>
      <c r="U1354" s="1">
        <v>1852</v>
      </c>
      <c r="V1354">
        <f t="shared" si="84"/>
        <v>0.36307122026065725</v>
      </c>
      <c r="W1354" s="1">
        <f t="shared" si="85"/>
        <v>40.200000000000003</v>
      </c>
      <c r="X1354">
        <f t="shared" si="86"/>
        <v>3.9195231000000108E-2</v>
      </c>
      <c r="Y1354">
        <f t="shared" si="87"/>
        <v>79.5</v>
      </c>
      <c r="Z1354" s="1">
        <v>1</v>
      </c>
      <c r="AA1354">
        <v>99</v>
      </c>
      <c r="AB1354">
        <v>1.01E-2</v>
      </c>
      <c r="AC1354">
        <v>2</v>
      </c>
      <c r="AD1354">
        <v>108</v>
      </c>
      <c r="AE1354">
        <v>1.8499999999999999E-2</v>
      </c>
      <c r="AF1354" t="s">
        <v>2589</v>
      </c>
      <c r="AG1354" t="s">
        <v>2590</v>
      </c>
    </row>
    <row r="1355" spans="1:33">
      <c r="A1355" s="2" t="s">
        <v>101</v>
      </c>
      <c r="B1355" s="2" t="s">
        <v>49</v>
      </c>
      <c r="C1355" s="1">
        <v>0.57277697599999999</v>
      </c>
      <c r="D1355">
        <v>0.64568820599999999</v>
      </c>
      <c r="E1355">
        <v>0.70909993500000001</v>
      </c>
      <c r="F1355" s="1" t="s">
        <v>102</v>
      </c>
      <c r="G1355" s="1">
        <v>1.2818181820000001</v>
      </c>
      <c r="H1355" s="1">
        <v>58</v>
      </c>
      <c r="I1355" s="1">
        <v>110</v>
      </c>
      <c r="J1355" s="1">
        <v>0.64252170566666666</v>
      </c>
      <c r="K1355" s="1">
        <v>0.50647110500000003</v>
      </c>
      <c r="L1355" s="1">
        <v>0.55713136799999996</v>
      </c>
      <c r="M1355" s="3">
        <v>0.63402682300000002</v>
      </c>
      <c r="N1355" s="1" t="s">
        <v>50</v>
      </c>
      <c r="O1355" s="1">
        <v>1.876675603</v>
      </c>
      <c r="P1355" s="1">
        <v>28.8</v>
      </c>
      <c r="Q1355" s="1">
        <v>37.299999999999997</v>
      </c>
      <c r="R1355" s="1">
        <v>0.56587643200000004</v>
      </c>
      <c r="S1355" s="1">
        <v>0.1336965004440708</v>
      </c>
      <c r="T1355" t="s">
        <v>1502</v>
      </c>
      <c r="U1355" s="1">
        <v>997</v>
      </c>
      <c r="V1355">
        <f t="shared" si="84"/>
        <v>0.33318835092351734</v>
      </c>
      <c r="W1355" s="1">
        <f t="shared" si="85"/>
        <v>29.2</v>
      </c>
      <c r="X1355">
        <f t="shared" si="86"/>
        <v>0.59485742099999994</v>
      </c>
      <c r="Y1355">
        <f t="shared" si="87"/>
        <v>72.7</v>
      </c>
      <c r="Z1355" s="1">
        <v>1</v>
      </c>
      <c r="AA1355">
        <v>99</v>
      </c>
      <c r="AB1355">
        <v>1.01E-2</v>
      </c>
      <c r="AC1355">
        <v>2</v>
      </c>
      <c r="AD1355">
        <v>82</v>
      </c>
      <c r="AE1355">
        <v>2.4400000000000002E-2</v>
      </c>
      <c r="AF1355" t="s">
        <v>2589</v>
      </c>
      <c r="AG1355" t="s">
        <v>2590</v>
      </c>
    </row>
    <row r="1356" spans="1:33">
      <c r="A1356" s="2" t="s">
        <v>101</v>
      </c>
      <c r="B1356" s="2" t="s">
        <v>51</v>
      </c>
      <c r="C1356" s="1">
        <v>0.57277697599999999</v>
      </c>
      <c r="D1356">
        <v>0.64568820599999999</v>
      </c>
      <c r="E1356">
        <v>0.70909993500000001</v>
      </c>
      <c r="F1356" s="1" t="s">
        <v>102</v>
      </c>
      <c r="G1356" s="1">
        <v>1.2818181820000001</v>
      </c>
      <c r="H1356" s="1">
        <v>58</v>
      </c>
      <c r="I1356" s="1">
        <v>110</v>
      </c>
      <c r="J1356" s="1">
        <v>0.64252170566666666</v>
      </c>
      <c r="K1356" s="1">
        <v>0.60067161999999996</v>
      </c>
      <c r="L1356" s="1">
        <v>0.68094129999999997</v>
      </c>
      <c r="M1356" s="3">
        <v>0.73595931299999995</v>
      </c>
      <c r="N1356" s="1" t="s">
        <v>52</v>
      </c>
      <c r="O1356" s="1">
        <v>1.858638743</v>
      </c>
      <c r="P1356" s="1">
        <v>29.4</v>
      </c>
      <c r="Q1356" s="1">
        <v>38.200000000000003</v>
      </c>
      <c r="R1356" s="1">
        <v>0.67252407766666666</v>
      </c>
      <c r="S1356" s="1">
        <v>5.236714606512799E-2</v>
      </c>
      <c r="T1356" t="s">
        <v>1503</v>
      </c>
      <c r="U1356" s="1">
        <v>1422</v>
      </c>
      <c r="V1356">
        <f t="shared" si="84"/>
        <v>0.35032217737708304</v>
      </c>
      <c r="W1356" s="1">
        <f t="shared" si="85"/>
        <v>28.6</v>
      </c>
      <c r="X1356">
        <f t="shared" si="86"/>
        <v>0.5768205609999999</v>
      </c>
      <c r="Y1356">
        <f t="shared" si="87"/>
        <v>71.8</v>
      </c>
      <c r="Z1356" s="1">
        <v>3</v>
      </c>
      <c r="AA1356">
        <v>97</v>
      </c>
      <c r="AB1356">
        <v>3.09E-2</v>
      </c>
      <c r="AC1356">
        <v>4</v>
      </c>
      <c r="AD1356">
        <v>89</v>
      </c>
      <c r="AE1356">
        <v>4.4900000000000002E-2</v>
      </c>
      <c r="AF1356" t="s">
        <v>2589</v>
      </c>
      <c r="AG1356" t="s">
        <v>2591</v>
      </c>
    </row>
    <row r="1357" spans="1:33">
      <c r="A1357" s="2" t="s">
        <v>101</v>
      </c>
      <c r="B1357" s="2" t="s">
        <v>53</v>
      </c>
      <c r="C1357" s="1">
        <v>0.57277697599999999</v>
      </c>
      <c r="D1357">
        <v>0.64568820599999999</v>
      </c>
      <c r="E1357">
        <v>0.70909993500000001</v>
      </c>
      <c r="F1357" s="1" t="s">
        <v>102</v>
      </c>
      <c r="G1357" s="1">
        <v>1.2818181820000001</v>
      </c>
      <c r="H1357" s="1">
        <v>58</v>
      </c>
      <c r="I1357" s="1">
        <v>110</v>
      </c>
      <c r="J1357" s="1">
        <v>0.64252170566666666</v>
      </c>
      <c r="K1357" s="1">
        <v>0.54695832700000002</v>
      </c>
      <c r="L1357" s="1">
        <v>0.659790137</v>
      </c>
      <c r="M1357" s="3">
        <v>0.70662085500000005</v>
      </c>
      <c r="N1357" s="1" t="s">
        <v>54</v>
      </c>
      <c r="O1357" s="1">
        <v>2.5053995680000001</v>
      </c>
      <c r="P1357" s="1">
        <v>43.9</v>
      </c>
      <c r="Q1357" s="1">
        <v>46.3</v>
      </c>
      <c r="R1357" s="1">
        <v>0.63778977300000006</v>
      </c>
      <c r="S1357" s="1">
        <v>2.9523091500728047E-2</v>
      </c>
      <c r="T1357" t="s">
        <v>1504</v>
      </c>
      <c r="U1357" s="1">
        <v>1747</v>
      </c>
      <c r="V1357">
        <f t="shared" si="84"/>
        <v>0.36025476722032562</v>
      </c>
      <c r="W1357" s="1">
        <f t="shared" si="85"/>
        <v>14.100000000000001</v>
      </c>
      <c r="X1357">
        <f t="shared" si="86"/>
        <v>1.223581386</v>
      </c>
      <c r="Y1357">
        <f t="shared" si="87"/>
        <v>63.7</v>
      </c>
      <c r="Z1357" s="1">
        <v>2</v>
      </c>
      <c r="AA1357">
        <v>98</v>
      </c>
      <c r="AB1357">
        <v>2.0400000000000001E-2</v>
      </c>
      <c r="AC1357">
        <v>3</v>
      </c>
      <c r="AD1357">
        <v>90</v>
      </c>
      <c r="AE1357">
        <v>3.3300000000000003E-2</v>
      </c>
      <c r="AF1357" t="s">
        <v>2589</v>
      </c>
      <c r="AG1357" t="s">
        <v>2593</v>
      </c>
    </row>
    <row r="1358" spans="1:33">
      <c r="A1358" s="2" t="s">
        <v>101</v>
      </c>
      <c r="B1358" s="2" t="s">
        <v>55</v>
      </c>
      <c r="C1358" s="1">
        <v>0.57277697599999999</v>
      </c>
      <c r="D1358">
        <v>0.64568820599999999</v>
      </c>
      <c r="E1358">
        <v>0.70909993500000001</v>
      </c>
      <c r="F1358" s="1" t="s">
        <v>102</v>
      </c>
      <c r="G1358" s="1">
        <v>1.2818181820000001</v>
      </c>
      <c r="H1358" s="1">
        <v>58</v>
      </c>
      <c r="I1358" s="1">
        <v>110</v>
      </c>
      <c r="J1358" s="1">
        <v>0.64252170566666666</v>
      </c>
      <c r="K1358" s="1">
        <v>0.52971861799999997</v>
      </c>
      <c r="L1358" s="1">
        <v>0.62258244500000004</v>
      </c>
      <c r="M1358" s="3">
        <v>0.63939760400000001</v>
      </c>
      <c r="N1358" s="1" t="s">
        <v>56</v>
      </c>
      <c r="O1358" s="1">
        <v>1.0796934869999999</v>
      </c>
      <c r="P1358" s="1">
        <v>55.3</v>
      </c>
      <c r="Q1358" s="1">
        <v>130.5</v>
      </c>
      <c r="R1358" s="1">
        <v>0.59723288899999993</v>
      </c>
      <c r="S1358" s="1">
        <v>8.5125280216154633E-2</v>
      </c>
      <c r="T1358" t="s">
        <v>1505</v>
      </c>
      <c r="U1358" s="1">
        <v>6730</v>
      </c>
      <c r="V1358">
        <f t="shared" si="84"/>
        <v>0.42533500713599742</v>
      </c>
      <c r="W1358" s="1">
        <f t="shared" si="85"/>
        <v>2.7000000000000028</v>
      </c>
      <c r="X1358">
        <f t="shared" si="86"/>
        <v>0.20212469500000019</v>
      </c>
      <c r="Y1358">
        <f t="shared" si="87"/>
        <v>20.5</v>
      </c>
      <c r="Z1358" s="1">
        <v>5</v>
      </c>
      <c r="AA1358">
        <v>95</v>
      </c>
      <c r="AB1358">
        <v>5.2600000000000001E-2</v>
      </c>
      <c r="AC1358">
        <v>6</v>
      </c>
      <c r="AD1358">
        <v>79</v>
      </c>
      <c r="AE1358">
        <v>7.5899999999999995E-2</v>
      </c>
      <c r="AF1358" t="s">
        <v>2589</v>
      </c>
      <c r="AG1358" t="s">
        <v>2592</v>
      </c>
    </row>
    <row r="1359" spans="1:33">
      <c r="A1359" s="2" t="s">
        <v>101</v>
      </c>
      <c r="B1359" s="2" t="s">
        <v>57</v>
      </c>
      <c r="C1359" s="1">
        <v>0.57277697599999999</v>
      </c>
      <c r="D1359">
        <v>0.64568820599999999</v>
      </c>
      <c r="E1359">
        <v>0.70909993500000001</v>
      </c>
      <c r="F1359" s="1" t="s">
        <v>102</v>
      </c>
      <c r="G1359" s="1">
        <v>1.2818181820000001</v>
      </c>
      <c r="H1359" s="1">
        <v>58</v>
      </c>
      <c r="I1359" s="1">
        <v>110</v>
      </c>
      <c r="J1359" s="1">
        <v>0.64252170566666666</v>
      </c>
      <c r="K1359" s="1">
        <v>0.528732855</v>
      </c>
      <c r="L1359" s="1">
        <v>0.63387497599999998</v>
      </c>
      <c r="M1359" s="3">
        <v>0.63337360200000004</v>
      </c>
      <c r="N1359" s="1" t="s">
        <v>58</v>
      </c>
      <c r="O1359" s="1">
        <v>1.386610879</v>
      </c>
      <c r="P1359" s="1">
        <v>69</v>
      </c>
      <c r="Q1359" s="1">
        <v>119.5</v>
      </c>
      <c r="R1359" s="1">
        <v>0.59866047766666663</v>
      </c>
      <c r="S1359" s="1">
        <v>8.8396348947919937E-2</v>
      </c>
      <c r="T1359" t="s">
        <v>1506</v>
      </c>
      <c r="U1359" s="1">
        <v>5478</v>
      </c>
      <c r="V1359">
        <f t="shared" si="84"/>
        <v>0.41540244754643807</v>
      </c>
      <c r="W1359" s="1">
        <f t="shared" si="85"/>
        <v>11</v>
      </c>
      <c r="X1359">
        <f t="shared" si="86"/>
        <v>0.10479269699999993</v>
      </c>
      <c r="Y1359">
        <f t="shared" si="87"/>
        <v>9.5</v>
      </c>
      <c r="Z1359" s="1">
        <v>6</v>
      </c>
      <c r="AA1359">
        <v>94</v>
      </c>
      <c r="AB1359">
        <v>6.3799999999999996E-2</v>
      </c>
      <c r="AC1359">
        <v>8</v>
      </c>
      <c r="AD1359">
        <v>83</v>
      </c>
      <c r="AE1359">
        <v>9.64E-2</v>
      </c>
      <c r="AF1359" t="s">
        <v>2589</v>
      </c>
      <c r="AG1359" t="s">
        <v>2589</v>
      </c>
    </row>
    <row r="1360" spans="1:33">
      <c r="A1360" s="2" t="s">
        <v>101</v>
      </c>
      <c r="B1360" s="2" t="s">
        <v>59</v>
      </c>
      <c r="C1360" s="1">
        <v>0.57277697599999999</v>
      </c>
      <c r="D1360">
        <v>0.64568820599999999</v>
      </c>
      <c r="E1360">
        <v>0.70909993500000001</v>
      </c>
      <c r="F1360" s="1" t="s">
        <v>102</v>
      </c>
      <c r="G1360" s="1">
        <v>1.2818181820000001</v>
      </c>
      <c r="H1360" s="1">
        <v>58</v>
      </c>
      <c r="I1360" s="1">
        <v>110</v>
      </c>
      <c r="J1360" s="1">
        <v>0.64252170566666666</v>
      </c>
      <c r="K1360" s="1">
        <v>0.56225432799999997</v>
      </c>
      <c r="L1360" s="1">
        <v>0.68100706499999997</v>
      </c>
      <c r="M1360" s="3">
        <v>0.67505263699999996</v>
      </c>
      <c r="N1360" s="1" t="s">
        <v>60</v>
      </c>
      <c r="O1360" s="1">
        <v>1.1501154730000001</v>
      </c>
      <c r="P1360" s="1">
        <v>60.5</v>
      </c>
      <c r="Q1360" s="1">
        <v>129.9</v>
      </c>
      <c r="R1360" s="1">
        <v>0.63943801</v>
      </c>
      <c r="S1360" s="1">
        <v>5.0173363681286033E-2</v>
      </c>
      <c r="T1360" t="s">
        <v>1507</v>
      </c>
      <c r="U1360" s="1">
        <v>11530</v>
      </c>
      <c r="V1360">
        <f t="shared" si="84"/>
        <v>0.45131436747718884</v>
      </c>
      <c r="W1360" s="1">
        <f t="shared" si="85"/>
        <v>2.5</v>
      </c>
      <c r="X1360">
        <f t="shared" si="86"/>
        <v>0.13170270900000003</v>
      </c>
      <c r="Y1360">
        <f t="shared" si="87"/>
        <v>19.900000000000006</v>
      </c>
      <c r="Z1360" s="1">
        <v>6</v>
      </c>
      <c r="AA1360">
        <v>94</v>
      </c>
      <c r="AB1360">
        <v>6.3799999999999996E-2</v>
      </c>
      <c r="AC1360">
        <v>8</v>
      </c>
      <c r="AD1360">
        <v>102</v>
      </c>
      <c r="AE1360">
        <v>7.8399999999999997E-2</v>
      </c>
      <c r="AF1360" t="s">
        <v>2589</v>
      </c>
      <c r="AG1360" t="s">
        <v>2589</v>
      </c>
    </row>
    <row r="1361" spans="1:33">
      <c r="A1361" s="2" t="s">
        <v>101</v>
      </c>
      <c r="B1361" s="2" t="s">
        <v>61</v>
      </c>
      <c r="C1361" s="1">
        <v>0.57277697599999999</v>
      </c>
      <c r="D1361">
        <v>0.64568820599999999</v>
      </c>
      <c r="E1361">
        <v>0.70909993500000001</v>
      </c>
      <c r="F1361" s="1" t="s">
        <v>102</v>
      </c>
      <c r="G1361" s="1">
        <v>1.2818181820000001</v>
      </c>
      <c r="H1361" s="1">
        <v>58</v>
      </c>
      <c r="I1361" s="1">
        <v>110</v>
      </c>
      <c r="J1361" s="1">
        <v>0.64252170566666666</v>
      </c>
      <c r="K1361" s="1">
        <v>0.62063455999999995</v>
      </c>
      <c r="L1361" s="1">
        <v>0.67798104299999995</v>
      </c>
      <c r="M1361" s="3">
        <v>0.72175371600000005</v>
      </c>
      <c r="N1361" s="1" t="s">
        <v>62</v>
      </c>
      <c r="O1361" s="1">
        <v>7.5471698109999998</v>
      </c>
      <c r="P1361" s="1">
        <v>26.4</v>
      </c>
      <c r="Q1361" s="1">
        <v>10.6</v>
      </c>
      <c r="R1361" s="1">
        <v>0.6734564396666668</v>
      </c>
      <c r="S1361" s="1">
        <v>5.9104093271291964E-2</v>
      </c>
      <c r="T1361" t="s">
        <v>1508</v>
      </c>
      <c r="U1361" s="1">
        <v>1408</v>
      </c>
      <c r="V1361">
        <f t="shared" si="84"/>
        <v>0.34984473942289923</v>
      </c>
      <c r="W1361" s="1">
        <f t="shared" si="85"/>
        <v>31.6</v>
      </c>
      <c r="X1361">
        <f t="shared" si="86"/>
        <v>6.2653516289999995</v>
      </c>
      <c r="Y1361">
        <f t="shared" si="87"/>
        <v>99.4</v>
      </c>
      <c r="Z1361" s="1">
        <v>0</v>
      </c>
      <c r="AA1361">
        <v>100</v>
      </c>
      <c r="AB1361">
        <v>0</v>
      </c>
      <c r="AC1361">
        <v>0</v>
      </c>
      <c r="AD1361">
        <v>85</v>
      </c>
      <c r="AE1361">
        <v>0</v>
      </c>
      <c r="AF1361" t="s">
        <v>2589</v>
      </c>
      <c r="AG1361" t="s">
        <v>2588</v>
      </c>
    </row>
    <row r="1362" spans="1:33">
      <c r="A1362" s="2" t="s">
        <v>101</v>
      </c>
      <c r="B1362" s="2" t="s">
        <v>63</v>
      </c>
      <c r="C1362" s="1">
        <v>0.57277697599999999</v>
      </c>
      <c r="D1362">
        <v>0.64568820599999999</v>
      </c>
      <c r="E1362">
        <v>0.70909993500000001</v>
      </c>
      <c r="F1362" s="1" t="s">
        <v>102</v>
      </c>
      <c r="G1362" s="1">
        <v>1.2818181820000001</v>
      </c>
      <c r="H1362" s="1">
        <v>58</v>
      </c>
      <c r="I1362" s="1">
        <v>110</v>
      </c>
      <c r="J1362" s="1">
        <v>0.64252170566666666</v>
      </c>
      <c r="K1362" s="1">
        <v>0.44311141399999998</v>
      </c>
      <c r="L1362" s="1">
        <v>0.57053969199999999</v>
      </c>
      <c r="M1362" s="3">
        <v>0.59266330599999995</v>
      </c>
      <c r="N1362" s="1" t="s">
        <v>64</v>
      </c>
      <c r="O1362" s="1">
        <v>0.89618138400000003</v>
      </c>
      <c r="P1362" s="1">
        <v>29.7</v>
      </c>
      <c r="Q1362" s="1">
        <v>83.8</v>
      </c>
      <c r="R1362" s="1">
        <v>0.53543813733333334</v>
      </c>
      <c r="S1362" s="1">
        <v>0.18978394478476754</v>
      </c>
      <c r="T1362" t="s">
        <v>1509</v>
      </c>
      <c r="U1362" s="1">
        <v>789</v>
      </c>
      <c r="V1362">
        <f t="shared" si="84"/>
        <v>0.32189744480104671</v>
      </c>
      <c r="W1362" s="1">
        <f t="shared" si="85"/>
        <v>28.3</v>
      </c>
      <c r="X1362">
        <f t="shared" si="86"/>
        <v>0.38563679800000006</v>
      </c>
      <c r="Y1362">
        <f t="shared" si="87"/>
        <v>26.200000000000003</v>
      </c>
      <c r="Z1362" s="1">
        <v>2</v>
      </c>
      <c r="AA1362">
        <v>98</v>
      </c>
      <c r="AB1362">
        <v>2.0400000000000001E-2</v>
      </c>
      <c r="AC1362">
        <v>4</v>
      </c>
      <c r="AD1362">
        <v>88</v>
      </c>
      <c r="AE1362">
        <v>4.5499999999999999E-2</v>
      </c>
      <c r="AF1362" t="s">
        <v>2589</v>
      </c>
      <c r="AG1362" t="s">
        <v>2590</v>
      </c>
    </row>
    <row r="1363" spans="1:33">
      <c r="A1363" s="2" t="s">
        <v>101</v>
      </c>
      <c r="B1363" s="2" t="s">
        <v>65</v>
      </c>
      <c r="C1363" s="1">
        <v>0.57277697599999999</v>
      </c>
      <c r="D1363">
        <v>0.64568820599999999</v>
      </c>
      <c r="E1363">
        <v>0.70909993500000001</v>
      </c>
      <c r="F1363" s="1" t="s">
        <v>102</v>
      </c>
      <c r="G1363" s="1">
        <v>1.2818181820000001</v>
      </c>
      <c r="H1363" s="1">
        <v>58</v>
      </c>
      <c r="I1363" s="1">
        <v>110</v>
      </c>
      <c r="J1363" s="1">
        <v>0.64252170566666666</v>
      </c>
      <c r="K1363" s="1">
        <v>0.67377447499999998</v>
      </c>
      <c r="L1363" s="1">
        <v>0.69144672900000004</v>
      </c>
      <c r="M1363" s="3">
        <v>0.73046409700000003</v>
      </c>
      <c r="N1363" s="1" t="s">
        <v>66</v>
      </c>
      <c r="O1363" s="1">
        <v>1.8507462690000001</v>
      </c>
      <c r="P1363" s="1">
        <v>34.5</v>
      </c>
      <c r="Q1363" s="1">
        <v>46.9</v>
      </c>
      <c r="R1363" s="1">
        <v>0.69856176700000006</v>
      </c>
      <c r="S1363" s="1">
        <v>0.11291928377986984</v>
      </c>
      <c r="T1363" t="s">
        <v>1510</v>
      </c>
      <c r="U1363" s="1">
        <v>889</v>
      </c>
      <c r="V1363">
        <f t="shared" si="84"/>
        <v>0.32765575121891266</v>
      </c>
      <c r="W1363" s="1">
        <f t="shared" si="85"/>
        <v>23.5</v>
      </c>
      <c r="X1363">
        <f t="shared" si="86"/>
        <v>0.56892808699999997</v>
      </c>
      <c r="Y1363">
        <f t="shared" si="87"/>
        <v>63.1</v>
      </c>
      <c r="Z1363" s="1">
        <v>1</v>
      </c>
      <c r="AA1363">
        <v>99</v>
      </c>
      <c r="AB1363">
        <v>1.01E-2</v>
      </c>
      <c r="AC1363">
        <v>1</v>
      </c>
      <c r="AD1363">
        <v>73</v>
      </c>
      <c r="AE1363">
        <v>1.37E-2</v>
      </c>
      <c r="AF1363" t="s">
        <v>2589</v>
      </c>
      <c r="AG1363" t="s">
        <v>2593</v>
      </c>
    </row>
    <row r="1364" spans="1:33">
      <c r="A1364" s="2" t="s">
        <v>101</v>
      </c>
      <c r="B1364" s="2" t="s">
        <v>67</v>
      </c>
      <c r="C1364" s="1">
        <v>0.57277697599999999</v>
      </c>
      <c r="D1364">
        <v>0.64568820599999999</v>
      </c>
      <c r="E1364">
        <v>0.70909993500000001</v>
      </c>
      <c r="F1364" s="1" t="s">
        <v>102</v>
      </c>
      <c r="G1364" s="1">
        <v>1.2818181820000001</v>
      </c>
      <c r="H1364" s="1">
        <v>58</v>
      </c>
      <c r="I1364" s="1">
        <v>110</v>
      </c>
      <c r="J1364" s="1">
        <v>0.64252170566666666</v>
      </c>
      <c r="K1364" s="1">
        <v>0.53971122199999999</v>
      </c>
      <c r="L1364" s="1">
        <v>0.621203065</v>
      </c>
      <c r="M1364" s="3">
        <v>0.67806811499999997</v>
      </c>
      <c r="N1364" s="1" t="s">
        <v>68</v>
      </c>
      <c r="O1364" s="1">
        <v>1.5131894480000001</v>
      </c>
      <c r="P1364" s="1">
        <v>27.2</v>
      </c>
      <c r="Q1364" s="1">
        <v>41.7</v>
      </c>
      <c r="R1364" s="1">
        <v>0.61299413400000002</v>
      </c>
      <c r="S1364" s="1">
        <v>5.1534843260563033E-2</v>
      </c>
      <c r="T1364" t="s">
        <v>1511</v>
      </c>
      <c r="U1364" s="1">
        <v>22664</v>
      </c>
      <c r="V1364">
        <f t="shared" si="84"/>
        <v>0.48392628461248677</v>
      </c>
      <c r="W1364" s="1">
        <f t="shared" si="85"/>
        <v>30.8</v>
      </c>
      <c r="X1364">
        <f t="shared" si="86"/>
        <v>0.23137126600000002</v>
      </c>
      <c r="Y1364">
        <f t="shared" si="87"/>
        <v>68.3</v>
      </c>
      <c r="Z1364" s="1">
        <v>3</v>
      </c>
      <c r="AA1364">
        <v>97</v>
      </c>
      <c r="AB1364">
        <v>3.09E-2</v>
      </c>
      <c r="AC1364">
        <v>8</v>
      </c>
      <c r="AD1364">
        <v>77</v>
      </c>
      <c r="AE1364">
        <v>0.10390000000000001</v>
      </c>
      <c r="AF1364" t="s">
        <v>2589</v>
      </c>
      <c r="AG1364" t="s">
        <v>2588</v>
      </c>
    </row>
    <row r="1365" spans="1:33">
      <c r="A1365" s="2" t="s">
        <v>101</v>
      </c>
      <c r="B1365" s="2" t="s">
        <v>69</v>
      </c>
      <c r="C1365" s="1">
        <v>0.57277697599999999</v>
      </c>
      <c r="D1365">
        <v>0.64568820599999999</v>
      </c>
      <c r="E1365">
        <v>0.70909993500000001</v>
      </c>
      <c r="F1365" s="1" t="s">
        <v>102</v>
      </c>
      <c r="G1365" s="1">
        <v>1.2818181820000001</v>
      </c>
      <c r="H1365" s="1">
        <v>58</v>
      </c>
      <c r="I1365" s="1">
        <v>110</v>
      </c>
      <c r="J1365" s="1">
        <v>0.64252170566666666</v>
      </c>
      <c r="K1365" s="1">
        <v>0.50188385300000005</v>
      </c>
      <c r="L1365" s="1">
        <v>0.64580031500000001</v>
      </c>
      <c r="M1365" s="3">
        <v>0.66006355800000005</v>
      </c>
      <c r="N1365" s="1" t="s">
        <v>70</v>
      </c>
      <c r="O1365" s="1">
        <v>1.2401055409999999</v>
      </c>
      <c r="P1365" s="1">
        <v>43.4</v>
      </c>
      <c r="Q1365" s="1">
        <v>75.8</v>
      </c>
      <c r="R1365" s="1">
        <v>0.60258257533333337</v>
      </c>
      <c r="S1365" s="1">
        <v>8.6199847600834698E-2</v>
      </c>
      <c r="T1365" t="s">
        <v>1512</v>
      </c>
      <c r="U1365" s="1">
        <v>4489</v>
      </c>
      <c r="V1365">
        <f t="shared" si="84"/>
        <v>0.40579440060018368</v>
      </c>
      <c r="W1365" s="1">
        <f t="shared" si="85"/>
        <v>14.600000000000001</v>
      </c>
      <c r="X1365">
        <f t="shared" si="86"/>
        <v>4.1712641000000161E-2</v>
      </c>
      <c r="Y1365">
        <f t="shared" si="87"/>
        <v>34.200000000000003</v>
      </c>
      <c r="Z1365" s="1">
        <v>6</v>
      </c>
      <c r="AA1365">
        <v>94</v>
      </c>
      <c r="AB1365">
        <v>6.3799999999999996E-2</v>
      </c>
      <c r="AC1365">
        <v>8</v>
      </c>
      <c r="AD1365">
        <v>84</v>
      </c>
      <c r="AE1365">
        <v>9.5200000000000007E-2</v>
      </c>
      <c r="AF1365" t="s">
        <v>2589</v>
      </c>
      <c r="AG1365" t="s">
        <v>2589</v>
      </c>
    </row>
    <row r="1366" spans="1:33">
      <c r="A1366" s="2" t="s">
        <v>101</v>
      </c>
      <c r="B1366" s="2" t="s">
        <v>71</v>
      </c>
      <c r="C1366" s="1">
        <v>0.57277697599999999</v>
      </c>
      <c r="D1366">
        <v>0.64568820599999999</v>
      </c>
      <c r="E1366">
        <v>0.70909993500000001</v>
      </c>
      <c r="F1366" s="1" t="s">
        <v>102</v>
      </c>
      <c r="G1366" s="1">
        <v>1.2818181820000001</v>
      </c>
      <c r="H1366" s="1">
        <v>58</v>
      </c>
      <c r="I1366" s="1">
        <v>110</v>
      </c>
      <c r="J1366" s="1">
        <v>0.64252170566666666</v>
      </c>
      <c r="K1366" s="1">
        <v>0.53267569100000001</v>
      </c>
      <c r="L1366" s="1">
        <v>0.64507433599999997</v>
      </c>
      <c r="M1366" s="3">
        <v>0.66598465100000004</v>
      </c>
      <c r="N1366" s="1" t="s">
        <v>72</v>
      </c>
      <c r="O1366" s="1">
        <v>0.97289666900000005</v>
      </c>
      <c r="P1366" s="1">
        <v>64.8</v>
      </c>
      <c r="Q1366" s="1">
        <v>177.1</v>
      </c>
      <c r="R1366" s="1">
        <v>0.61457822600000001</v>
      </c>
      <c r="S1366" s="1">
        <v>5.8884782494535701E-2</v>
      </c>
      <c r="T1366" t="s">
        <v>1513</v>
      </c>
      <c r="U1366" s="1">
        <v>136058</v>
      </c>
      <c r="V1366">
        <f t="shared" si="84"/>
        <v>0.5704137869678314</v>
      </c>
      <c r="W1366" s="1">
        <f t="shared" si="85"/>
        <v>6.7999999999999972</v>
      </c>
      <c r="X1366">
        <f t="shared" si="86"/>
        <v>0.30892151300000004</v>
      </c>
      <c r="Y1366">
        <f t="shared" si="87"/>
        <v>67.099999999999994</v>
      </c>
      <c r="Z1366" s="1">
        <v>22</v>
      </c>
      <c r="AA1366">
        <v>78</v>
      </c>
      <c r="AB1366">
        <v>0.28210000000000002</v>
      </c>
      <c r="AC1366">
        <v>24</v>
      </c>
      <c r="AD1366">
        <v>79</v>
      </c>
      <c r="AE1366">
        <v>0.30380000000000001</v>
      </c>
      <c r="AF1366" t="s">
        <v>2589</v>
      </c>
      <c r="AG1366" t="s">
        <v>2589</v>
      </c>
    </row>
    <row r="1367" spans="1:33">
      <c r="A1367" s="2" t="s">
        <v>101</v>
      </c>
      <c r="B1367" s="2" t="s">
        <v>73</v>
      </c>
      <c r="C1367" s="1">
        <v>0.57277697599999999</v>
      </c>
      <c r="D1367">
        <v>0.64568820599999999</v>
      </c>
      <c r="E1367">
        <v>0.70909993500000001</v>
      </c>
      <c r="F1367" s="1" t="s">
        <v>102</v>
      </c>
      <c r="G1367" s="1">
        <v>1.2818181820000001</v>
      </c>
      <c r="H1367" s="1">
        <v>58</v>
      </c>
      <c r="I1367" s="1">
        <v>110</v>
      </c>
      <c r="J1367" s="1">
        <v>0.64252170566666666</v>
      </c>
      <c r="K1367" s="1">
        <v>0.55697925299999995</v>
      </c>
      <c r="L1367" s="1">
        <v>0.64461978399999997</v>
      </c>
      <c r="M1367" s="3">
        <v>0.69570690000000002</v>
      </c>
      <c r="N1367" s="1" t="s">
        <v>74</v>
      </c>
      <c r="O1367" s="1">
        <v>1.23433584</v>
      </c>
      <c r="P1367" s="1">
        <v>44</v>
      </c>
      <c r="Q1367" s="1">
        <v>79.8</v>
      </c>
      <c r="R1367" s="1">
        <v>0.63243531233333328</v>
      </c>
      <c r="S1367" s="1">
        <v>2.0738441698113175E-2</v>
      </c>
      <c r="T1367" t="s">
        <v>1514</v>
      </c>
      <c r="U1367" s="1">
        <v>3605</v>
      </c>
      <c r="V1367">
        <f t="shared" si="84"/>
        <v>0.3952116965617164</v>
      </c>
      <c r="W1367" s="1">
        <f t="shared" si="85"/>
        <v>14</v>
      </c>
      <c r="X1367">
        <f t="shared" si="86"/>
        <v>4.7482342000000122E-2</v>
      </c>
      <c r="Y1367">
        <f t="shared" si="87"/>
        <v>30.200000000000003</v>
      </c>
      <c r="Z1367" s="1">
        <v>6</v>
      </c>
      <c r="AA1367">
        <v>94</v>
      </c>
      <c r="AB1367">
        <v>6.3799999999999996E-2</v>
      </c>
      <c r="AC1367">
        <v>8</v>
      </c>
      <c r="AD1367">
        <v>80</v>
      </c>
      <c r="AE1367">
        <v>0.1</v>
      </c>
      <c r="AF1367" t="s">
        <v>2589</v>
      </c>
      <c r="AG1367" t="s">
        <v>2589</v>
      </c>
    </row>
    <row r="1368" spans="1:33">
      <c r="A1368" s="2" t="s">
        <v>101</v>
      </c>
      <c r="B1368" s="2" t="s">
        <v>75</v>
      </c>
      <c r="C1368" s="1">
        <v>0.57277697599999999</v>
      </c>
      <c r="D1368">
        <v>0.64568820599999999</v>
      </c>
      <c r="E1368">
        <v>0.70909993500000001</v>
      </c>
      <c r="F1368" s="1" t="s">
        <v>102</v>
      </c>
      <c r="G1368" s="1">
        <v>1.2818181820000001</v>
      </c>
      <c r="H1368" s="1">
        <v>58</v>
      </c>
      <c r="I1368" s="1">
        <v>110</v>
      </c>
      <c r="J1368" s="1">
        <v>0.64252170566666666</v>
      </c>
      <c r="K1368" s="1">
        <v>0.50354843500000002</v>
      </c>
      <c r="L1368" s="1">
        <v>0.59724402499999996</v>
      </c>
      <c r="M1368" s="3">
        <v>0.70308254199999998</v>
      </c>
      <c r="N1368" s="1" t="s">
        <v>76</v>
      </c>
      <c r="O1368" s="1">
        <v>1.2696850390000001</v>
      </c>
      <c r="P1368" s="1">
        <v>26.6</v>
      </c>
      <c r="Q1368" s="1">
        <v>50.8</v>
      </c>
      <c r="R1368" s="1">
        <v>0.60129166733333339</v>
      </c>
      <c r="S1368" s="1">
        <v>8.470914106674611E-2</v>
      </c>
      <c r="T1368" t="s">
        <v>1515</v>
      </c>
      <c r="U1368" s="1">
        <v>1889</v>
      </c>
      <c r="V1368">
        <f t="shared" si="84"/>
        <v>0.36402577310242595</v>
      </c>
      <c r="W1368" s="1">
        <f t="shared" si="85"/>
        <v>31.4</v>
      </c>
      <c r="X1368">
        <f t="shared" si="86"/>
        <v>1.2133143000000013E-2</v>
      </c>
      <c r="Y1368">
        <f t="shared" si="87"/>
        <v>59.2</v>
      </c>
      <c r="Z1368" s="1">
        <v>1</v>
      </c>
      <c r="AA1368">
        <v>99</v>
      </c>
      <c r="AB1368">
        <v>1.01E-2</v>
      </c>
      <c r="AC1368">
        <v>2</v>
      </c>
      <c r="AD1368">
        <v>86</v>
      </c>
      <c r="AE1368">
        <v>2.3300000000000001E-2</v>
      </c>
      <c r="AF1368" t="s">
        <v>2589</v>
      </c>
      <c r="AG1368" t="s">
        <v>2594</v>
      </c>
    </row>
    <row r="1369" spans="1:33">
      <c r="A1369" s="2" t="s">
        <v>101</v>
      </c>
      <c r="B1369" s="2" t="s">
        <v>77</v>
      </c>
      <c r="C1369" s="1">
        <v>0.57277697599999999</v>
      </c>
      <c r="D1369">
        <v>0.64568820599999999</v>
      </c>
      <c r="E1369">
        <v>0.70909993500000001</v>
      </c>
      <c r="F1369" s="1" t="s">
        <v>102</v>
      </c>
      <c r="G1369" s="1">
        <v>1.2818181820000001</v>
      </c>
      <c r="H1369" s="1">
        <v>58</v>
      </c>
      <c r="I1369" s="1">
        <v>110</v>
      </c>
      <c r="J1369" s="1">
        <v>0.64252170566666666</v>
      </c>
      <c r="K1369" s="1">
        <v>0.54630843299999998</v>
      </c>
      <c r="L1369" s="1">
        <v>0.68935555900000001</v>
      </c>
      <c r="M1369" s="3">
        <v>0.65478744899999997</v>
      </c>
      <c r="N1369" s="1" t="s">
        <v>78</v>
      </c>
      <c r="O1369" s="1">
        <v>1.3914285710000001</v>
      </c>
      <c r="P1369" s="1">
        <v>56.5</v>
      </c>
      <c r="Q1369" s="1">
        <v>105</v>
      </c>
      <c r="R1369" s="1">
        <v>0.63015048033333343</v>
      </c>
      <c r="S1369" s="1">
        <v>7.454708325662153E-2</v>
      </c>
      <c r="T1369" t="s">
        <v>1516</v>
      </c>
      <c r="U1369" s="1">
        <v>2074</v>
      </c>
      <c r="V1369">
        <f t="shared" si="84"/>
        <v>0.36853430578366914</v>
      </c>
      <c r="W1369" s="1">
        <f t="shared" si="85"/>
        <v>1.5</v>
      </c>
      <c r="X1369">
        <f t="shared" si="86"/>
        <v>0.10961038899999997</v>
      </c>
      <c r="Y1369">
        <f t="shared" si="87"/>
        <v>5</v>
      </c>
      <c r="Z1369" s="1">
        <v>2</v>
      </c>
      <c r="AA1369">
        <v>98</v>
      </c>
      <c r="AB1369">
        <v>2.0400000000000001E-2</v>
      </c>
      <c r="AC1369">
        <v>3</v>
      </c>
      <c r="AD1369">
        <v>74</v>
      </c>
      <c r="AE1369">
        <v>4.0500000000000001E-2</v>
      </c>
      <c r="AF1369" t="s">
        <v>2589</v>
      </c>
      <c r="AG1369" t="s">
        <v>2590</v>
      </c>
    </row>
    <row r="1370" spans="1:33">
      <c r="A1370" s="2" t="s">
        <v>101</v>
      </c>
      <c r="B1370" s="2" t="s">
        <v>79</v>
      </c>
      <c r="C1370" s="1">
        <v>0.57277697599999999</v>
      </c>
      <c r="D1370">
        <v>0.64568820599999999</v>
      </c>
      <c r="E1370">
        <v>0.70909993500000001</v>
      </c>
      <c r="F1370" s="1" t="s">
        <v>102</v>
      </c>
      <c r="G1370" s="1">
        <v>1.2818181820000001</v>
      </c>
      <c r="H1370" s="1">
        <v>58</v>
      </c>
      <c r="I1370" s="1">
        <v>110</v>
      </c>
      <c r="J1370" s="1">
        <v>0.64252170566666666</v>
      </c>
      <c r="K1370" s="1">
        <v>0.63652882899999996</v>
      </c>
      <c r="L1370" s="1">
        <v>0.77536518600000004</v>
      </c>
      <c r="M1370" s="3">
        <v>0.610415606</v>
      </c>
      <c r="N1370" s="1" t="s">
        <v>80</v>
      </c>
      <c r="O1370" s="1">
        <v>0.95325542600000002</v>
      </c>
      <c r="P1370" s="1">
        <v>45.6</v>
      </c>
      <c r="Q1370" s="1">
        <v>119.8</v>
      </c>
      <c r="R1370" s="1">
        <v>0.67410320700000004</v>
      </c>
      <c r="S1370" s="1">
        <v>0.17498289828733052</v>
      </c>
      <c r="T1370" t="s">
        <v>1517</v>
      </c>
      <c r="U1370" s="1">
        <v>2977</v>
      </c>
      <c r="V1370">
        <f t="shared" si="84"/>
        <v>0.38597542607185831</v>
      </c>
      <c r="W1370" s="1">
        <f t="shared" si="85"/>
        <v>12.399999999999999</v>
      </c>
      <c r="X1370">
        <f t="shared" si="86"/>
        <v>0.32856275600000007</v>
      </c>
      <c r="Y1370">
        <f t="shared" si="87"/>
        <v>9.7999999999999972</v>
      </c>
      <c r="Z1370" s="1">
        <v>1</v>
      </c>
      <c r="AA1370">
        <v>99</v>
      </c>
      <c r="AB1370">
        <v>1.01E-2</v>
      </c>
      <c r="AC1370">
        <v>2</v>
      </c>
      <c r="AD1370">
        <v>66</v>
      </c>
      <c r="AE1370">
        <v>3.0300000000000001E-2</v>
      </c>
      <c r="AF1370" t="s">
        <v>2589</v>
      </c>
      <c r="AG1370" t="s">
        <v>2590</v>
      </c>
    </row>
    <row r="1371" spans="1:33">
      <c r="A1371" s="2" t="s">
        <v>101</v>
      </c>
      <c r="B1371" s="2" t="s">
        <v>81</v>
      </c>
      <c r="C1371" s="1">
        <v>0.57277697599999999</v>
      </c>
      <c r="D1371">
        <v>0.64568820599999999</v>
      </c>
      <c r="E1371">
        <v>0.70909993500000001</v>
      </c>
      <c r="F1371" s="1" t="s">
        <v>102</v>
      </c>
      <c r="G1371" s="1">
        <v>1.2818181820000001</v>
      </c>
      <c r="H1371" s="1">
        <v>58</v>
      </c>
      <c r="I1371" s="1">
        <v>110</v>
      </c>
      <c r="J1371" s="1">
        <v>0.64252170566666666</v>
      </c>
      <c r="K1371" s="1">
        <v>0.50183280699999999</v>
      </c>
      <c r="L1371" s="1">
        <v>0.68550824600000004</v>
      </c>
      <c r="M1371" s="3">
        <v>0.66941488999999998</v>
      </c>
      <c r="N1371" s="1" t="s">
        <v>82</v>
      </c>
      <c r="O1371" s="1">
        <v>1.4359576970000001</v>
      </c>
      <c r="P1371" s="1">
        <v>51</v>
      </c>
      <c r="Q1371" s="1">
        <v>85.1</v>
      </c>
      <c r="R1371" s="1">
        <v>0.61891864766666671</v>
      </c>
      <c r="S1371" s="1">
        <v>9.0518580950842309E-2</v>
      </c>
      <c r="T1371" t="s">
        <v>1518</v>
      </c>
      <c r="U1371" s="1">
        <v>13996</v>
      </c>
      <c r="V1371">
        <f t="shared" si="84"/>
        <v>0.46066710375676323</v>
      </c>
      <c r="W1371" s="1">
        <f t="shared" si="85"/>
        <v>7</v>
      </c>
      <c r="X1371">
        <f t="shared" si="86"/>
        <v>0.154139515</v>
      </c>
      <c r="Y1371">
        <f t="shared" si="87"/>
        <v>24.900000000000006</v>
      </c>
      <c r="Z1371" s="1">
        <v>1</v>
      </c>
      <c r="AA1371">
        <v>99</v>
      </c>
      <c r="AB1371">
        <v>1.01E-2</v>
      </c>
      <c r="AC1371">
        <v>1</v>
      </c>
      <c r="AD1371">
        <v>78</v>
      </c>
      <c r="AE1371">
        <v>1.2800000000000001E-2</v>
      </c>
      <c r="AF1371" t="s">
        <v>2589</v>
      </c>
      <c r="AG1371" t="s">
        <v>2589</v>
      </c>
    </row>
    <row r="1372" spans="1:33">
      <c r="A1372" s="2" t="s">
        <v>101</v>
      </c>
      <c r="B1372" s="2" t="s">
        <v>83</v>
      </c>
      <c r="C1372" s="1">
        <v>0.57277697599999999</v>
      </c>
      <c r="D1372">
        <v>0.64568820599999999</v>
      </c>
      <c r="E1372">
        <v>0.70909993500000001</v>
      </c>
      <c r="F1372" s="1" t="s">
        <v>102</v>
      </c>
      <c r="G1372" s="1">
        <v>1.2818181820000001</v>
      </c>
      <c r="H1372" s="1">
        <v>58</v>
      </c>
      <c r="I1372" s="1">
        <v>110</v>
      </c>
      <c r="J1372" s="1">
        <v>0.64252170566666666</v>
      </c>
      <c r="K1372" s="1">
        <v>0.51815179099999997</v>
      </c>
      <c r="L1372" s="1">
        <v>0.50115949400000004</v>
      </c>
      <c r="M1372" s="3">
        <v>0.68053170600000001</v>
      </c>
      <c r="N1372" s="1" t="s">
        <v>84</v>
      </c>
      <c r="O1372" s="1">
        <v>1.760323887</v>
      </c>
      <c r="P1372" s="1">
        <v>83.4</v>
      </c>
      <c r="Q1372" s="1">
        <v>123.5</v>
      </c>
      <c r="R1372" s="1">
        <v>0.56661433033333342</v>
      </c>
      <c r="S1372" s="1">
        <v>0.15712607401974887</v>
      </c>
      <c r="T1372" t="s">
        <v>1519</v>
      </c>
      <c r="U1372" s="1">
        <v>8423</v>
      </c>
      <c r="V1372">
        <f t="shared" si="84"/>
        <v>0.43616297785461533</v>
      </c>
      <c r="W1372" s="1">
        <f t="shared" si="85"/>
        <v>25.400000000000006</v>
      </c>
      <c r="X1372">
        <f t="shared" si="86"/>
        <v>0.47850570499999989</v>
      </c>
      <c r="Y1372">
        <f t="shared" si="87"/>
        <v>13.5</v>
      </c>
      <c r="Z1372" s="1">
        <v>4</v>
      </c>
      <c r="AA1372">
        <v>96</v>
      </c>
      <c r="AB1372">
        <v>4.1700000000000001E-2</v>
      </c>
      <c r="AC1372">
        <v>5</v>
      </c>
      <c r="AD1372">
        <v>69</v>
      </c>
      <c r="AE1372">
        <v>7.2499999999999995E-2</v>
      </c>
      <c r="AF1372" t="s">
        <v>2589</v>
      </c>
      <c r="AG1372" t="s">
        <v>2589</v>
      </c>
    </row>
    <row r="1373" spans="1:33">
      <c r="A1373" s="2" t="s">
        <v>101</v>
      </c>
      <c r="B1373" s="2" t="s">
        <v>85</v>
      </c>
      <c r="C1373" s="1">
        <v>0.57277697599999999</v>
      </c>
      <c r="D1373">
        <v>0.64568820599999999</v>
      </c>
      <c r="E1373">
        <v>0.70909993500000001</v>
      </c>
      <c r="F1373" s="1" t="s">
        <v>102</v>
      </c>
      <c r="G1373" s="1">
        <v>1.2818181820000001</v>
      </c>
      <c r="H1373" s="1">
        <v>58</v>
      </c>
      <c r="I1373" s="1">
        <v>110</v>
      </c>
      <c r="J1373" s="1">
        <v>0.64252170566666666</v>
      </c>
      <c r="K1373" s="1">
        <v>0.522280945</v>
      </c>
      <c r="L1373" s="1">
        <v>0.58016629799999997</v>
      </c>
      <c r="M1373" s="3">
        <v>0.62446713499999995</v>
      </c>
      <c r="N1373" s="1" t="s">
        <v>86</v>
      </c>
      <c r="O1373" s="1">
        <v>0.57177615599999998</v>
      </c>
      <c r="P1373" s="1">
        <v>19.5</v>
      </c>
      <c r="Q1373" s="1">
        <v>82.2</v>
      </c>
      <c r="R1373" s="1">
        <v>0.57563812599999997</v>
      </c>
      <c r="S1373" s="1">
        <v>0.11834559734334622</v>
      </c>
      <c r="T1373" t="s">
        <v>1520</v>
      </c>
      <c r="U1373" s="1">
        <v>295</v>
      </c>
      <c r="V1373">
        <f t="shared" si="84"/>
        <v>0.27442466844201813</v>
      </c>
      <c r="W1373" s="1">
        <f t="shared" si="85"/>
        <v>38.5</v>
      </c>
      <c r="X1373">
        <f t="shared" si="86"/>
        <v>0.7100420260000001</v>
      </c>
      <c r="Y1373">
        <f t="shared" si="87"/>
        <v>27.799999999999997</v>
      </c>
      <c r="Z1373" s="1">
        <v>1</v>
      </c>
      <c r="AA1373">
        <v>99</v>
      </c>
      <c r="AB1373">
        <v>1.01E-2</v>
      </c>
      <c r="AC1373">
        <v>2</v>
      </c>
      <c r="AD1373">
        <v>137</v>
      </c>
      <c r="AE1373">
        <v>1.46E-2</v>
      </c>
      <c r="AF1373" t="s">
        <v>2589</v>
      </c>
      <c r="AG1373" t="s">
        <v>2590</v>
      </c>
    </row>
    <row r="1374" spans="1:33">
      <c r="A1374" s="2" t="s">
        <v>101</v>
      </c>
      <c r="B1374" s="2" t="s">
        <v>87</v>
      </c>
      <c r="C1374" s="1">
        <v>0.57277697599999999</v>
      </c>
      <c r="D1374">
        <v>0.64568820599999999</v>
      </c>
      <c r="E1374">
        <v>0.70909993500000001</v>
      </c>
      <c r="F1374" s="1" t="s">
        <v>102</v>
      </c>
      <c r="G1374" s="1">
        <v>1.2818181820000001</v>
      </c>
      <c r="H1374" s="1">
        <v>58</v>
      </c>
      <c r="I1374" s="1">
        <v>110</v>
      </c>
      <c r="J1374" s="1">
        <v>0.64252170566666666</v>
      </c>
      <c r="K1374" s="1">
        <v>0.46780425199999998</v>
      </c>
      <c r="L1374" s="1">
        <v>0.54149707400000002</v>
      </c>
      <c r="M1374" s="3">
        <v>0.61626236400000001</v>
      </c>
      <c r="N1374" s="1" t="s">
        <v>88</v>
      </c>
      <c r="O1374" s="1">
        <v>1.395454545</v>
      </c>
      <c r="P1374" s="1">
        <v>65.2</v>
      </c>
      <c r="Q1374" s="1">
        <v>110</v>
      </c>
      <c r="R1374" s="1">
        <v>0.54185456333333337</v>
      </c>
      <c r="S1374" s="1">
        <v>0.1746249677468879</v>
      </c>
      <c r="T1374" t="s">
        <v>1521</v>
      </c>
      <c r="U1374" s="1">
        <v>11963</v>
      </c>
      <c r="V1374">
        <f t="shared" si="84"/>
        <v>0.45309334474833268</v>
      </c>
      <c r="W1374" s="1">
        <f t="shared" si="85"/>
        <v>7.2000000000000028</v>
      </c>
      <c r="X1374">
        <f t="shared" si="86"/>
        <v>0.11363636299999991</v>
      </c>
      <c r="Y1374">
        <f t="shared" si="87"/>
        <v>0</v>
      </c>
      <c r="Z1374" s="1">
        <v>5</v>
      </c>
      <c r="AA1374">
        <v>95</v>
      </c>
      <c r="AB1374">
        <v>5.2600000000000001E-2</v>
      </c>
      <c r="AC1374">
        <v>7</v>
      </c>
      <c r="AD1374">
        <v>65</v>
      </c>
      <c r="AE1374">
        <v>0.1077</v>
      </c>
      <c r="AF1374" t="s">
        <v>2589</v>
      </c>
      <c r="AG1374" t="s">
        <v>2590</v>
      </c>
    </row>
    <row r="1375" spans="1:33">
      <c r="A1375" s="2" t="s">
        <v>101</v>
      </c>
      <c r="B1375" s="2" t="s">
        <v>89</v>
      </c>
      <c r="C1375" s="1">
        <v>0.57277697599999999</v>
      </c>
      <c r="D1375">
        <v>0.64568820599999999</v>
      </c>
      <c r="E1375">
        <v>0.70909993500000001</v>
      </c>
      <c r="F1375" s="1" t="s">
        <v>102</v>
      </c>
      <c r="G1375" s="1">
        <v>1.2818181820000001</v>
      </c>
      <c r="H1375" s="1">
        <v>58</v>
      </c>
      <c r="I1375" s="1">
        <v>110</v>
      </c>
      <c r="J1375" s="1">
        <v>0.64252170566666666</v>
      </c>
      <c r="K1375" s="1">
        <v>0.51097051500000001</v>
      </c>
      <c r="L1375" s="1">
        <v>0.61917891400000002</v>
      </c>
      <c r="M1375" s="3">
        <v>0.60984479800000002</v>
      </c>
      <c r="N1375" s="1" t="s">
        <v>90</v>
      </c>
      <c r="O1375" s="1">
        <v>1.429752066</v>
      </c>
      <c r="P1375" s="1">
        <v>59.8</v>
      </c>
      <c r="Q1375" s="1">
        <v>108.9</v>
      </c>
      <c r="R1375" s="1">
        <v>0.57999807566666661</v>
      </c>
      <c r="S1375" s="1">
        <v>0.11989313326698302</v>
      </c>
      <c r="T1375" t="s">
        <v>1522</v>
      </c>
      <c r="U1375" s="1">
        <v>9954</v>
      </c>
      <c r="V1375">
        <f t="shared" si="84"/>
        <v>0.44422195960088939</v>
      </c>
      <c r="W1375" s="1">
        <f t="shared" si="85"/>
        <v>1.7999999999999972</v>
      </c>
      <c r="X1375">
        <f t="shared" si="86"/>
        <v>0.14793388399999996</v>
      </c>
      <c r="Y1375">
        <f t="shared" si="87"/>
        <v>1.0999999999999943</v>
      </c>
      <c r="Z1375" s="1">
        <v>6</v>
      </c>
      <c r="AA1375">
        <v>94</v>
      </c>
      <c r="AB1375">
        <v>6.3799999999999996E-2</v>
      </c>
      <c r="AC1375">
        <v>8</v>
      </c>
      <c r="AD1375">
        <v>73</v>
      </c>
      <c r="AE1375">
        <v>0.1096</v>
      </c>
      <c r="AF1375" t="s">
        <v>2589</v>
      </c>
      <c r="AG1375" t="s">
        <v>2589</v>
      </c>
    </row>
    <row r="1376" spans="1:33">
      <c r="A1376" s="2" t="s">
        <v>101</v>
      </c>
      <c r="B1376" s="2" t="s">
        <v>91</v>
      </c>
      <c r="C1376" s="1">
        <v>0.57277697599999999</v>
      </c>
      <c r="D1376">
        <v>0.64568820599999999</v>
      </c>
      <c r="E1376">
        <v>0.70909993500000001</v>
      </c>
      <c r="F1376" s="1" t="s">
        <v>102</v>
      </c>
      <c r="G1376" s="1">
        <v>1.2818181820000001</v>
      </c>
      <c r="H1376" s="1">
        <v>58</v>
      </c>
      <c r="I1376" s="1">
        <v>110</v>
      </c>
      <c r="J1376" s="1">
        <v>0.64252170566666666</v>
      </c>
      <c r="K1376" s="1">
        <v>0.37439919700000002</v>
      </c>
      <c r="L1376" s="1">
        <v>0.508839347</v>
      </c>
      <c r="M1376" s="3">
        <v>0.52701193599999996</v>
      </c>
      <c r="N1376" s="1" t="s">
        <v>92</v>
      </c>
      <c r="O1376" s="1">
        <v>1.911504425</v>
      </c>
      <c r="P1376" s="1">
        <v>24.6</v>
      </c>
      <c r="Q1376" s="1">
        <v>33.9</v>
      </c>
      <c r="R1376" s="1">
        <v>0.47008349333333332</v>
      </c>
      <c r="S1376" s="1">
        <v>0.30205528101723161</v>
      </c>
      <c r="T1376" t="s">
        <v>1523</v>
      </c>
      <c r="U1376" s="1">
        <v>350</v>
      </c>
      <c r="V1376">
        <f t="shared" si="84"/>
        <v>0.28267422715003065</v>
      </c>
      <c r="W1376" s="1">
        <f t="shared" si="85"/>
        <v>33.4</v>
      </c>
      <c r="X1376">
        <f t="shared" si="86"/>
        <v>0.62968624299999987</v>
      </c>
      <c r="Y1376">
        <f t="shared" si="87"/>
        <v>76.099999999999994</v>
      </c>
      <c r="Z1376" s="1">
        <v>1</v>
      </c>
      <c r="AA1376">
        <v>99</v>
      </c>
      <c r="AB1376">
        <v>1.01E-2</v>
      </c>
      <c r="AC1376">
        <v>2</v>
      </c>
      <c r="AD1376">
        <v>86</v>
      </c>
      <c r="AE1376">
        <v>2.3300000000000001E-2</v>
      </c>
      <c r="AF1376" t="s">
        <v>2589</v>
      </c>
      <c r="AG1376" t="s">
        <v>2590</v>
      </c>
    </row>
    <row r="1377" spans="1:33">
      <c r="A1377" s="2" t="s">
        <v>101</v>
      </c>
      <c r="B1377" s="2" t="s">
        <v>93</v>
      </c>
      <c r="C1377" s="1">
        <v>0.57277697599999999</v>
      </c>
      <c r="D1377">
        <v>0.64568820599999999</v>
      </c>
      <c r="E1377">
        <v>0.70909993500000001</v>
      </c>
      <c r="F1377" s="1" t="s">
        <v>102</v>
      </c>
      <c r="G1377" s="1">
        <v>1.2818181820000001</v>
      </c>
      <c r="H1377" s="1">
        <v>58</v>
      </c>
      <c r="I1377" s="1">
        <v>110</v>
      </c>
      <c r="J1377" s="1">
        <v>0.64252170566666666</v>
      </c>
      <c r="K1377" s="1">
        <v>0.54134617200000001</v>
      </c>
      <c r="L1377" s="1">
        <v>0.674899633</v>
      </c>
      <c r="M1377" s="3">
        <v>0.719840174</v>
      </c>
      <c r="N1377" s="1" t="s">
        <v>94</v>
      </c>
      <c r="O1377" s="1">
        <v>1.175388967</v>
      </c>
      <c r="P1377" s="1">
        <v>36.6</v>
      </c>
      <c r="Q1377" s="1">
        <v>70.7</v>
      </c>
      <c r="R1377" s="1">
        <v>0.64536199299999997</v>
      </c>
      <c r="S1377" s="1">
        <v>4.4232970070297847E-2</v>
      </c>
      <c r="T1377" t="s">
        <v>1524</v>
      </c>
      <c r="U1377" s="1">
        <v>3525</v>
      </c>
      <c r="V1377">
        <f t="shared" si="84"/>
        <v>0.39412879125860195</v>
      </c>
      <c r="W1377" s="1">
        <f t="shared" si="85"/>
        <v>21.4</v>
      </c>
      <c r="X1377">
        <f t="shared" si="86"/>
        <v>0.10642921500000013</v>
      </c>
      <c r="Y1377">
        <f t="shared" si="87"/>
        <v>39.299999999999997</v>
      </c>
      <c r="Z1377" s="1">
        <v>5</v>
      </c>
      <c r="AA1377">
        <v>95</v>
      </c>
      <c r="AB1377">
        <v>5.2600000000000001E-2</v>
      </c>
      <c r="AC1377">
        <v>7</v>
      </c>
      <c r="AD1377">
        <v>72</v>
      </c>
      <c r="AE1377">
        <v>9.7199999999999995E-2</v>
      </c>
      <c r="AF1377" t="s">
        <v>2589</v>
      </c>
      <c r="AG1377" t="s">
        <v>2589</v>
      </c>
    </row>
    <row r="1378" spans="1:33">
      <c r="A1378" s="2" t="s">
        <v>101</v>
      </c>
      <c r="B1378" s="2" t="s">
        <v>95</v>
      </c>
      <c r="C1378" s="1">
        <v>0.57277697599999999</v>
      </c>
      <c r="D1378">
        <v>0.64568820599999999</v>
      </c>
      <c r="E1378">
        <v>0.70909993500000001</v>
      </c>
      <c r="F1378" s="1" t="s">
        <v>102</v>
      </c>
      <c r="G1378" s="1">
        <v>1.2818181820000001</v>
      </c>
      <c r="H1378" s="1">
        <v>58</v>
      </c>
      <c r="I1378" s="1">
        <v>110</v>
      </c>
      <c r="J1378" s="1">
        <v>0.64252170566666666</v>
      </c>
      <c r="K1378" s="1">
        <v>0.59462093100000002</v>
      </c>
      <c r="L1378" s="1">
        <v>0.68038960500000001</v>
      </c>
      <c r="M1378" s="3">
        <v>0.72533004899999998</v>
      </c>
      <c r="N1378" s="1" t="s">
        <v>96</v>
      </c>
      <c r="O1378" s="1">
        <v>1.9717647060000001</v>
      </c>
      <c r="P1378" s="1">
        <v>34.6</v>
      </c>
      <c r="Q1378" s="1">
        <v>42.5</v>
      </c>
      <c r="R1378" s="1">
        <v>0.66678019499999996</v>
      </c>
      <c r="S1378" s="1">
        <v>4.4099456493841553E-2</v>
      </c>
      <c r="T1378" t="s">
        <v>1525</v>
      </c>
      <c r="U1378" s="1">
        <v>451</v>
      </c>
      <c r="V1378">
        <f t="shared" si="84"/>
        <v>0.2949085046531067</v>
      </c>
      <c r="W1378" s="1">
        <f t="shared" si="85"/>
        <v>23.4</v>
      </c>
      <c r="X1378">
        <f t="shared" si="86"/>
        <v>0.68994652400000001</v>
      </c>
      <c r="Y1378">
        <f t="shared" si="87"/>
        <v>67.5</v>
      </c>
      <c r="Z1378" s="1">
        <v>1</v>
      </c>
      <c r="AA1378">
        <v>99</v>
      </c>
      <c r="AB1378">
        <v>1.01E-2</v>
      </c>
      <c r="AC1378">
        <v>1</v>
      </c>
      <c r="AD1378">
        <v>84</v>
      </c>
      <c r="AE1378">
        <v>1.1900000000000001E-2</v>
      </c>
      <c r="AF1378" t="s">
        <v>2589</v>
      </c>
      <c r="AG1378" t="s">
        <v>2593</v>
      </c>
    </row>
    <row r="1379" spans="1:33">
      <c r="A1379" s="2" t="s">
        <v>101</v>
      </c>
      <c r="B1379" s="2" t="s">
        <v>97</v>
      </c>
      <c r="C1379" s="1">
        <v>0.57277697599999999</v>
      </c>
      <c r="D1379">
        <v>0.64568820599999999</v>
      </c>
      <c r="E1379">
        <v>0.70909993500000001</v>
      </c>
      <c r="F1379" s="1" t="s">
        <v>102</v>
      </c>
      <c r="G1379" s="1">
        <v>1.2818181820000001</v>
      </c>
      <c r="H1379" s="1">
        <v>58</v>
      </c>
      <c r="I1379" s="1">
        <v>110</v>
      </c>
      <c r="J1379" s="1">
        <v>0.64252170566666666</v>
      </c>
      <c r="K1379" s="1">
        <v>0.63674842300000001</v>
      </c>
      <c r="L1379" s="1">
        <v>0.68532635500000005</v>
      </c>
      <c r="M1379" s="3">
        <v>0.727031494</v>
      </c>
      <c r="N1379" s="1" t="s">
        <v>98</v>
      </c>
      <c r="O1379" s="1">
        <v>2.360103627</v>
      </c>
      <c r="P1379" s="1">
        <v>36.799999999999997</v>
      </c>
      <c r="Q1379" s="1">
        <v>38.6</v>
      </c>
      <c r="R1379" s="1">
        <v>0.68303542400000017</v>
      </c>
      <c r="S1379" s="1">
        <v>7.7363232194567061E-2</v>
      </c>
      <c r="T1379" t="s">
        <v>1526</v>
      </c>
      <c r="U1379" s="1">
        <v>391</v>
      </c>
      <c r="V1379">
        <f t="shared" si="84"/>
        <v>0.28801963971065186</v>
      </c>
      <c r="W1379" s="1">
        <f t="shared" si="85"/>
        <v>21.200000000000003</v>
      </c>
      <c r="X1379">
        <f t="shared" si="86"/>
        <v>1.0782854449999999</v>
      </c>
      <c r="Y1379">
        <f t="shared" si="87"/>
        <v>71.400000000000006</v>
      </c>
      <c r="Z1379" s="1">
        <v>1</v>
      </c>
      <c r="AA1379">
        <v>99</v>
      </c>
      <c r="AB1379">
        <v>1.01E-2</v>
      </c>
      <c r="AC1379">
        <v>1</v>
      </c>
      <c r="AD1379">
        <v>84</v>
      </c>
      <c r="AE1379">
        <v>1.1900000000000001E-2</v>
      </c>
      <c r="AF1379" t="s">
        <v>2589</v>
      </c>
      <c r="AG1379" t="s">
        <v>2593</v>
      </c>
    </row>
    <row r="1380" spans="1:33">
      <c r="A1380" s="2" t="s">
        <v>101</v>
      </c>
      <c r="B1380" s="2" t="s">
        <v>99</v>
      </c>
      <c r="C1380" s="1">
        <v>0.57277697599999999</v>
      </c>
      <c r="D1380">
        <v>0.64568820599999999</v>
      </c>
      <c r="E1380">
        <v>0.70909993500000001</v>
      </c>
      <c r="F1380" s="1" t="s">
        <v>102</v>
      </c>
      <c r="G1380" s="1">
        <v>1.2818181820000001</v>
      </c>
      <c r="H1380" s="1">
        <v>58</v>
      </c>
      <c r="I1380" s="1">
        <v>110</v>
      </c>
      <c r="J1380" s="1">
        <v>0.64252170566666666</v>
      </c>
      <c r="K1380" s="1">
        <v>0.52525630099999998</v>
      </c>
      <c r="L1380" s="1">
        <v>0.68706170200000005</v>
      </c>
      <c r="M1380" s="3">
        <v>0.71473597300000002</v>
      </c>
      <c r="N1380" s="1" t="s">
        <v>100</v>
      </c>
      <c r="O1380" s="1">
        <v>1.72605042</v>
      </c>
      <c r="P1380" s="1">
        <v>46.5</v>
      </c>
      <c r="Q1380" s="1">
        <v>59.5</v>
      </c>
      <c r="R1380" s="1">
        <v>0.64235132533333339</v>
      </c>
      <c r="S1380" s="1">
        <v>6.3259352257631379E-2</v>
      </c>
      <c r="T1380" t="s">
        <v>1527</v>
      </c>
      <c r="U1380" s="1">
        <v>7653</v>
      </c>
      <c r="V1380">
        <f t="shared" si="84"/>
        <v>0.43153685703660583</v>
      </c>
      <c r="W1380" s="1">
        <f t="shared" si="85"/>
        <v>11.5</v>
      </c>
      <c r="X1380">
        <f t="shared" si="86"/>
        <v>0.44423223799999989</v>
      </c>
      <c r="Y1380">
        <f t="shared" si="87"/>
        <v>50.5</v>
      </c>
      <c r="Z1380" s="1">
        <v>0</v>
      </c>
      <c r="AA1380">
        <v>100</v>
      </c>
      <c r="AB1380">
        <v>0</v>
      </c>
      <c r="AC1380">
        <v>0</v>
      </c>
      <c r="AD1380">
        <v>87</v>
      </c>
      <c r="AE1380">
        <v>0</v>
      </c>
      <c r="AF1380" t="s">
        <v>2589</v>
      </c>
      <c r="AG1380" t="s">
        <v>2589</v>
      </c>
    </row>
    <row r="1381" spans="1:33">
      <c r="A1381" s="2" t="s">
        <v>101</v>
      </c>
      <c r="B1381" s="2" t="s">
        <v>148</v>
      </c>
      <c r="C1381" s="1">
        <v>0.57277697599999999</v>
      </c>
      <c r="D1381">
        <v>0.64568820599999999</v>
      </c>
      <c r="E1381">
        <v>0.70909993500000001</v>
      </c>
      <c r="F1381" s="1" t="s">
        <v>102</v>
      </c>
      <c r="G1381" s="1">
        <v>1.2818181820000001</v>
      </c>
      <c r="H1381" s="1">
        <v>58</v>
      </c>
      <c r="I1381" s="1">
        <v>110</v>
      </c>
      <c r="J1381" s="1">
        <v>0.64252170566666666</v>
      </c>
      <c r="K1381" s="1">
        <v>0.52246277500000005</v>
      </c>
      <c r="L1381" s="1">
        <v>0.64036274199999998</v>
      </c>
      <c r="M1381" s="3">
        <v>0.62317592099999997</v>
      </c>
      <c r="N1381" s="1" t="s">
        <v>149</v>
      </c>
      <c r="O1381" s="1">
        <v>1.201000834</v>
      </c>
      <c r="P1381" s="1">
        <v>59.2</v>
      </c>
      <c r="Q1381" s="1">
        <v>119.9</v>
      </c>
      <c r="R1381" s="1">
        <v>0.59533381266666663</v>
      </c>
      <c r="S1381" s="1">
        <v>9.9713667924492155E-2</v>
      </c>
      <c r="T1381" t="s">
        <v>1528</v>
      </c>
      <c r="U1381" s="1">
        <v>8528</v>
      </c>
      <c r="V1381">
        <f t="shared" si="84"/>
        <v>0.43676079907583298</v>
      </c>
      <c r="W1381" s="1">
        <f t="shared" si="85"/>
        <v>1.2000000000000028</v>
      </c>
      <c r="X1381">
        <f t="shared" si="86"/>
        <v>8.0817348000000067E-2</v>
      </c>
      <c r="Y1381">
        <f t="shared" si="87"/>
        <v>9.9000000000000057</v>
      </c>
      <c r="Z1381" s="1">
        <v>6</v>
      </c>
      <c r="AA1381">
        <v>94</v>
      </c>
      <c r="AB1381">
        <v>6.3799999999999996E-2</v>
      </c>
      <c r="AC1381">
        <v>8</v>
      </c>
      <c r="AD1381">
        <v>74</v>
      </c>
      <c r="AE1381">
        <v>0.1081</v>
      </c>
      <c r="AF1381" t="s">
        <v>2589</v>
      </c>
      <c r="AG1381" t="s">
        <v>2589</v>
      </c>
    </row>
    <row r="1382" spans="1:33">
      <c r="A1382" s="2" t="s">
        <v>148</v>
      </c>
      <c r="B1382" s="2" t="s">
        <v>10</v>
      </c>
      <c r="C1382" s="1">
        <v>0.52246277500000005</v>
      </c>
      <c r="D1382">
        <v>0.64036274199999998</v>
      </c>
      <c r="E1382">
        <v>0.62317592099999997</v>
      </c>
      <c r="F1382" s="1" t="s">
        <v>149</v>
      </c>
      <c r="G1382" s="1">
        <v>1.201000834</v>
      </c>
      <c r="H1382" s="1">
        <v>59.2</v>
      </c>
      <c r="I1382" s="1">
        <v>119.9</v>
      </c>
      <c r="J1382" s="1">
        <v>0.59533381266666663</v>
      </c>
      <c r="K1382" s="1">
        <v>0.52456325500000001</v>
      </c>
      <c r="L1382" s="1">
        <v>0.61925627999999999</v>
      </c>
      <c r="M1382" s="3">
        <v>0.72111139899999999</v>
      </c>
      <c r="N1382" s="1" t="s">
        <v>12</v>
      </c>
      <c r="O1382" s="1">
        <v>0.61690647499999995</v>
      </c>
      <c r="P1382" s="1">
        <v>30</v>
      </c>
      <c r="Q1382" s="1">
        <v>111.2</v>
      </c>
      <c r="R1382" s="1">
        <v>0.62164364466666666</v>
      </c>
      <c r="S1382" s="1">
        <v>0.10020605074283853</v>
      </c>
      <c r="T1382" t="s">
        <v>1529</v>
      </c>
      <c r="U1382" s="1">
        <v>7051</v>
      </c>
      <c r="V1382">
        <f t="shared" si="84"/>
        <v>0.4275834127418936</v>
      </c>
      <c r="W1382" s="1">
        <f t="shared" si="85"/>
        <v>29.200000000000003</v>
      </c>
      <c r="X1382">
        <f t="shared" si="86"/>
        <v>0.58409435900000006</v>
      </c>
      <c r="Y1382">
        <f t="shared" si="87"/>
        <v>8.7000000000000028</v>
      </c>
      <c r="Z1382" s="1">
        <v>6</v>
      </c>
      <c r="AA1382">
        <v>94</v>
      </c>
      <c r="AB1382">
        <v>6.3799999999999996E-2</v>
      </c>
      <c r="AC1382">
        <v>8</v>
      </c>
      <c r="AD1382">
        <v>141</v>
      </c>
      <c r="AE1382">
        <v>5.67E-2</v>
      </c>
      <c r="AF1382" t="s">
        <v>2589</v>
      </c>
      <c r="AG1382" t="s">
        <v>2588</v>
      </c>
    </row>
    <row r="1383" spans="1:33">
      <c r="A1383" s="2" t="s">
        <v>148</v>
      </c>
      <c r="B1383" s="2" t="s">
        <v>13</v>
      </c>
      <c r="C1383" s="1">
        <v>0.52246277500000005</v>
      </c>
      <c r="D1383">
        <v>0.64036274199999998</v>
      </c>
      <c r="E1383">
        <v>0.62317592099999997</v>
      </c>
      <c r="F1383" s="1" t="s">
        <v>149</v>
      </c>
      <c r="G1383" s="1">
        <v>1.201000834</v>
      </c>
      <c r="H1383" s="1">
        <v>59.2</v>
      </c>
      <c r="I1383" s="1">
        <v>119.9</v>
      </c>
      <c r="J1383" s="1">
        <v>0.59533381266666663</v>
      </c>
      <c r="K1383" s="1">
        <v>0.48695497399999998</v>
      </c>
      <c r="L1383" s="1">
        <v>0.54991327199999995</v>
      </c>
      <c r="M1383" s="3">
        <v>0.67282609299999996</v>
      </c>
      <c r="N1383" s="1" t="s">
        <v>14</v>
      </c>
      <c r="O1383" s="1">
        <v>1.6052009460000001</v>
      </c>
      <c r="P1383" s="1">
        <v>26.6</v>
      </c>
      <c r="Q1383" s="1">
        <v>42.3</v>
      </c>
      <c r="R1383" s="1">
        <v>0.56989811299999993</v>
      </c>
      <c r="S1383" s="1">
        <v>0.10911943060136492</v>
      </c>
      <c r="T1383" t="s">
        <v>1530</v>
      </c>
      <c r="U1383" s="1">
        <v>1066</v>
      </c>
      <c r="V1383">
        <f t="shared" si="84"/>
        <v>0.33641746718783927</v>
      </c>
      <c r="W1383" s="1">
        <f t="shared" si="85"/>
        <v>32.6</v>
      </c>
      <c r="X1383">
        <f t="shared" si="86"/>
        <v>0.40420011200000006</v>
      </c>
      <c r="Y1383">
        <f t="shared" si="87"/>
        <v>77.600000000000009</v>
      </c>
      <c r="Z1383" s="1">
        <v>1</v>
      </c>
      <c r="AA1383">
        <v>99</v>
      </c>
      <c r="AB1383">
        <v>1.01E-2</v>
      </c>
      <c r="AC1383">
        <v>2</v>
      </c>
      <c r="AD1383">
        <v>94</v>
      </c>
      <c r="AE1383">
        <v>2.1299999999999999E-2</v>
      </c>
      <c r="AF1383" t="s">
        <v>2589</v>
      </c>
      <c r="AG1383" t="s">
        <v>2590</v>
      </c>
    </row>
    <row r="1384" spans="1:33">
      <c r="A1384" s="2" t="s">
        <v>148</v>
      </c>
      <c r="B1384" s="2" t="s">
        <v>15</v>
      </c>
      <c r="C1384" s="1">
        <v>0.52246277500000005</v>
      </c>
      <c r="D1384">
        <v>0.64036274199999998</v>
      </c>
      <c r="E1384">
        <v>0.62317592099999997</v>
      </c>
      <c r="F1384" s="1" t="s">
        <v>149</v>
      </c>
      <c r="G1384" s="1">
        <v>1.201000834</v>
      </c>
      <c r="H1384" s="1">
        <v>59.2</v>
      </c>
      <c r="I1384" s="1">
        <v>119.9</v>
      </c>
      <c r="J1384" s="1">
        <v>0.59533381266666663</v>
      </c>
      <c r="K1384" s="1">
        <v>0.54560998800000005</v>
      </c>
      <c r="L1384" s="1">
        <v>0.66721428400000005</v>
      </c>
      <c r="M1384" s="3">
        <v>0.72650398400000005</v>
      </c>
      <c r="N1384" s="1" t="s">
        <v>16</v>
      </c>
      <c r="O1384" s="1">
        <v>5.1392405060000002</v>
      </c>
      <c r="P1384" s="1">
        <v>35.9</v>
      </c>
      <c r="Q1384" s="1">
        <v>15.8</v>
      </c>
      <c r="R1384" s="1">
        <v>0.64644275200000012</v>
      </c>
      <c r="S1384" s="1">
        <v>0.10924050247402343</v>
      </c>
      <c r="T1384" t="s">
        <v>1531</v>
      </c>
      <c r="U1384" s="1">
        <v>752</v>
      </c>
      <c r="V1384">
        <f t="shared" si="84"/>
        <v>0.31957976006573802</v>
      </c>
      <c r="W1384" s="1">
        <f t="shared" si="85"/>
        <v>23.300000000000004</v>
      </c>
      <c r="X1384">
        <f t="shared" si="86"/>
        <v>3.9382396719999999</v>
      </c>
      <c r="Y1384">
        <f t="shared" si="87"/>
        <v>104.10000000000001</v>
      </c>
      <c r="Z1384" s="1">
        <v>0</v>
      </c>
      <c r="AA1384">
        <v>100</v>
      </c>
      <c r="AB1384">
        <v>0</v>
      </c>
      <c r="AC1384">
        <v>0</v>
      </c>
      <c r="AD1384">
        <v>92</v>
      </c>
      <c r="AE1384">
        <v>0</v>
      </c>
      <c r="AF1384" t="s">
        <v>2589</v>
      </c>
      <c r="AG1384" t="s">
        <v>2591</v>
      </c>
    </row>
    <row r="1385" spans="1:33">
      <c r="A1385" s="2" t="s">
        <v>148</v>
      </c>
      <c r="B1385" s="2" t="s">
        <v>17</v>
      </c>
      <c r="C1385" s="1">
        <v>0.52246277500000005</v>
      </c>
      <c r="D1385">
        <v>0.64036274199999998</v>
      </c>
      <c r="E1385">
        <v>0.62317592099999997</v>
      </c>
      <c r="F1385" s="1" t="s">
        <v>149</v>
      </c>
      <c r="G1385" s="1">
        <v>1.201000834</v>
      </c>
      <c r="H1385" s="1">
        <v>59.2</v>
      </c>
      <c r="I1385" s="1">
        <v>119.9</v>
      </c>
      <c r="J1385" s="1">
        <v>0.59533381266666663</v>
      </c>
      <c r="K1385" s="1">
        <v>0.659112378</v>
      </c>
      <c r="L1385" s="1">
        <v>0.68333493499999998</v>
      </c>
      <c r="M1385" s="3">
        <v>0.70345495199999997</v>
      </c>
      <c r="N1385" s="1" t="s">
        <v>18</v>
      </c>
      <c r="O1385" s="1">
        <v>1.9463955639999999</v>
      </c>
      <c r="P1385" s="1">
        <v>46.3</v>
      </c>
      <c r="Q1385" s="1">
        <v>54.1</v>
      </c>
      <c r="R1385" s="1">
        <v>0.68196742166666668</v>
      </c>
      <c r="S1385" s="1">
        <v>0.16420854481294755</v>
      </c>
      <c r="T1385" t="s">
        <v>1532</v>
      </c>
      <c r="U1385" s="1">
        <v>1244</v>
      </c>
      <c r="V1385">
        <f t="shared" si="84"/>
        <v>0.34386893115053335</v>
      </c>
      <c r="W1385" s="1">
        <f t="shared" si="85"/>
        <v>12.900000000000006</v>
      </c>
      <c r="X1385">
        <f t="shared" si="86"/>
        <v>0.74539472999999989</v>
      </c>
      <c r="Y1385">
        <f t="shared" si="87"/>
        <v>65.800000000000011</v>
      </c>
      <c r="Z1385" s="1">
        <v>0</v>
      </c>
      <c r="AA1385">
        <v>100</v>
      </c>
      <c r="AB1385">
        <v>0</v>
      </c>
      <c r="AC1385">
        <v>0</v>
      </c>
      <c r="AD1385">
        <v>106</v>
      </c>
      <c r="AE1385">
        <v>0</v>
      </c>
      <c r="AF1385" t="s">
        <v>2589</v>
      </c>
      <c r="AG1385" t="s">
        <v>2591</v>
      </c>
    </row>
    <row r="1386" spans="1:33">
      <c r="A1386" s="2" t="s">
        <v>148</v>
      </c>
      <c r="B1386" s="2" t="s">
        <v>19</v>
      </c>
      <c r="C1386" s="1">
        <v>0.52246277500000005</v>
      </c>
      <c r="D1386">
        <v>0.64036274199999998</v>
      </c>
      <c r="E1386">
        <v>0.62317592099999997</v>
      </c>
      <c r="F1386" s="1" t="s">
        <v>149</v>
      </c>
      <c r="G1386" s="1">
        <v>1.201000834</v>
      </c>
      <c r="H1386" s="1">
        <v>59.2</v>
      </c>
      <c r="I1386" s="1">
        <v>119.9</v>
      </c>
      <c r="J1386" s="1">
        <v>0.59533381266666663</v>
      </c>
      <c r="K1386" s="1">
        <v>0.49391595300000002</v>
      </c>
      <c r="L1386" s="1">
        <v>0.603599314</v>
      </c>
      <c r="M1386" s="3">
        <v>0.63481471599999995</v>
      </c>
      <c r="N1386" s="1" t="s">
        <v>20</v>
      </c>
      <c r="O1386" s="1">
        <v>1.2140902870000001</v>
      </c>
      <c r="P1386" s="1">
        <v>64.900000000000006</v>
      </c>
      <c r="Q1386" s="1">
        <v>146.19999999999999</v>
      </c>
      <c r="R1386" s="1">
        <v>0.57744332766666662</v>
      </c>
      <c r="S1386" s="1">
        <v>4.7978455932458822E-2</v>
      </c>
      <c r="T1386" t="s">
        <v>1533</v>
      </c>
      <c r="U1386" s="1">
        <v>7401</v>
      </c>
      <c r="V1386">
        <f t="shared" si="84"/>
        <v>0.42992115602326647</v>
      </c>
      <c r="W1386" s="1">
        <f t="shared" si="85"/>
        <v>5.7000000000000028</v>
      </c>
      <c r="X1386">
        <f t="shared" si="86"/>
        <v>1.3089453000000084E-2</v>
      </c>
      <c r="Y1386">
        <f t="shared" si="87"/>
        <v>26.299999999999983</v>
      </c>
      <c r="Z1386" s="1">
        <v>28</v>
      </c>
      <c r="AA1386">
        <v>72</v>
      </c>
      <c r="AB1386">
        <v>0.38890000000000002</v>
      </c>
      <c r="AC1386">
        <v>24</v>
      </c>
      <c r="AD1386">
        <v>62</v>
      </c>
      <c r="AE1386">
        <v>0.3871</v>
      </c>
      <c r="AF1386" t="s">
        <v>2589</v>
      </c>
      <c r="AG1386" t="s">
        <v>2593</v>
      </c>
    </row>
    <row r="1387" spans="1:33">
      <c r="A1387" s="2" t="s">
        <v>148</v>
      </c>
      <c r="B1387" s="2" t="s">
        <v>21</v>
      </c>
      <c r="C1387" s="1">
        <v>0.52246277500000005</v>
      </c>
      <c r="D1387">
        <v>0.64036274199999998</v>
      </c>
      <c r="E1387">
        <v>0.62317592099999997</v>
      </c>
      <c r="F1387" s="1" t="s">
        <v>149</v>
      </c>
      <c r="G1387" s="1">
        <v>1.201000834</v>
      </c>
      <c r="H1387" s="1">
        <v>59.2</v>
      </c>
      <c r="I1387" s="1">
        <v>119.9</v>
      </c>
      <c r="J1387" s="1">
        <v>0.59533381266666663</v>
      </c>
      <c r="K1387" s="1">
        <v>0.53276376800000003</v>
      </c>
      <c r="L1387" s="1">
        <v>0.65428149899999999</v>
      </c>
      <c r="M1387" s="3">
        <v>0.70160154799999996</v>
      </c>
      <c r="N1387" s="1" t="s">
        <v>22</v>
      </c>
      <c r="O1387" s="1">
        <v>1.2440604749999999</v>
      </c>
      <c r="P1387" s="1">
        <v>24.6</v>
      </c>
      <c r="Q1387" s="1">
        <v>46.3</v>
      </c>
      <c r="R1387" s="1">
        <v>0.62954893833333336</v>
      </c>
      <c r="S1387" s="1">
        <v>8.0314514401534087E-2</v>
      </c>
      <c r="T1387" t="s">
        <v>1534</v>
      </c>
      <c r="U1387" s="1">
        <v>7719</v>
      </c>
      <c r="V1387">
        <f t="shared" si="84"/>
        <v>0.43195122677000097</v>
      </c>
      <c r="W1387" s="1">
        <f t="shared" si="85"/>
        <v>34.6</v>
      </c>
      <c r="X1387">
        <f t="shared" si="86"/>
        <v>4.3059640999999926E-2</v>
      </c>
      <c r="Y1387">
        <f t="shared" si="87"/>
        <v>73.600000000000009</v>
      </c>
      <c r="Z1387" s="1">
        <v>4</v>
      </c>
      <c r="AA1387">
        <v>96</v>
      </c>
      <c r="AB1387">
        <v>4.1700000000000001E-2</v>
      </c>
      <c r="AC1387">
        <v>4</v>
      </c>
      <c r="AD1387">
        <v>88</v>
      </c>
      <c r="AE1387">
        <v>4.5499999999999999E-2</v>
      </c>
      <c r="AF1387" t="s">
        <v>2589</v>
      </c>
      <c r="AG1387" t="s">
        <v>2589</v>
      </c>
    </row>
    <row r="1388" spans="1:33">
      <c r="A1388" s="2" t="s">
        <v>148</v>
      </c>
      <c r="B1388" s="2" t="s">
        <v>23</v>
      </c>
      <c r="C1388" s="1">
        <v>0.52246277500000005</v>
      </c>
      <c r="D1388">
        <v>0.64036274199999998</v>
      </c>
      <c r="E1388">
        <v>0.62317592099999997</v>
      </c>
      <c r="F1388" s="1" t="s">
        <v>149</v>
      </c>
      <c r="G1388" s="1">
        <v>1.201000834</v>
      </c>
      <c r="H1388" s="1">
        <v>59.2</v>
      </c>
      <c r="I1388" s="1">
        <v>119.9</v>
      </c>
      <c r="J1388" s="1">
        <v>0.59533381266666663</v>
      </c>
      <c r="K1388" s="1">
        <v>0.49415677200000002</v>
      </c>
      <c r="L1388" s="1">
        <v>0.62090818999999997</v>
      </c>
      <c r="M1388" s="3">
        <v>0.63381026900000004</v>
      </c>
      <c r="N1388" s="1" t="s">
        <v>24</v>
      </c>
      <c r="O1388" s="1">
        <v>1.141304348</v>
      </c>
      <c r="P1388" s="1">
        <v>44.4</v>
      </c>
      <c r="Q1388" s="1">
        <v>101.2</v>
      </c>
      <c r="R1388" s="1">
        <v>0.58295841033333329</v>
      </c>
      <c r="S1388" s="1">
        <v>3.5955510797954469E-2</v>
      </c>
      <c r="T1388" t="s">
        <v>1535</v>
      </c>
      <c r="U1388" s="1">
        <v>2103</v>
      </c>
      <c r="V1388">
        <f t="shared" si="84"/>
        <v>0.36920436363181347</v>
      </c>
      <c r="W1388" s="1">
        <f t="shared" si="85"/>
        <v>14.800000000000004</v>
      </c>
      <c r="X1388">
        <f t="shared" si="86"/>
        <v>5.9696485999999993E-2</v>
      </c>
      <c r="Y1388">
        <f t="shared" si="87"/>
        <v>18.700000000000003</v>
      </c>
      <c r="Z1388" s="1">
        <v>5</v>
      </c>
      <c r="AA1388">
        <v>95</v>
      </c>
      <c r="AB1388">
        <v>5.2600000000000001E-2</v>
      </c>
      <c r="AC1388">
        <v>8</v>
      </c>
      <c r="AD1388">
        <v>80</v>
      </c>
      <c r="AE1388">
        <v>0.1</v>
      </c>
      <c r="AF1388" t="s">
        <v>2589</v>
      </c>
      <c r="AG1388" t="s">
        <v>2590</v>
      </c>
    </row>
    <row r="1389" spans="1:33">
      <c r="A1389" s="2" t="s">
        <v>148</v>
      </c>
      <c r="B1389" s="2" t="s">
        <v>25</v>
      </c>
      <c r="C1389" s="1">
        <v>0.52246277500000005</v>
      </c>
      <c r="D1389">
        <v>0.64036274199999998</v>
      </c>
      <c r="E1389">
        <v>0.62317592099999997</v>
      </c>
      <c r="F1389" s="1" t="s">
        <v>149</v>
      </c>
      <c r="G1389" s="1">
        <v>1.201000834</v>
      </c>
      <c r="H1389" s="1">
        <v>59.2</v>
      </c>
      <c r="I1389" s="1">
        <v>119.9</v>
      </c>
      <c r="J1389" s="1">
        <v>0.59533381266666663</v>
      </c>
      <c r="K1389" s="1">
        <v>0.53959274199999996</v>
      </c>
      <c r="L1389" s="1">
        <v>0.64971567399999997</v>
      </c>
      <c r="M1389" s="3">
        <v>0.65028459999999999</v>
      </c>
      <c r="N1389" s="1" t="s">
        <v>26</v>
      </c>
      <c r="O1389" s="1">
        <v>1.623046875</v>
      </c>
      <c r="P1389" s="1">
        <v>34.700000000000003</v>
      </c>
      <c r="Q1389" s="1">
        <v>51.2</v>
      </c>
      <c r="R1389" s="1">
        <v>0.61319767199999997</v>
      </c>
      <c r="S1389" s="1">
        <v>3.3403496576597365E-2</v>
      </c>
      <c r="T1389" t="s">
        <v>1536</v>
      </c>
      <c r="U1389" s="1">
        <v>4234</v>
      </c>
      <c r="V1389">
        <f t="shared" si="84"/>
        <v>0.40297231707593256</v>
      </c>
      <c r="W1389" s="1">
        <f t="shared" si="85"/>
        <v>24.5</v>
      </c>
      <c r="X1389">
        <f t="shared" si="86"/>
        <v>0.42204604099999998</v>
      </c>
      <c r="Y1389">
        <f t="shared" si="87"/>
        <v>68.7</v>
      </c>
      <c r="Z1389" s="1">
        <v>0</v>
      </c>
      <c r="AA1389">
        <v>100</v>
      </c>
      <c r="AB1389">
        <v>0</v>
      </c>
      <c r="AC1389">
        <v>0</v>
      </c>
      <c r="AD1389">
        <v>90</v>
      </c>
      <c r="AE1389">
        <v>0</v>
      </c>
      <c r="AF1389" t="s">
        <v>2589</v>
      </c>
      <c r="AG1389" t="s">
        <v>2594</v>
      </c>
    </row>
    <row r="1390" spans="1:33">
      <c r="A1390" s="2" t="s">
        <v>148</v>
      </c>
      <c r="B1390" s="2" t="s">
        <v>27</v>
      </c>
      <c r="C1390" s="1">
        <v>0.52246277500000005</v>
      </c>
      <c r="D1390">
        <v>0.64036274199999998</v>
      </c>
      <c r="E1390">
        <v>0.62317592099999997</v>
      </c>
      <c r="F1390" s="1" t="s">
        <v>149</v>
      </c>
      <c r="G1390" s="1">
        <v>1.201000834</v>
      </c>
      <c r="H1390" s="1">
        <v>59.2</v>
      </c>
      <c r="I1390" s="1">
        <v>119.9</v>
      </c>
      <c r="J1390" s="1">
        <v>0.59533381266666663</v>
      </c>
      <c r="K1390" s="1">
        <v>0.518608662</v>
      </c>
      <c r="L1390" s="1">
        <v>0.64320369700000002</v>
      </c>
      <c r="M1390" s="3">
        <v>0.62228994199999998</v>
      </c>
      <c r="N1390" s="1" t="s">
        <v>28</v>
      </c>
      <c r="O1390" s="1">
        <v>1.8717391299999999</v>
      </c>
      <c r="P1390" s="1">
        <v>33.700000000000003</v>
      </c>
      <c r="Q1390" s="1">
        <v>46</v>
      </c>
      <c r="R1390" s="1">
        <v>0.59470076699999996</v>
      </c>
      <c r="S1390" s="1">
        <v>4.8693091006050881E-3</v>
      </c>
      <c r="T1390" t="s">
        <v>1537</v>
      </c>
      <c r="U1390" s="1">
        <v>2161</v>
      </c>
      <c r="V1390">
        <f t="shared" si="84"/>
        <v>0.37051719632036018</v>
      </c>
      <c r="W1390" s="1">
        <f t="shared" si="85"/>
        <v>25.5</v>
      </c>
      <c r="X1390">
        <f t="shared" si="86"/>
        <v>0.6707382959999999</v>
      </c>
      <c r="Y1390">
        <f t="shared" si="87"/>
        <v>73.900000000000006</v>
      </c>
      <c r="Z1390" s="1">
        <v>2</v>
      </c>
      <c r="AA1390">
        <v>98</v>
      </c>
      <c r="AB1390">
        <v>2.0400000000000001E-2</v>
      </c>
      <c r="AC1390">
        <v>3</v>
      </c>
      <c r="AD1390">
        <v>94</v>
      </c>
      <c r="AE1390">
        <v>3.1899999999999998E-2</v>
      </c>
      <c r="AF1390" t="s">
        <v>2589</v>
      </c>
      <c r="AG1390" t="s">
        <v>2590</v>
      </c>
    </row>
    <row r="1391" spans="1:33">
      <c r="A1391" s="2" t="s">
        <v>148</v>
      </c>
      <c r="B1391" s="2" t="s">
        <v>29</v>
      </c>
      <c r="C1391" s="1">
        <v>0.52246277500000005</v>
      </c>
      <c r="D1391">
        <v>0.64036274199999998</v>
      </c>
      <c r="E1391">
        <v>0.62317592099999997</v>
      </c>
      <c r="F1391" s="1" t="s">
        <v>149</v>
      </c>
      <c r="G1391" s="1">
        <v>1.201000834</v>
      </c>
      <c r="H1391" s="1">
        <v>59.2</v>
      </c>
      <c r="I1391" s="1">
        <v>119.9</v>
      </c>
      <c r="J1391" s="1">
        <v>0.59533381266666663</v>
      </c>
      <c r="K1391" s="1">
        <v>0.59351545100000003</v>
      </c>
      <c r="L1391" s="1">
        <v>0.68136602400000001</v>
      </c>
      <c r="M1391" s="3">
        <v>0.73518087600000004</v>
      </c>
      <c r="N1391" s="1" t="s">
        <v>30</v>
      </c>
      <c r="O1391" s="1">
        <v>2.849112426</v>
      </c>
      <c r="P1391" s="1">
        <v>37.9</v>
      </c>
      <c r="Q1391" s="1">
        <v>33.799999999999997</v>
      </c>
      <c r="R1391" s="1">
        <v>0.67002078366666673</v>
      </c>
      <c r="S1391" s="1">
        <v>0.13883393621908349</v>
      </c>
      <c r="T1391" t="s">
        <v>1538</v>
      </c>
      <c r="U1391" s="1">
        <v>1261</v>
      </c>
      <c r="V1391">
        <f t="shared" si="84"/>
        <v>0.34452389850812021</v>
      </c>
      <c r="W1391" s="1">
        <f t="shared" si="85"/>
        <v>21.300000000000004</v>
      </c>
      <c r="X1391">
        <f t="shared" si="86"/>
        <v>1.648111592</v>
      </c>
      <c r="Y1391">
        <f t="shared" si="87"/>
        <v>86.100000000000009</v>
      </c>
      <c r="Z1391" s="1">
        <v>0</v>
      </c>
      <c r="AA1391">
        <v>100</v>
      </c>
      <c r="AB1391">
        <v>0</v>
      </c>
      <c r="AC1391">
        <v>0</v>
      </c>
      <c r="AD1391">
        <v>86</v>
      </c>
      <c r="AE1391">
        <v>0</v>
      </c>
      <c r="AF1391" t="s">
        <v>2589</v>
      </c>
      <c r="AG1391" t="s">
        <v>2593</v>
      </c>
    </row>
    <row r="1392" spans="1:33">
      <c r="A1392" s="2" t="s">
        <v>148</v>
      </c>
      <c r="B1392" s="2" t="s">
        <v>31</v>
      </c>
      <c r="C1392" s="1">
        <v>0.52246277500000005</v>
      </c>
      <c r="D1392">
        <v>0.64036274199999998</v>
      </c>
      <c r="E1392">
        <v>0.62317592099999997</v>
      </c>
      <c r="F1392" s="1" t="s">
        <v>149</v>
      </c>
      <c r="G1392" s="1">
        <v>1.201000834</v>
      </c>
      <c r="H1392" s="1">
        <v>59.2</v>
      </c>
      <c r="I1392" s="1">
        <v>119.9</v>
      </c>
      <c r="J1392" s="1">
        <v>0.59533381266666663</v>
      </c>
      <c r="K1392" s="1">
        <v>0.47727961800000002</v>
      </c>
      <c r="L1392" s="1">
        <v>0.66941086400000005</v>
      </c>
      <c r="M1392" s="3">
        <v>0.69294815300000001</v>
      </c>
      <c r="N1392" s="1" t="s">
        <v>32</v>
      </c>
      <c r="O1392" s="1">
        <v>1.341891892</v>
      </c>
      <c r="P1392" s="1">
        <v>42.1</v>
      </c>
      <c r="Q1392" s="1">
        <v>74</v>
      </c>
      <c r="R1392" s="1">
        <v>0.61321287833333338</v>
      </c>
      <c r="S1392" s="1">
        <v>8.8053821191787979E-2</v>
      </c>
      <c r="T1392" t="s">
        <v>1539</v>
      </c>
      <c r="U1392" s="1">
        <v>19676</v>
      </c>
      <c r="V1392">
        <f t="shared" si="84"/>
        <v>0.47710409043192153</v>
      </c>
      <c r="W1392" s="1">
        <f t="shared" si="85"/>
        <v>17.100000000000001</v>
      </c>
      <c r="X1392">
        <f t="shared" si="86"/>
        <v>0.14089105800000001</v>
      </c>
      <c r="Y1392">
        <f t="shared" si="87"/>
        <v>45.900000000000006</v>
      </c>
      <c r="Z1392" s="1">
        <v>12</v>
      </c>
      <c r="AA1392">
        <v>88</v>
      </c>
      <c r="AB1392">
        <v>0.13639999999999999</v>
      </c>
      <c r="AC1392">
        <v>13</v>
      </c>
      <c r="AD1392">
        <v>81</v>
      </c>
      <c r="AE1392">
        <v>0.1605</v>
      </c>
      <c r="AF1392" t="s">
        <v>2589</v>
      </c>
      <c r="AG1392" t="s">
        <v>2589</v>
      </c>
    </row>
    <row r="1393" spans="1:33">
      <c r="A1393" s="2" t="s">
        <v>148</v>
      </c>
      <c r="B1393" s="2" t="s">
        <v>33</v>
      </c>
      <c r="C1393" s="1">
        <v>0.52246277500000005</v>
      </c>
      <c r="D1393">
        <v>0.64036274199999998</v>
      </c>
      <c r="E1393">
        <v>0.62317592099999997</v>
      </c>
      <c r="F1393" s="1" t="s">
        <v>149</v>
      </c>
      <c r="G1393" s="1">
        <v>1.201000834</v>
      </c>
      <c r="H1393" s="1">
        <v>59.2</v>
      </c>
      <c r="I1393" s="1">
        <v>119.9</v>
      </c>
      <c r="J1393" s="1">
        <v>0.59533381266666663</v>
      </c>
      <c r="K1393" s="1">
        <v>0.51347926600000005</v>
      </c>
      <c r="L1393" s="1">
        <v>0.63144379399999995</v>
      </c>
      <c r="M1393" s="3">
        <v>0.64189093500000005</v>
      </c>
      <c r="N1393" s="1" t="s">
        <v>34</v>
      </c>
      <c r="O1393" s="1">
        <v>2.3123667380000001</v>
      </c>
      <c r="P1393" s="1">
        <v>79.099999999999994</v>
      </c>
      <c r="Q1393" s="1">
        <v>93.8</v>
      </c>
      <c r="R1393" s="1">
        <v>0.59560466500000009</v>
      </c>
      <c r="S1393" s="1">
        <v>2.259430938090352E-2</v>
      </c>
      <c r="T1393" t="s">
        <v>1540</v>
      </c>
      <c r="U1393" s="1">
        <v>15565</v>
      </c>
      <c r="V1393">
        <f t="shared" si="84"/>
        <v>0.46579434722428154</v>
      </c>
      <c r="W1393" s="1">
        <f t="shared" si="85"/>
        <v>19.899999999999991</v>
      </c>
      <c r="X1393">
        <f t="shared" si="86"/>
        <v>1.1113659040000001</v>
      </c>
      <c r="Y1393">
        <f t="shared" si="87"/>
        <v>26.100000000000009</v>
      </c>
      <c r="Z1393" s="1">
        <v>17</v>
      </c>
      <c r="AA1393">
        <v>83</v>
      </c>
      <c r="AB1393">
        <v>0.20480000000000001</v>
      </c>
      <c r="AC1393">
        <v>16</v>
      </c>
      <c r="AD1393">
        <v>72</v>
      </c>
      <c r="AE1393">
        <v>0.22220000000000001</v>
      </c>
      <c r="AF1393" t="s">
        <v>2589</v>
      </c>
      <c r="AG1393" t="s">
        <v>2590</v>
      </c>
    </row>
    <row r="1394" spans="1:33">
      <c r="A1394" s="2" t="s">
        <v>148</v>
      </c>
      <c r="B1394" s="2" t="s">
        <v>35</v>
      </c>
      <c r="C1394" s="1">
        <v>0.52246277500000005</v>
      </c>
      <c r="D1394">
        <v>0.64036274199999998</v>
      </c>
      <c r="E1394">
        <v>0.62317592099999997</v>
      </c>
      <c r="F1394" s="1" t="s">
        <v>149</v>
      </c>
      <c r="G1394" s="1">
        <v>1.201000834</v>
      </c>
      <c r="H1394" s="1">
        <v>59.2</v>
      </c>
      <c r="I1394" s="1">
        <v>119.9</v>
      </c>
      <c r="J1394" s="1">
        <v>0.59533381266666663</v>
      </c>
      <c r="K1394" s="1">
        <v>0.52542897600000005</v>
      </c>
      <c r="L1394" s="1">
        <v>0.60774736299999998</v>
      </c>
      <c r="M1394" s="3">
        <v>0.62585751700000003</v>
      </c>
      <c r="N1394" s="1" t="s">
        <v>36</v>
      </c>
      <c r="O1394" s="1">
        <v>0.98848810399999998</v>
      </c>
      <c r="P1394" s="1">
        <v>54.2</v>
      </c>
      <c r="Q1394" s="1">
        <v>130.30000000000001</v>
      </c>
      <c r="R1394" s="1">
        <v>0.58634461866666665</v>
      </c>
      <c r="S1394" s="1">
        <v>3.2859583880403269E-2</v>
      </c>
      <c r="T1394" t="s">
        <v>1541</v>
      </c>
      <c r="U1394" s="1">
        <v>14721</v>
      </c>
      <c r="V1394">
        <f t="shared" si="84"/>
        <v>0.46310414585561976</v>
      </c>
      <c r="W1394" s="1">
        <f t="shared" si="85"/>
        <v>5</v>
      </c>
      <c r="X1394">
        <f t="shared" si="86"/>
        <v>0.21251273000000004</v>
      </c>
      <c r="Y1394">
        <f t="shared" si="87"/>
        <v>10.400000000000006</v>
      </c>
      <c r="Z1394" s="1">
        <v>15</v>
      </c>
      <c r="AA1394">
        <v>85</v>
      </c>
      <c r="AB1394">
        <v>0.17649999999999999</v>
      </c>
      <c r="AC1394">
        <v>16</v>
      </c>
      <c r="AD1394">
        <v>71</v>
      </c>
      <c r="AE1394">
        <v>0.22539999999999999</v>
      </c>
      <c r="AF1394" t="s">
        <v>2589</v>
      </c>
      <c r="AG1394" t="s">
        <v>2589</v>
      </c>
    </row>
    <row r="1395" spans="1:33">
      <c r="A1395" s="2" t="s">
        <v>148</v>
      </c>
      <c r="B1395" s="2" t="s">
        <v>37</v>
      </c>
      <c r="C1395" s="1">
        <v>0.52246277500000005</v>
      </c>
      <c r="D1395">
        <v>0.64036274199999998</v>
      </c>
      <c r="E1395">
        <v>0.62317592099999997</v>
      </c>
      <c r="F1395" s="1" t="s">
        <v>149</v>
      </c>
      <c r="G1395" s="1">
        <v>1.201000834</v>
      </c>
      <c r="H1395" s="1">
        <v>59.2</v>
      </c>
      <c r="I1395" s="1">
        <v>119.9</v>
      </c>
      <c r="J1395" s="1">
        <v>0.59533381266666663</v>
      </c>
      <c r="K1395" s="1">
        <v>0.50856695500000004</v>
      </c>
      <c r="L1395" s="1">
        <v>0.654733224</v>
      </c>
      <c r="M1395" s="3">
        <v>0.61418267199999999</v>
      </c>
      <c r="N1395" s="1" t="s">
        <v>38</v>
      </c>
      <c r="O1395" s="1">
        <v>0.64065708399999999</v>
      </c>
      <c r="P1395" s="1">
        <v>41.9</v>
      </c>
      <c r="Q1395" s="1">
        <v>146.1</v>
      </c>
      <c r="R1395" s="1">
        <v>0.59249428366666679</v>
      </c>
      <c r="S1395" s="1">
        <v>2.1919924588390476E-2</v>
      </c>
      <c r="T1395" t="s">
        <v>1542</v>
      </c>
      <c r="U1395" s="1">
        <v>7592</v>
      </c>
      <c r="V1395">
        <f t="shared" si="84"/>
        <v>0.43115068882435958</v>
      </c>
      <c r="W1395" s="1">
        <f t="shared" si="85"/>
        <v>17.300000000000004</v>
      </c>
      <c r="X1395">
        <f t="shared" si="86"/>
        <v>0.56034375000000003</v>
      </c>
      <c r="Y1395">
        <f t="shared" si="87"/>
        <v>26.199999999999989</v>
      </c>
      <c r="Z1395" s="1">
        <v>12</v>
      </c>
      <c r="AA1395">
        <v>88</v>
      </c>
      <c r="AB1395">
        <v>0.13639999999999999</v>
      </c>
      <c r="AC1395">
        <v>12</v>
      </c>
      <c r="AD1395">
        <v>74</v>
      </c>
      <c r="AE1395">
        <v>0.16220000000000001</v>
      </c>
      <c r="AF1395" t="s">
        <v>2589</v>
      </c>
      <c r="AG1395" t="s">
        <v>2590</v>
      </c>
    </row>
    <row r="1396" spans="1:33">
      <c r="A1396" s="2" t="s">
        <v>148</v>
      </c>
      <c r="B1396" s="2" t="s">
        <v>39</v>
      </c>
      <c r="C1396" s="1">
        <v>0.52246277500000005</v>
      </c>
      <c r="D1396">
        <v>0.64036274199999998</v>
      </c>
      <c r="E1396">
        <v>0.62317592099999997</v>
      </c>
      <c r="F1396" s="1" t="s">
        <v>149</v>
      </c>
      <c r="G1396" s="1">
        <v>1.201000834</v>
      </c>
      <c r="H1396" s="1">
        <v>59.2</v>
      </c>
      <c r="I1396" s="1">
        <v>119.9</v>
      </c>
      <c r="J1396" s="1">
        <v>0.59533381266666663</v>
      </c>
      <c r="K1396" s="1">
        <v>0.60811616199999996</v>
      </c>
      <c r="L1396" s="1">
        <v>0.721105683</v>
      </c>
      <c r="M1396" s="3">
        <v>0.741016169</v>
      </c>
      <c r="N1396" s="1" t="s">
        <v>40</v>
      </c>
      <c r="O1396" s="1">
        <v>1.0601915180000001</v>
      </c>
      <c r="P1396" s="1">
        <v>34</v>
      </c>
      <c r="Q1396" s="1">
        <v>73.099999999999994</v>
      </c>
      <c r="R1396" s="1">
        <v>0.69007933799999999</v>
      </c>
      <c r="S1396" s="1">
        <v>0.16656004705391611</v>
      </c>
      <c r="T1396" t="s">
        <v>1543</v>
      </c>
      <c r="U1396" s="1">
        <v>61695</v>
      </c>
      <c r="V1396">
        <f t="shared" si="84"/>
        <v>0.53224999650720628</v>
      </c>
      <c r="W1396" s="1">
        <f t="shared" si="85"/>
        <v>25.200000000000003</v>
      </c>
      <c r="X1396">
        <f t="shared" si="86"/>
        <v>0.14080931599999991</v>
      </c>
      <c r="Y1396">
        <f t="shared" si="87"/>
        <v>46.800000000000011</v>
      </c>
      <c r="Z1396" s="1">
        <v>4</v>
      </c>
      <c r="AA1396">
        <v>96</v>
      </c>
      <c r="AB1396">
        <v>4.1700000000000001E-2</v>
      </c>
      <c r="AC1396">
        <v>6</v>
      </c>
      <c r="AD1396">
        <v>83</v>
      </c>
      <c r="AE1396">
        <v>7.2300000000000003E-2</v>
      </c>
      <c r="AF1396" t="s">
        <v>2589</v>
      </c>
      <c r="AG1396" t="s">
        <v>2589</v>
      </c>
    </row>
    <row r="1397" spans="1:33">
      <c r="A1397" s="2" t="s">
        <v>148</v>
      </c>
      <c r="B1397" s="2" t="s">
        <v>41</v>
      </c>
      <c r="C1397" s="1">
        <v>0.52246277500000005</v>
      </c>
      <c r="D1397">
        <v>0.64036274199999998</v>
      </c>
      <c r="E1397">
        <v>0.62317592099999997</v>
      </c>
      <c r="F1397" s="1" t="s">
        <v>149</v>
      </c>
      <c r="G1397" s="1">
        <v>1.201000834</v>
      </c>
      <c r="H1397" s="1">
        <v>59.2</v>
      </c>
      <c r="I1397" s="1">
        <v>119.9</v>
      </c>
      <c r="J1397" s="1">
        <v>0.59533381266666663</v>
      </c>
      <c r="K1397" s="1">
        <v>0.60402244999999999</v>
      </c>
      <c r="L1397" s="1">
        <v>0.669189213</v>
      </c>
      <c r="M1397" s="3">
        <v>0.69821693799999995</v>
      </c>
      <c r="N1397" s="1" t="s">
        <v>42</v>
      </c>
      <c r="O1397" s="1">
        <v>1.3243902439999999</v>
      </c>
      <c r="P1397" s="1">
        <v>23</v>
      </c>
      <c r="Q1397" s="1">
        <v>41</v>
      </c>
      <c r="R1397" s="1">
        <v>0.65714286700000002</v>
      </c>
      <c r="S1397" s="1">
        <v>0.11451681207933508</v>
      </c>
      <c r="T1397" t="s">
        <v>1544</v>
      </c>
      <c r="U1397" s="1">
        <v>803</v>
      </c>
      <c r="V1397">
        <f t="shared" si="84"/>
        <v>0.3227461716976312</v>
      </c>
      <c r="W1397" s="1">
        <f t="shared" si="85"/>
        <v>36.200000000000003</v>
      </c>
      <c r="X1397">
        <f t="shared" si="86"/>
        <v>0.12338940999999992</v>
      </c>
      <c r="Y1397">
        <f t="shared" si="87"/>
        <v>78.900000000000006</v>
      </c>
      <c r="Z1397" s="1">
        <v>0</v>
      </c>
      <c r="AA1397">
        <v>100</v>
      </c>
      <c r="AB1397">
        <v>0</v>
      </c>
      <c r="AC1397">
        <v>0</v>
      </c>
      <c r="AD1397">
        <v>103</v>
      </c>
      <c r="AE1397">
        <v>0</v>
      </c>
      <c r="AF1397" t="s">
        <v>2589</v>
      </c>
      <c r="AG1397" t="s">
        <v>2591</v>
      </c>
    </row>
    <row r="1398" spans="1:33">
      <c r="A1398" s="2" t="s">
        <v>148</v>
      </c>
      <c r="B1398" s="2" t="s">
        <v>43</v>
      </c>
      <c r="C1398" s="1">
        <v>0.52246277500000005</v>
      </c>
      <c r="D1398">
        <v>0.64036274199999998</v>
      </c>
      <c r="E1398">
        <v>0.62317592099999997</v>
      </c>
      <c r="F1398" s="1" t="s">
        <v>149</v>
      </c>
      <c r="G1398" s="1">
        <v>1.201000834</v>
      </c>
      <c r="H1398" s="1">
        <v>59.2</v>
      </c>
      <c r="I1398" s="1">
        <v>119.9</v>
      </c>
      <c r="J1398" s="1">
        <v>0.59533381266666663</v>
      </c>
      <c r="K1398" s="1">
        <v>0.54180634699999997</v>
      </c>
      <c r="L1398" s="1">
        <v>0.59470779900000004</v>
      </c>
      <c r="M1398" s="3">
        <v>0.69518155599999998</v>
      </c>
      <c r="N1398" s="1" t="s">
        <v>44</v>
      </c>
      <c r="O1398" s="1">
        <v>1.7403685090000001</v>
      </c>
      <c r="P1398" s="1">
        <v>41.2</v>
      </c>
      <c r="Q1398" s="1">
        <v>59.7</v>
      </c>
      <c r="R1398" s="1">
        <v>0.61056523400000007</v>
      </c>
      <c r="S1398" s="1">
        <v>8.7426306509000198E-2</v>
      </c>
      <c r="T1398" t="s">
        <v>1545</v>
      </c>
      <c r="U1398" s="1">
        <v>30372</v>
      </c>
      <c r="V1398">
        <f t="shared" si="84"/>
        <v>0.49805259902287546</v>
      </c>
      <c r="W1398" s="1">
        <f t="shared" si="85"/>
        <v>18</v>
      </c>
      <c r="X1398">
        <f t="shared" si="86"/>
        <v>0.53936767500000005</v>
      </c>
      <c r="Y1398">
        <f t="shared" si="87"/>
        <v>60.2</v>
      </c>
      <c r="Z1398" s="1">
        <v>11</v>
      </c>
      <c r="AA1398">
        <v>89</v>
      </c>
      <c r="AB1398">
        <v>0.1236</v>
      </c>
      <c r="AC1398">
        <v>13</v>
      </c>
      <c r="AD1398">
        <v>112</v>
      </c>
      <c r="AE1398">
        <v>0.11609999999999999</v>
      </c>
      <c r="AF1398" t="s">
        <v>2589</v>
      </c>
      <c r="AG1398" t="s">
        <v>2589</v>
      </c>
    </row>
    <row r="1399" spans="1:33">
      <c r="A1399" s="2" t="s">
        <v>148</v>
      </c>
      <c r="B1399" s="2" t="s">
        <v>45</v>
      </c>
      <c r="C1399" s="1">
        <v>0.52246277500000005</v>
      </c>
      <c r="D1399">
        <v>0.64036274199999998</v>
      </c>
      <c r="E1399">
        <v>0.62317592099999997</v>
      </c>
      <c r="F1399" s="1" t="s">
        <v>149</v>
      </c>
      <c r="G1399" s="1">
        <v>1.201000834</v>
      </c>
      <c r="H1399" s="1">
        <v>59.2</v>
      </c>
      <c r="I1399" s="1">
        <v>119.9</v>
      </c>
      <c r="J1399" s="1">
        <v>0.59533381266666663</v>
      </c>
      <c r="K1399" s="1">
        <v>0.50907007599999998</v>
      </c>
      <c r="L1399" s="1">
        <v>0.68428041399999995</v>
      </c>
      <c r="M1399" s="3">
        <v>0.67454742099999998</v>
      </c>
      <c r="N1399" s="1" t="s">
        <v>46</v>
      </c>
      <c r="O1399" s="1">
        <v>0.98140043799999999</v>
      </c>
      <c r="P1399" s="1">
        <v>38.9</v>
      </c>
      <c r="Q1399" s="1">
        <v>91.4</v>
      </c>
      <c r="R1399" s="1">
        <v>0.62263263699999993</v>
      </c>
      <c r="S1399" s="1">
        <v>6.8899617652452796E-2</v>
      </c>
      <c r="T1399" t="s">
        <v>1546</v>
      </c>
      <c r="U1399" s="1">
        <v>24865</v>
      </c>
      <c r="V1399">
        <f t="shared" si="84"/>
        <v>0.48839871817424929</v>
      </c>
      <c r="W1399" s="1">
        <f t="shared" si="85"/>
        <v>20.300000000000004</v>
      </c>
      <c r="X1399">
        <f t="shared" si="86"/>
        <v>0.21960039600000003</v>
      </c>
      <c r="Y1399">
        <f t="shared" si="87"/>
        <v>28.5</v>
      </c>
      <c r="Z1399" s="1">
        <v>14</v>
      </c>
      <c r="AA1399">
        <v>86</v>
      </c>
      <c r="AB1399">
        <v>0.1628</v>
      </c>
      <c r="AC1399">
        <v>16</v>
      </c>
      <c r="AD1399">
        <v>89</v>
      </c>
      <c r="AE1399">
        <v>0.17979999999999999</v>
      </c>
      <c r="AF1399" t="s">
        <v>2589</v>
      </c>
      <c r="AG1399" t="s">
        <v>2589</v>
      </c>
    </row>
    <row r="1400" spans="1:33">
      <c r="A1400" s="2" t="s">
        <v>148</v>
      </c>
      <c r="B1400" s="2" t="s">
        <v>47</v>
      </c>
      <c r="C1400" s="1">
        <v>0.52246277500000005</v>
      </c>
      <c r="D1400">
        <v>0.64036274199999998</v>
      </c>
      <c r="E1400">
        <v>0.62317592099999997</v>
      </c>
      <c r="F1400" s="1" t="s">
        <v>149</v>
      </c>
      <c r="G1400" s="1">
        <v>1.201000834</v>
      </c>
      <c r="H1400" s="1">
        <v>59.2</v>
      </c>
      <c r="I1400" s="1">
        <v>119.9</v>
      </c>
      <c r="J1400" s="1">
        <v>0.59533381266666663</v>
      </c>
      <c r="K1400" s="1">
        <v>0.50612154099999995</v>
      </c>
      <c r="L1400" s="1">
        <v>0.55940039100000005</v>
      </c>
      <c r="M1400" s="3">
        <v>0.66789001699999995</v>
      </c>
      <c r="N1400" s="1" t="s">
        <v>48</v>
      </c>
      <c r="O1400" s="1">
        <v>1.242622951</v>
      </c>
      <c r="P1400" s="1">
        <v>17.8</v>
      </c>
      <c r="Q1400" s="1">
        <v>30.5</v>
      </c>
      <c r="R1400" s="1">
        <v>0.57780398300000002</v>
      </c>
      <c r="S1400" s="1">
        <v>9.3921715216381998E-2</v>
      </c>
      <c r="T1400" t="s">
        <v>1547</v>
      </c>
      <c r="U1400" s="1">
        <v>11943</v>
      </c>
      <c r="V1400">
        <f t="shared" si="84"/>
        <v>0.45301260358930673</v>
      </c>
      <c r="W1400" s="1">
        <f t="shared" si="85"/>
        <v>41.400000000000006</v>
      </c>
      <c r="X1400">
        <f t="shared" si="86"/>
        <v>4.1622116999999959E-2</v>
      </c>
      <c r="Y1400">
        <f t="shared" si="87"/>
        <v>89.4</v>
      </c>
      <c r="Z1400" s="1">
        <v>1</v>
      </c>
      <c r="AA1400">
        <v>99</v>
      </c>
      <c r="AB1400">
        <v>1.01E-2</v>
      </c>
      <c r="AC1400">
        <v>2</v>
      </c>
      <c r="AD1400">
        <v>110</v>
      </c>
      <c r="AE1400">
        <v>1.8200000000000001E-2</v>
      </c>
      <c r="AF1400" t="s">
        <v>2589</v>
      </c>
      <c r="AG1400" t="s">
        <v>2590</v>
      </c>
    </row>
    <row r="1401" spans="1:33">
      <c r="A1401" s="2" t="s">
        <v>148</v>
      </c>
      <c r="B1401" s="2" t="s">
        <v>49</v>
      </c>
      <c r="C1401" s="1">
        <v>0.52246277500000005</v>
      </c>
      <c r="D1401">
        <v>0.64036274199999998</v>
      </c>
      <c r="E1401">
        <v>0.62317592099999997</v>
      </c>
      <c r="F1401" s="1" t="s">
        <v>149</v>
      </c>
      <c r="G1401" s="1">
        <v>1.201000834</v>
      </c>
      <c r="H1401" s="1">
        <v>59.2</v>
      </c>
      <c r="I1401" s="1">
        <v>119.9</v>
      </c>
      <c r="J1401" s="1">
        <v>0.59533381266666663</v>
      </c>
      <c r="K1401" s="1">
        <v>0.50647110500000003</v>
      </c>
      <c r="L1401" s="1">
        <v>0.55713136799999996</v>
      </c>
      <c r="M1401" s="3">
        <v>0.63402682300000002</v>
      </c>
      <c r="N1401" s="1" t="s">
        <v>50</v>
      </c>
      <c r="O1401" s="1">
        <v>1.876675603</v>
      </c>
      <c r="P1401" s="1">
        <v>28.8</v>
      </c>
      <c r="Q1401" s="1">
        <v>37.299999999999997</v>
      </c>
      <c r="R1401" s="1">
        <v>0.56587643200000004</v>
      </c>
      <c r="S1401" s="1">
        <v>8.5445521834268096E-2</v>
      </c>
      <c r="T1401" t="s">
        <v>1548</v>
      </c>
      <c r="U1401" s="1">
        <v>4194</v>
      </c>
      <c r="V1401">
        <f t="shared" si="84"/>
        <v>0.40251426956992498</v>
      </c>
      <c r="W1401" s="1">
        <f t="shared" si="85"/>
        <v>30.400000000000002</v>
      </c>
      <c r="X1401">
        <f t="shared" si="86"/>
        <v>0.67567476900000001</v>
      </c>
      <c r="Y1401">
        <f t="shared" si="87"/>
        <v>82.600000000000009</v>
      </c>
      <c r="Z1401" s="1">
        <v>5</v>
      </c>
      <c r="AA1401">
        <v>95</v>
      </c>
      <c r="AB1401">
        <v>5.2600000000000001E-2</v>
      </c>
      <c r="AC1401">
        <v>7</v>
      </c>
      <c r="AD1401">
        <v>79</v>
      </c>
      <c r="AE1401">
        <v>8.8599999999999998E-2</v>
      </c>
      <c r="AF1401" t="s">
        <v>2589</v>
      </c>
      <c r="AG1401" t="s">
        <v>2590</v>
      </c>
    </row>
    <row r="1402" spans="1:33">
      <c r="A1402" s="2" t="s">
        <v>148</v>
      </c>
      <c r="B1402" s="2" t="s">
        <v>51</v>
      </c>
      <c r="C1402" s="1">
        <v>0.52246277500000005</v>
      </c>
      <c r="D1402">
        <v>0.64036274199999998</v>
      </c>
      <c r="E1402">
        <v>0.62317592099999997</v>
      </c>
      <c r="F1402" s="1" t="s">
        <v>149</v>
      </c>
      <c r="G1402" s="1">
        <v>1.201000834</v>
      </c>
      <c r="H1402" s="1">
        <v>59.2</v>
      </c>
      <c r="I1402" s="1">
        <v>119.9</v>
      </c>
      <c r="J1402" s="1">
        <v>0.59533381266666663</v>
      </c>
      <c r="K1402" s="1">
        <v>0.60067161999999996</v>
      </c>
      <c r="L1402" s="1">
        <v>0.68094129999999997</v>
      </c>
      <c r="M1402" s="3">
        <v>0.73595931299999995</v>
      </c>
      <c r="N1402" s="1" t="s">
        <v>52</v>
      </c>
      <c r="O1402" s="1">
        <v>1.858638743</v>
      </c>
      <c r="P1402" s="1">
        <v>29.4</v>
      </c>
      <c r="Q1402" s="1">
        <v>38.200000000000003</v>
      </c>
      <c r="R1402" s="1">
        <v>0.67252407766666666</v>
      </c>
      <c r="S1402" s="1">
        <v>0.1431200066958461</v>
      </c>
      <c r="T1402" t="s">
        <v>1549</v>
      </c>
      <c r="U1402" s="1">
        <v>694</v>
      </c>
      <c r="V1402">
        <f t="shared" si="84"/>
        <v>0.31570660782831722</v>
      </c>
      <c r="W1402" s="1">
        <f t="shared" si="85"/>
        <v>29.800000000000004</v>
      </c>
      <c r="X1402">
        <f t="shared" si="86"/>
        <v>0.65763790899999996</v>
      </c>
      <c r="Y1402">
        <f t="shared" si="87"/>
        <v>81.7</v>
      </c>
      <c r="Z1402" s="1">
        <v>3</v>
      </c>
      <c r="AA1402">
        <v>97</v>
      </c>
      <c r="AB1402">
        <v>3.09E-2</v>
      </c>
      <c r="AC1402">
        <v>4</v>
      </c>
      <c r="AD1402">
        <v>91</v>
      </c>
      <c r="AE1402">
        <v>4.3999999999999997E-2</v>
      </c>
      <c r="AF1402" t="s">
        <v>2589</v>
      </c>
      <c r="AG1402" t="s">
        <v>2591</v>
      </c>
    </row>
    <row r="1403" spans="1:33">
      <c r="A1403" s="2" t="s">
        <v>148</v>
      </c>
      <c r="B1403" s="2" t="s">
        <v>53</v>
      </c>
      <c r="C1403" s="1">
        <v>0.52246277500000005</v>
      </c>
      <c r="D1403">
        <v>0.64036274199999998</v>
      </c>
      <c r="E1403">
        <v>0.62317592099999997</v>
      </c>
      <c r="F1403" s="1" t="s">
        <v>149</v>
      </c>
      <c r="G1403" s="1">
        <v>1.201000834</v>
      </c>
      <c r="H1403" s="1">
        <v>59.2</v>
      </c>
      <c r="I1403" s="1">
        <v>119.9</v>
      </c>
      <c r="J1403" s="1">
        <v>0.59533381266666663</v>
      </c>
      <c r="K1403" s="1">
        <v>0.54695832700000002</v>
      </c>
      <c r="L1403" s="1">
        <v>0.659790137</v>
      </c>
      <c r="M1403" s="3">
        <v>0.70662085500000005</v>
      </c>
      <c r="N1403" s="1" t="s">
        <v>54</v>
      </c>
      <c r="O1403" s="1">
        <v>2.5053995680000001</v>
      </c>
      <c r="P1403" s="1">
        <v>43.9</v>
      </c>
      <c r="Q1403" s="1">
        <v>46.3</v>
      </c>
      <c r="R1403" s="1">
        <v>0.63778977300000006</v>
      </c>
      <c r="S1403" s="1">
        <v>8.9109554788109557E-2</v>
      </c>
      <c r="T1403" t="s">
        <v>1550</v>
      </c>
      <c r="U1403" s="1">
        <v>1566</v>
      </c>
      <c r="V1403">
        <f t="shared" si="84"/>
        <v>0.35497686196910272</v>
      </c>
      <c r="W1403" s="1">
        <f t="shared" si="85"/>
        <v>15.300000000000004</v>
      </c>
      <c r="X1403">
        <f t="shared" si="86"/>
        <v>1.3043987340000001</v>
      </c>
      <c r="Y1403">
        <f t="shared" si="87"/>
        <v>73.600000000000009</v>
      </c>
      <c r="Z1403" s="1">
        <v>1</v>
      </c>
      <c r="AA1403">
        <v>99</v>
      </c>
      <c r="AB1403">
        <v>1.01E-2</v>
      </c>
      <c r="AC1403">
        <v>2</v>
      </c>
      <c r="AD1403">
        <v>93</v>
      </c>
      <c r="AE1403">
        <v>2.1499999999999998E-2</v>
      </c>
      <c r="AF1403" t="s">
        <v>2589</v>
      </c>
      <c r="AG1403" t="s">
        <v>2593</v>
      </c>
    </row>
    <row r="1404" spans="1:33">
      <c r="A1404" s="2" t="s">
        <v>148</v>
      </c>
      <c r="B1404" s="2" t="s">
        <v>55</v>
      </c>
      <c r="C1404" s="1">
        <v>0.52246277500000005</v>
      </c>
      <c r="D1404">
        <v>0.64036274199999998</v>
      </c>
      <c r="E1404">
        <v>0.62317592099999997</v>
      </c>
      <c r="F1404" s="1" t="s">
        <v>149</v>
      </c>
      <c r="G1404" s="1">
        <v>1.201000834</v>
      </c>
      <c r="H1404" s="1">
        <v>59.2</v>
      </c>
      <c r="I1404" s="1">
        <v>119.9</v>
      </c>
      <c r="J1404" s="1">
        <v>0.59533381266666663</v>
      </c>
      <c r="K1404" s="1">
        <v>0.52971861799999997</v>
      </c>
      <c r="L1404" s="1">
        <v>0.62258244500000004</v>
      </c>
      <c r="M1404" s="3">
        <v>0.63939760400000001</v>
      </c>
      <c r="N1404" s="1" t="s">
        <v>56</v>
      </c>
      <c r="O1404" s="1">
        <v>1.0796934869999999</v>
      </c>
      <c r="P1404" s="1">
        <v>55.3</v>
      </c>
      <c r="Q1404" s="1">
        <v>130.5</v>
      </c>
      <c r="R1404" s="1">
        <v>0.59723288899999993</v>
      </c>
      <c r="S1404" s="1">
        <v>2.5138202370124745E-2</v>
      </c>
      <c r="T1404" t="s">
        <v>1551</v>
      </c>
      <c r="U1404" s="1">
        <v>51271</v>
      </c>
      <c r="V1404">
        <f t="shared" si="84"/>
        <v>0.52331908756564571</v>
      </c>
      <c r="W1404" s="1">
        <f t="shared" si="85"/>
        <v>3.9000000000000057</v>
      </c>
      <c r="X1404">
        <f t="shared" si="86"/>
        <v>0.12130734700000012</v>
      </c>
      <c r="Y1404">
        <f t="shared" si="87"/>
        <v>10.599999999999994</v>
      </c>
      <c r="Z1404" s="1">
        <v>36</v>
      </c>
      <c r="AA1404">
        <v>64</v>
      </c>
      <c r="AB1404">
        <v>0.5625</v>
      </c>
      <c r="AC1404">
        <v>31</v>
      </c>
      <c r="AD1404">
        <v>56</v>
      </c>
      <c r="AE1404">
        <v>0.55359999999999998</v>
      </c>
      <c r="AF1404" t="s">
        <v>2589</v>
      </c>
      <c r="AG1404" t="s">
        <v>2592</v>
      </c>
    </row>
    <row r="1405" spans="1:33">
      <c r="A1405" s="2" t="s">
        <v>148</v>
      </c>
      <c r="B1405" s="2" t="s">
        <v>57</v>
      </c>
      <c r="C1405" s="1">
        <v>0.52246277500000005</v>
      </c>
      <c r="D1405">
        <v>0.64036274199999998</v>
      </c>
      <c r="E1405">
        <v>0.62317592099999997</v>
      </c>
      <c r="F1405" s="1" t="s">
        <v>149</v>
      </c>
      <c r="G1405" s="1">
        <v>1.201000834</v>
      </c>
      <c r="H1405" s="1">
        <v>59.2</v>
      </c>
      <c r="I1405" s="1">
        <v>119.9</v>
      </c>
      <c r="J1405" s="1">
        <v>0.59533381266666663</v>
      </c>
      <c r="K1405" s="1">
        <v>0.528732855</v>
      </c>
      <c r="L1405" s="1">
        <v>0.63387497599999998</v>
      </c>
      <c r="M1405" s="3">
        <v>0.63337360200000004</v>
      </c>
      <c r="N1405" s="1" t="s">
        <v>58</v>
      </c>
      <c r="O1405" s="1">
        <v>1.386610879</v>
      </c>
      <c r="P1405" s="1">
        <v>69</v>
      </c>
      <c r="Q1405" s="1">
        <v>119.5</v>
      </c>
      <c r="R1405" s="1">
        <v>0.59866047766666663</v>
      </c>
      <c r="S1405" s="1">
        <v>1.3616082720625559E-2</v>
      </c>
      <c r="T1405" t="s">
        <v>1552</v>
      </c>
      <c r="U1405" s="1">
        <v>15943</v>
      </c>
      <c r="V1405">
        <f t="shared" si="84"/>
        <v>0.46695222734416486</v>
      </c>
      <c r="W1405" s="1">
        <f t="shared" si="85"/>
        <v>9.7999999999999972</v>
      </c>
      <c r="X1405">
        <f t="shared" si="86"/>
        <v>0.185610045</v>
      </c>
      <c r="Y1405">
        <f t="shared" si="87"/>
        <v>0.40000000000000568</v>
      </c>
      <c r="Z1405" s="1">
        <v>26</v>
      </c>
      <c r="AA1405">
        <v>74</v>
      </c>
      <c r="AB1405">
        <v>0.35139999999999999</v>
      </c>
      <c r="AC1405">
        <v>22</v>
      </c>
      <c r="AD1405">
        <v>71</v>
      </c>
      <c r="AE1405">
        <v>0.30990000000000001</v>
      </c>
      <c r="AF1405" t="s">
        <v>2589</v>
      </c>
      <c r="AG1405" t="s">
        <v>2589</v>
      </c>
    </row>
    <row r="1406" spans="1:33">
      <c r="A1406" s="2" t="s">
        <v>148</v>
      </c>
      <c r="B1406" s="2" t="s">
        <v>59</v>
      </c>
      <c r="C1406" s="1">
        <v>0.52246277500000005</v>
      </c>
      <c r="D1406">
        <v>0.64036274199999998</v>
      </c>
      <c r="E1406">
        <v>0.62317592099999997</v>
      </c>
      <c r="F1406" s="1" t="s">
        <v>149</v>
      </c>
      <c r="G1406" s="1">
        <v>1.201000834</v>
      </c>
      <c r="H1406" s="1">
        <v>59.2</v>
      </c>
      <c r="I1406" s="1">
        <v>119.9</v>
      </c>
      <c r="J1406" s="1">
        <v>0.59533381266666663</v>
      </c>
      <c r="K1406" s="1">
        <v>0.56225432799999997</v>
      </c>
      <c r="L1406" s="1">
        <v>0.68100706499999997</v>
      </c>
      <c r="M1406" s="3">
        <v>0.67505263699999996</v>
      </c>
      <c r="N1406" s="1" t="s">
        <v>60</v>
      </c>
      <c r="O1406" s="1">
        <v>1.1501154730000001</v>
      </c>
      <c r="P1406" s="1">
        <v>60.5</v>
      </c>
      <c r="Q1406" s="1">
        <v>129.9</v>
      </c>
      <c r="R1406" s="1">
        <v>0.63943801</v>
      </c>
      <c r="S1406" s="1">
        <v>7.698390965146408E-2</v>
      </c>
      <c r="T1406" t="s">
        <v>1553</v>
      </c>
      <c r="U1406" s="1">
        <v>15938</v>
      </c>
      <c r="V1406">
        <f t="shared" si="84"/>
        <v>0.46693709138769257</v>
      </c>
      <c r="W1406" s="1">
        <f t="shared" si="85"/>
        <v>1.2999999999999972</v>
      </c>
      <c r="X1406">
        <f t="shared" si="86"/>
        <v>5.0885360999999962E-2</v>
      </c>
      <c r="Y1406">
        <f t="shared" si="87"/>
        <v>10</v>
      </c>
      <c r="Z1406" s="1">
        <v>14</v>
      </c>
      <c r="AA1406">
        <v>86</v>
      </c>
      <c r="AB1406">
        <v>0.1628</v>
      </c>
      <c r="AC1406">
        <v>16</v>
      </c>
      <c r="AD1406">
        <v>96</v>
      </c>
      <c r="AE1406">
        <v>0.16669999999999999</v>
      </c>
      <c r="AF1406" t="s">
        <v>2589</v>
      </c>
      <c r="AG1406" t="s">
        <v>2589</v>
      </c>
    </row>
    <row r="1407" spans="1:33">
      <c r="A1407" s="2" t="s">
        <v>148</v>
      </c>
      <c r="B1407" s="2" t="s">
        <v>61</v>
      </c>
      <c r="C1407" s="1">
        <v>0.52246277500000005</v>
      </c>
      <c r="D1407">
        <v>0.64036274199999998</v>
      </c>
      <c r="E1407">
        <v>0.62317592099999997</v>
      </c>
      <c r="F1407" s="1" t="s">
        <v>149</v>
      </c>
      <c r="G1407" s="1">
        <v>1.201000834</v>
      </c>
      <c r="H1407" s="1">
        <v>59.2</v>
      </c>
      <c r="I1407" s="1">
        <v>119.9</v>
      </c>
      <c r="J1407" s="1">
        <v>0.59533381266666663</v>
      </c>
      <c r="K1407" s="1">
        <v>0.62063455999999995</v>
      </c>
      <c r="L1407" s="1">
        <v>0.67798104299999995</v>
      </c>
      <c r="M1407" s="3">
        <v>0.72175371600000005</v>
      </c>
      <c r="N1407" s="1" t="s">
        <v>62</v>
      </c>
      <c r="O1407" s="1">
        <v>7.5471698109999998</v>
      </c>
      <c r="P1407" s="1">
        <v>26.4</v>
      </c>
      <c r="Q1407" s="1">
        <v>10.6</v>
      </c>
      <c r="R1407" s="1">
        <v>0.6734564396666668</v>
      </c>
      <c r="S1407" s="1">
        <v>0.14411945603309376</v>
      </c>
      <c r="T1407" t="s">
        <v>1554</v>
      </c>
      <c r="U1407" s="1">
        <v>23613</v>
      </c>
      <c r="V1407">
        <f t="shared" si="84"/>
        <v>0.48590568523509881</v>
      </c>
      <c r="W1407" s="1">
        <f t="shared" si="85"/>
        <v>32.800000000000004</v>
      </c>
      <c r="X1407">
        <f t="shared" si="86"/>
        <v>6.3461689769999996</v>
      </c>
      <c r="Y1407">
        <f t="shared" si="87"/>
        <v>109.30000000000001</v>
      </c>
      <c r="Z1407" s="1">
        <v>0</v>
      </c>
      <c r="AA1407">
        <v>100</v>
      </c>
      <c r="AB1407">
        <v>0</v>
      </c>
      <c r="AC1407">
        <v>0</v>
      </c>
      <c r="AD1407">
        <v>87</v>
      </c>
      <c r="AE1407">
        <v>0</v>
      </c>
      <c r="AF1407" t="s">
        <v>2589</v>
      </c>
      <c r="AG1407" t="s">
        <v>2588</v>
      </c>
    </row>
    <row r="1408" spans="1:33">
      <c r="A1408" s="2" t="s">
        <v>148</v>
      </c>
      <c r="B1408" s="2" t="s">
        <v>63</v>
      </c>
      <c r="C1408" s="1">
        <v>0.52246277500000005</v>
      </c>
      <c r="D1408">
        <v>0.64036274199999998</v>
      </c>
      <c r="E1408">
        <v>0.62317592099999997</v>
      </c>
      <c r="F1408" s="1" t="s">
        <v>149</v>
      </c>
      <c r="G1408" s="1">
        <v>1.201000834</v>
      </c>
      <c r="H1408" s="1">
        <v>59.2</v>
      </c>
      <c r="I1408" s="1">
        <v>119.9</v>
      </c>
      <c r="J1408" s="1">
        <v>0.59533381266666663</v>
      </c>
      <c r="K1408" s="1">
        <v>0.44311141399999998</v>
      </c>
      <c r="L1408" s="1">
        <v>0.57053969199999999</v>
      </c>
      <c r="M1408" s="3">
        <v>0.59266330599999995</v>
      </c>
      <c r="N1408" s="1" t="s">
        <v>64</v>
      </c>
      <c r="O1408" s="1">
        <v>0.89618138400000003</v>
      </c>
      <c r="P1408" s="1">
        <v>29.7</v>
      </c>
      <c r="Q1408" s="1">
        <v>83.8</v>
      </c>
      <c r="R1408" s="1">
        <v>0.53543813733333334</v>
      </c>
      <c r="S1408" s="1">
        <v>0.11001325591942571</v>
      </c>
      <c r="T1408" t="s">
        <v>1555</v>
      </c>
      <c r="U1408" s="1">
        <v>3920</v>
      </c>
      <c r="V1408">
        <f t="shared" si="84"/>
        <v>0.39925400744671746</v>
      </c>
      <c r="W1408" s="1">
        <f t="shared" si="85"/>
        <v>29.500000000000004</v>
      </c>
      <c r="X1408">
        <f t="shared" si="86"/>
        <v>0.30481944999999999</v>
      </c>
      <c r="Y1408">
        <f t="shared" si="87"/>
        <v>36.100000000000009</v>
      </c>
      <c r="Z1408" s="1">
        <v>9</v>
      </c>
      <c r="AA1408">
        <v>91</v>
      </c>
      <c r="AB1408">
        <v>9.8900000000000002E-2</v>
      </c>
      <c r="AC1408">
        <v>11</v>
      </c>
      <c r="AD1408">
        <v>83</v>
      </c>
      <c r="AE1408">
        <v>0.13250000000000001</v>
      </c>
      <c r="AF1408" t="s">
        <v>2589</v>
      </c>
      <c r="AG1408" t="s">
        <v>2590</v>
      </c>
    </row>
    <row r="1409" spans="1:33">
      <c r="A1409" s="2" t="s">
        <v>148</v>
      </c>
      <c r="B1409" s="2" t="s">
        <v>65</v>
      </c>
      <c r="C1409" s="1">
        <v>0.52246277500000005</v>
      </c>
      <c r="D1409">
        <v>0.64036274199999998</v>
      </c>
      <c r="E1409">
        <v>0.62317592099999997</v>
      </c>
      <c r="F1409" s="1" t="s">
        <v>149</v>
      </c>
      <c r="G1409" s="1">
        <v>1.201000834</v>
      </c>
      <c r="H1409" s="1">
        <v>59.2</v>
      </c>
      <c r="I1409" s="1">
        <v>119.9</v>
      </c>
      <c r="J1409" s="1">
        <v>0.59533381266666663</v>
      </c>
      <c r="K1409" s="1">
        <v>0.67377447499999998</v>
      </c>
      <c r="L1409" s="1">
        <v>0.69144672900000004</v>
      </c>
      <c r="M1409" s="3">
        <v>0.73046409700000003</v>
      </c>
      <c r="N1409" s="1" t="s">
        <v>66</v>
      </c>
      <c r="O1409" s="1">
        <v>1.8507462690000001</v>
      </c>
      <c r="P1409" s="1">
        <v>34.5</v>
      </c>
      <c r="Q1409" s="1">
        <v>46.9</v>
      </c>
      <c r="R1409" s="1">
        <v>0.69856176700000006</v>
      </c>
      <c r="S1409" s="1">
        <v>0.19239427484754618</v>
      </c>
      <c r="T1409" t="s">
        <v>1556</v>
      </c>
      <c r="U1409" s="1">
        <v>582</v>
      </c>
      <c r="V1409">
        <f t="shared" si="84"/>
        <v>0.30721366496109875</v>
      </c>
      <c r="W1409" s="1">
        <f t="shared" si="85"/>
        <v>24.700000000000003</v>
      </c>
      <c r="X1409">
        <f t="shared" si="86"/>
        <v>0.64974543500000004</v>
      </c>
      <c r="Y1409">
        <f t="shared" si="87"/>
        <v>73</v>
      </c>
      <c r="Z1409" s="1">
        <v>0</v>
      </c>
      <c r="AA1409">
        <v>100</v>
      </c>
      <c r="AB1409">
        <v>0</v>
      </c>
      <c r="AC1409">
        <v>0</v>
      </c>
      <c r="AD1409">
        <v>76</v>
      </c>
      <c r="AE1409">
        <v>0</v>
      </c>
      <c r="AF1409" t="s">
        <v>2589</v>
      </c>
      <c r="AG1409" t="s">
        <v>2593</v>
      </c>
    </row>
    <row r="1410" spans="1:33">
      <c r="A1410" s="2" t="s">
        <v>148</v>
      </c>
      <c r="B1410" s="2" t="s">
        <v>67</v>
      </c>
      <c r="C1410" s="1">
        <v>0.52246277500000005</v>
      </c>
      <c r="D1410">
        <v>0.64036274199999998</v>
      </c>
      <c r="E1410">
        <v>0.62317592099999997</v>
      </c>
      <c r="F1410" s="1" t="s">
        <v>149</v>
      </c>
      <c r="G1410" s="1">
        <v>1.201000834</v>
      </c>
      <c r="H1410" s="1">
        <v>59.2</v>
      </c>
      <c r="I1410" s="1">
        <v>119.9</v>
      </c>
      <c r="J1410" s="1">
        <v>0.59533381266666663</v>
      </c>
      <c r="K1410" s="1">
        <v>0.53971122199999999</v>
      </c>
      <c r="L1410" s="1">
        <v>0.621203065</v>
      </c>
      <c r="M1410" s="3">
        <v>0.67806811499999997</v>
      </c>
      <c r="N1410" s="1" t="s">
        <v>68</v>
      </c>
      <c r="O1410" s="1">
        <v>1.5131894480000001</v>
      </c>
      <c r="P1410" s="1">
        <v>27.2</v>
      </c>
      <c r="Q1410" s="1">
        <v>41.7</v>
      </c>
      <c r="R1410" s="1">
        <v>0.61299413400000002</v>
      </c>
      <c r="S1410" s="1">
        <v>6.0644497761872612E-2</v>
      </c>
      <c r="T1410" t="s">
        <v>1557</v>
      </c>
      <c r="U1410" s="1">
        <v>1910</v>
      </c>
      <c r="V1410">
        <f t="shared" ref="V1410:V1473" si="88">LOG10(U1410) / 9</f>
        <v>0.36455926302752528</v>
      </c>
      <c r="W1410" s="1">
        <f t="shared" ref="W1410:W1473" si="89">ABS(H1410-P1410)</f>
        <v>32</v>
      </c>
      <c r="X1410">
        <f t="shared" ref="X1410:X1473" si="90">ABS(G1410-O1410)</f>
        <v>0.31218861400000009</v>
      </c>
      <c r="Y1410">
        <f t="shared" ref="Y1410:Y1473" si="91">ABS(I1410-Q1410)</f>
        <v>78.2</v>
      </c>
      <c r="Z1410" s="1">
        <v>1</v>
      </c>
      <c r="AA1410">
        <v>99</v>
      </c>
      <c r="AB1410">
        <v>1.01E-2</v>
      </c>
      <c r="AC1410">
        <v>2</v>
      </c>
      <c r="AD1410">
        <v>85</v>
      </c>
      <c r="AE1410">
        <v>2.35E-2</v>
      </c>
      <c r="AF1410" t="s">
        <v>2589</v>
      </c>
      <c r="AG1410" t="s">
        <v>2588</v>
      </c>
    </row>
    <row r="1411" spans="1:33">
      <c r="A1411" s="2" t="s">
        <v>148</v>
      </c>
      <c r="B1411" s="2" t="s">
        <v>69</v>
      </c>
      <c r="C1411" s="1">
        <v>0.52246277500000005</v>
      </c>
      <c r="D1411">
        <v>0.64036274199999998</v>
      </c>
      <c r="E1411">
        <v>0.62317592099999997</v>
      </c>
      <c r="F1411" s="1" t="s">
        <v>149</v>
      </c>
      <c r="G1411" s="1">
        <v>1.201000834</v>
      </c>
      <c r="H1411" s="1">
        <v>59.2</v>
      </c>
      <c r="I1411" s="1">
        <v>119.9</v>
      </c>
      <c r="J1411" s="1">
        <v>0.59533381266666663</v>
      </c>
      <c r="K1411" s="1">
        <v>0.50188385300000005</v>
      </c>
      <c r="L1411" s="1">
        <v>0.64580031500000001</v>
      </c>
      <c r="M1411" s="3">
        <v>0.66006355800000005</v>
      </c>
      <c r="N1411" s="1" t="s">
        <v>70</v>
      </c>
      <c r="O1411" s="1">
        <v>1.2401055409999999</v>
      </c>
      <c r="P1411" s="1">
        <v>43.4</v>
      </c>
      <c r="Q1411" s="1">
        <v>75.8</v>
      </c>
      <c r="R1411" s="1">
        <v>0.60258257533333337</v>
      </c>
      <c r="S1411" s="1">
        <v>4.2588226005037921E-2</v>
      </c>
      <c r="T1411" t="s">
        <v>1558</v>
      </c>
      <c r="U1411" s="1">
        <v>47064</v>
      </c>
      <c r="V1411">
        <f t="shared" si="88"/>
        <v>0.51918764837548781</v>
      </c>
      <c r="W1411" s="1">
        <f t="shared" si="89"/>
        <v>15.800000000000004</v>
      </c>
      <c r="X1411">
        <f t="shared" si="90"/>
        <v>3.9104706999999905E-2</v>
      </c>
      <c r="Y1411">
        <f t="shared" si="91"/>
        <v>44.100000000000009</v>
      </c>
      <c r="Z1411" s="1">
        <v>22</v>
      </c>
      <c r="AA1411">
        <v>78</v>
      </c>
      <c r="AB1411">
        <v>0.28210000000000002</v>
      </c>
      <c r="AC1411">
        <v>24</v>
      </c>
      <c r="AD1411">
        <v>70</v>
      </c>
      <c r="AE1411">
        <v>0.34289999999999998</v>
      </c>
      <c r="AF1411" t="s">
        <v>2589</v>
      </c>
      <c r="AG1411" t="s">
        <v>2589</v>
      </c>
    </row>
    <row r="1412" spans="1:33">
      <c r="A1412" s="2" t="s">
        <v>148</v>
      </c>
      <c r="B1412" s="2" t="s">
        <v>71</v>
      </c>
      <c r="C1412" s="1">
        <v>0.52246277500000005</v>
      </c>
      <c r="D1412">
        <v>0.64036274199999998</v>
      </c>
      <c r="E1412">
        <v>0.62317592099999997</v>
      </c>
      <c r="F1412" s="1" t="s">
        <v>149</v>
      </c>
      <c r="G1412" s="1">
        <v>1.201000834</v>
      </c>
      <c r="H1412" s="1">
        <v>59.2</v>
      </c>
      <c r="I1412" s="1">
        <v>119.9</v>
      </c>
      <c r="J1412" s="1">
        <v>0.59533381266666663</v>
      </c>
      <c r="K1412" s="1">
        <v>0.53267569100000001</v>
      </c>
      <c r="L1412" s="1">
        <v>0.64507433599999997</v>
      </c>
      <c r="M1412" s="3">
        <v>0.66598465100000004</v>
      </c>
      <c r="N1412" s="1" t="s">
        <v>72</v>
      </c>
      <c r="O1412" s="1">
        <v>0.97289666900000005</v>
      </c>
      <c r="P1412" s="1">
        <v>64.8</v>
      </c>
      <c r="Q1412" s="1">
        <v>177.1</v>
      </c>
      <c r="R1412" s="1">
        <v>0.61457822600000001</v>
      </c>
      <c r="S1412" s="1">
        <v>4.4261610176955804E-2</v>
      </c>
      <c r="T1412" t="s">
        <v>1559</v>
      </c>
      <c r="U1412" s="1">
        <v>26860</v>
      </c>
      <c r="V1412">
        <f t="shared" si="88"/>
        <v>0.49212288981474406</v>
      </c>
      <c r="W1412" s="1">
        <f t="shared" si="89"/>
        <v>5.5999999999999943</v>
      </c>
      <c r="X1412">
        <f t="shared" si="90"/>
        <v>0.22810416499999997</v>
      </c>
      <c r="Y1412">
        <f t="shared" si="91"/>
        <v>57.199999999999989</v>
      </c>
      <c r="Z1412" s="1">
        <v>18</v>
      </c>
      <c r="AA1412">
        <v>82</v>
      </c>
      <c r="AB1412">
        <v>0.2195</v>
      </c>
      <c r="AC1412">
        <v>18</v>
      </c>
      <c r="AD1412">
        <v>87</v>
      </c>
      <c r="AE1412">
        <v>0.2069</v>
      </c>
      <c r="AF1412" t="s">
        <v>2589</v>
      </c>
      <c r="AG1412" t="s">
        <v>2589</v>
      </c>
    </row>
    <row r="1413" spans="1:33">
      <c r="A1413" s="2" t="s">
        <v>148</v>
      </c>
      <c r="B1413" s="2" t="s">
        <v>73</v>
      </c>
      <c r="C1413" s="1">
        <v>0.52246277500000005</v>
      </c>
      <c r="D1413">
        <v>0.64036274199999998</v>
      </c>
      <c r="E1413">
        <v>0.62317592099999997</v>
      </c>
      <c r="F1413" s="1" t="s">
        <v>149</v>
      </c>
      <c r="G1413" s="1">
        <v>1.201000834</v>
      </c>
      <c r="H1413" s="1">
        <v>59.2</v>
      </c>
      <c r="I1413" s="1">
        <v>119.9</v>
      </c>
      <c r="J1413" s="1">
        <v>0.59533381266666663</v>
      </c>
      <c r="K1413" s="1">
        <v>0.55697925299999995</v>
      </c>
      <c r="L1413" s="1">
        <v>0.64461978399999997</v>
      </c>
      <c r="M1413" s="3">
        <v>0.69570690000000002</v>
      </c>
      <c r="N1413" s="1" t="s">
        <v>74</v>
      </c>
      <c r="O1413" s="1">
        <v>1.23433584</v>
      </c>
      <c r="P1413" s="1">
        <v>44</v>
      </c>
      <c r="Q1413" s="1">
        <v>79.8</v>
      </c>
      <c r="R1413" s="1">
        <v>0.63243531233333328</v>
      </c>
      <c r="S1413" s="1">
        <v>8.0437880223267255E-2</v>
      </c>
      <c r="T1413" t="s">
        <v>1560</v>
      </c>
      <c r="U1413" s="1">
        <v>46801</v>
      </c>
      <c r="V1413">
        <f t="shared" si="88"/>
        <v>0.51891723697462266</v>
      </c>
      <c r="W1413" s="1">
        <f t="shared" si="89"/>
        <v>15.200000000000003</v>
      </c>
      <c r="X1413">
        <f t="shared" si="90"/>
        <v>3.3335005999999945E-2</v>
      </c>
      <c r="Y1413">
        <f t="shared" si="91"/>
        <v>40.100000000000009</v>
      </c>
      <c r="Z1413" s="1">
        <v>18</v>
      </c>
      <c r="AA1413">
        <v>82</v>
      </c>
      <c r="AB1413">
        <v>0.2195</v>
      </c>
      <c r="AC1413">
        <v>19</v>
      </c>
      <c r="AD1413">
        <v>71</v>
      </c>
      <c r="AE1413">
        <v>0.2676</v>
      </c>
      <c r="AF1413" t="s">
        <v>2589</v>
      </c>
      <c r="AG1413" t="s">
        <v>2589</v>
      </c>
    </row>
    <row r="1414" spans="1:33">
      <c r="A1414" s="2" t="s">
        <v>148</v>
      </c>
      <c r="B1414" s="2" t="s">
        <v>75</v>
      </c>
      <c r="C1414" s="1">
        <v>0.52246277500000005</v>
      </c>
      <c r="D1414">
        <v>0.64036274199999998</v>
      </c>
      <c r="E1414">
        <v>0.62317592099999997</v>
      </c>
      <c r="F1414" s="1" t="s">
        <v>149</v>
      </c>
      <c r="G1414" s="1">
        <v>1.201000834</v>
      </c>
      <c r="H1414" s="1">
        <v>59.2</v>
      </c>
      <c r="I1414" s="1">
        <v>119.9</v>
      </c>
      <c r="J1414" s="1">
        <v>0.59533381266666663</v>
      </c>
      <c r="K1414" s="1">
        <v>0.50354843500000002</v>
      </c>
      <c r="L1414" s="1">
        <v>0.59724402499999996</v>
      </c>
      <c r="M1414" s="3">
        <v>0.70308254199999998</v>
      </c>
      <c r="N1414" s="1" t="s">
        <v>76</v>
      </c>
      <c r="O1414" s="1">
        <v>1.2696850390000001</v>
      </c>
      <c r="P1414" s="1">
        <v>26.6</v>
      </c>
      <c r="Q1414" s="1">
        <v>50.8</v>
      </c>
      <c r="R1414" s="1">
        <v>0.60129166733333339</v>
      </c>
      <c r="S1414" s="1">
        <v>9.2747205310992176E-2</v>
      </c>
      <c r="T1414" t="s">
        <v>1561</v>
      </c>
      <c r="U1414" s="1">
        <v>2059</v>
      </c>
      <c r="V1414">
        <f t="shared" si="88"/>
        <v>0.3681840385131146</v>
      </c>
      <c r="W1414" s="1">
        <f t="shared" si="89"/>
        <v>32.6</v>
      </c>
      <c r="X1414">
        <f t="shared" si="90"/>
        <v>6.8684205000000054E-2</v>
      </c>
      <c r="Y1414">
        <f t="shared" si="91"/>
        <v>69.100000000000009</v>
      </c>
      <c r="Z1414" s="1">
        <v>2</v>
      </c>
      <c r="AA1414">
        <v>98</v>
      </c>
      <c r="AB1414">
        <v>2.0400000000000001E-2</v>
      </c>
      <c r="AC1414">
        <v>3</v>
      </c>
      <c r="AD1414">
        <v>87</v>
      </c>
      <c r="AE1414">
        <v>3.4500000000000003E-2</v>
      </c>
      <c r="AF1414" t="s">
        <v>2589</v>
      </c>
      <c r="AG1414" t="s">
        <v>2594</v>
      </c>
    </row>
    <row r="1415" spans="1:33">
      <c r="A1415" s="2" t="s">
        <v>148</v>
      </c>
      <c r="B1415" s="2" t="s">
        <v>77</v>
      </c>
      <c r="C1415" s="1">
        <v>0.52246277500000005</v>
      </c>
      <c r="D1415">
        <v>0.64036274199999998</v>
      </c>
      <c r="E1415">
        <v>0.62317592099999997</v>
      </c>
      <c r="F1415" s="1" t="s">
        <v>149</v>
      </c>
      <c r="G1415" s="1">
        <v>1.201000834</v>
      </c>
      <c r="H1415" s="1">
        <v>59.2</v>
      </c>
      <c r="I1415" s="1">
        <v>119.9</v>
      </c>
      <c r="J1415" s="1">
        <v>0.59533381266666663</v>
      </c>
      <c r="K1415" s="1">
        <v>0.54630843299999998</v>
      </c>
      <c r="L1415" s="1">
        <v>0.68935555900000001</v>
      </c>
      <c r="M1415" s="3">
        <v>0.65478744899999997</v>
      </c>
      <c r="N1415" s="1" t="s">
        <v>78</v>
      </c>
      <c r="O1415" s="1">
        <v>1.3914285710000001</v>
      </c>
      <c r="P1415" s="1">
        <v>56.5</v>
      </c>
      <c r="Q1415" s="1">
        <v>105</v>
      </c>
      <c r="R1415" s="1">
        <v>0.63015048033333343</v>
      </c>
      <c r="S1415" s="1">
        <v>6.2993652263884772E-2</v>
      </c>
      <c r="T1415" t="s">
        <v>1562</v>
      </c>
      <c r="U1415" s="1">
        <v>3115</v>
      </c>
      <c r="V1415">
        <f t="shared" si="88"/>
        <v>0.38816200566613207</v>
      </c>
      <c r="W1415" s="1">
        <f t="shared" si="89"/>
        <v>2.7000000000000028</v>
      </c>
      <c r="X1415">
        <f t="shared" si="90"/>
        <v>0.19042773700000004</v>
      </c>
      <c r="Y1415">
        <f t="shared" si="91"/>
        <v>14.900000000000006</v>
      </c>
      <c r="Z1415" s="1">
        <v>3</v>
      </c>
      <c r="AA1415">
        <v>97</v>
      </c>
      <c r="AB1415">
        <v>3.09E-2</v>
      </c>
      <c r="AC1415">
        <v>5</v>
      </c>
      <c r="AD1415">
        <v>74</v>
      </c>
      <c r="AE1415">
        <v>6.7599999999999993E-2</v>
      </c>
      <c r="AF1415" t="s">
        <v>2589</v>
      </c>
      <c r="AG1415" t="s">
        <v>2590</v>
      </c>
    </row>
    <row r="1416" spans="1:33">
      <c r="A1416" s="2" t="s">
        <v>148</v>
      </c>
      <c r="B1416" s="2" t="s">
        <v>79</v>
      </c>
      <c r="C1416" s="1">
        <v>0.52246277500000005</v>
      </c>
      <c r="D1416">
        <v>0.64036274199999998</v>
      </c>
      <c r="E1416">
        <v>0.62317592099999997</v>
      </c>
      <c r="F1416" s="1" t="s">
        <v>149</v>
      </c>
      <c r="G1416" s="1">
        <v>1.201000834</v>
      </c>
      <c r="H1416" s="1">
        <v>59.2</v>
      </c>
      <c r="I1416" s="1">
        <v>119.9</v>
      </c>
      <c r="J1416" s="1">
        <v>0.59533381266666663</v>
      </c>
      <c r="K1416" s="1">
        <v>0.63652882899999996</v>
      </c>
      <c r="L1416" s="1">
        <v>0.77536518600000004</v>
      </c>
      <c r="M1416" s="3">
        <v>0.610415606</v>
      </c>
      <c r="N1416" s="1" t="s">
        <v>80</v>
      </c>
      <c r="O1416" s="1">
        <v>0.95325542600000002</v>
      </c>
      <c r="P1416" s="1">
        <v>45.6</v>
      </c>
      <c r="Q1416" s="1">
        <v>119.8</v>
      </c>
      <c r="R1416" s="1">
        <v>0.67410320700000004</v>
      </c>
      <c r="S1416" s="1">
        <v>0.17719918227803216</v>
      </c>
      <c r="T1416" t="s">
        <v>1563</v>
      </c>
      <c r="U1416" s="1">
        <v>4178</v>
      </c>
      <c r="V1416">
        <f t="shared" si="88"/>
        <v>0.40232982618269886</v>
      </c>
      <c r="W1416" s="1">
        <f t="shared" si="89"/>
        <v>13.600000000000001</v>
      </c>
      <c r="X1416">
        <f t="shared" si="90"/>
        <v>0.247745408</v>
      </c>
      <c r="Y1416">
        <f t="shared" si="91"/>
        <v>0.10000000000000853</v>
      </c>
      <c r="Z1416" s="1">
        <v>1</v>
      </c>
      <c r="AA1416">
        <v>99</v>
      </c>
      <c r="AB1416">
        <v>1.01E-2</v>
      </c>
      <c r="AC1416">
        <v>2</v>
      </c>
      <c r="AD1416">
        <v>68</v>
      </c>
      <c r="AE1416">
        <v>2.9399999999999999E-2</v>
      </c>
      <c r="AF1416" t="s">
        <v>2589</v>
      </c>
      <c r="AG1416" t="s">
        <v>2590</v>
      </c>
    </row>
    <row r="1417" spans="1:33">
      <c r="A1417" s="2" t="s">
        <v>148</v>
      </c>
      <c r="B1417" s="2" t="s">
        <v>81</v>
      </c>
      <c r="C1417" s="1">
        <v>0.52246277500000005</v>
      </c>
      <c r="D1417">
        <v>0.64036274199999998</v>
      </c>
      <c r="E1417">
        <v>0.62317592099999997</v>
      </c>
      <c r="F1417" s="1" t="s">
        <v>149</v>
      </c>
      <c r="G1417" s="1">
        <v>1.201000834</v>
      </c>
      <c r="H1417" s="1">
        <v>59.2</v>
      </c>
      <c r="I1417" s="1">
        <v>119.9</v>
      </c>
      <c r="J1417" s="1">
        <v>0.59533381266666663</v>
      </c>
      <c r="K1417" s="1">
        <v>0.50183280699999999</v>
      </c>
      <c r="L1417" s="1">
        <v>0.68550824600000004</v>
      </c>
      <c r="M1417" s="3">
        <v>0.66941488999999998</v>
      </c>
      <c r="N1417" s="1" t="s">
        <v>82</v>
      </c>
      <c r="O1417" s="1">
        <v>1.4359576970000001</v>
      </c>
      <c r="P1417" s="1">
        <v>51</v>
      </c>
      <c r="Q1417" s="1">
        <v>85.1</v>
      </c>
      <c r="R1417" s="1">
        <v>0.61891864766666671</v>
      </c>
      <c r="S1417" s="1">
        <v>6.7836231950765144E-2</v>
      </c>
      <c r="T1417" t="s">
        <v>1564</v>
      </c>
      <c r="U1417" s="1">
        <v>13942</v>
      </c>
      <c r="V1417">
        <f t="shared" si="88"/>
        <v>0.4604805642667209</v>
      </c>
      <c r="W1417" s="1">
        <f t="shared" si="89"/>
        <v>8.2000000000000028</v>
      </c>
      <c r="X1417">
        <f t="shared" si="90"/>
        <v>0.23495686300000007</v>
      </c>
      <c r="Y1417">
        <f t="shared" si="91"/>
        <v>34.800000000000011</v>
      </c>
      <c r="Z1417" s="1">
        <v>0</v>
      </c>
      <c r="AA1417">
        <v>100</v>
      </c>
      <c r="AB1417">
        <v>0</v>
      </c>
      <c r="AC1417">
        <v>0</v>
      </c>
      <c r="AD1417">
        <v>81</v>
      </c>
      <c r="AE1417">
        <v>0</v>
      </c>
      <c r="AF1417" t="s">
        <v>2589</v>
      </c>
      <c r="AG1417" t="s">
        <v>2589</v>
      </c>
    </row>
    <row r="1418" spans="1:33">
      <c r="A1418" s="2" t="s">
        <v>148</v>
      </c>
      <c r="B1418" s="2" t="s">
        <v>83</v>
      </c>
      <c r="C1418" s="1">
        <v>0.52246277500000005</v>
      </c>
      <c r="D1418">
        <v>0.64036274199999998</v>
      </c>
      <c r="E1418">
        <v>0.62317592099999997</v>
      </c>
      <c r="F1418" s="1" t="s">
        <v>149</v>
      </c>
      <c r="G1418" s="1">
        <v>1.201000834</v>
      </c>
      <c r="H1418" s="1">
        <v>59.2</v>
      </c>
      <c r="I1418" s="1">
        <v>119.9</v>
      </c>
      <c r="J1418" s="1">
        <v>0.59533381266666663</v>
      </c>
      <c r="K1418" s="1">
        <v>0.51815179099999997</v>
      </c>
      <c r="L1418" s="1">
        <v>0.50115949400000004</v>
      </c>
      <c r="M1418" s="3">
        <v>0.68053170600000001</v>
      </c>
      <c r="N1418" s="1" t="s">
        <v>84</v>
      </c>
      <c r="O1418" s="1">
        <v>1.760323887</v>
      </c>
      <c r="P1418" s="1">
        <v>83.4</v>
      </c>
      <c r="Q1418" s="1">
        <v>123.5</v>
      </c>
      <c r="R1418" s="1">
        <v>0.56661433033333342</v>
      </c>
      <c r="S1418" s="1">
        <v>0.15061810950136101</v>
      </c>
      <c r="T1418" t="s">
        <v>1565</v>
      </c>
      <c r="U1418" s="1">
        <v>25573</v>
      </c>
      <c r="V1418">
        <f t="shared" si="88"/>
        <v>0.48975351984814974</v>
      </c>
      <c r="W1418" s="1">
        <f t="shared" si="89"/>
        <v>24.200000000000003</v>
      </c>
      <c r="X1418">
        <f t="shared" si="90"/>
        <v>0.55932305299999996</v>
      </c>
      <c r="Y1418">
        <f t="shared" si="91"/>
        <v>3.5999999999999943</v>
      </c>
      <c r="Z1418" s="1">
        <v>7</v>
      </c>
      <c r="AA1418">
        <v>93</v>
      </c>
      <c r="AB1418">
        <v>7.5300000000000006E-2</v>
      </c>
      <c r="AC1418">
        <v>8</v>
      </c>
      <c r="AD1418">
        <v>68</v>
      </c>
      <c r="AE1418">
        <v>0.1176</v>
      </c>
      <c r="AF1418" t="s">
        <v>2589</v>
      </c>
      <c r="AG1418" t="s">
        <v>2589</v>
      </c>
    </row>
    <row r="1419" spans="1:33">
      <c r="A1419" s="2" t="s">
        <v>148</v>
      </c>
      <c r="B1419" s="2" t="s">
        <v>85</v>
      </c>
      <c r="C1419" s="1">
        <v>0.52246277500000005</v>
      </c>
      <c r="D1419">
        <v>0.64036274199999998</v>
      </c>
      <c r="E1419">
        <v>0.62317592099999997</v>
      </c>
      <c r="F1419" s="1" t="s">
        <v>149</v>
      </c>
      <c r="G1419" s="1">
        <v>1.201000834</v>
      </c>
      <c r="H1419" s="1">
        <v>59.2</v>
      </c>
      <c r="I1419" s="1">
        <v>119.9</v>
      </c>
      <c r="J1419" s="1">
        <v>0.59533381266666663</v>
      </c>
      <c r="K1419" s="1">
        <v>0.522280945</v>
      </c>
      <c r="L1419" s="1">
        <v>0.58016629799999997</v>
      </c>
      <c r="M1419" s="3">
        <v>0.62446713499999995</v>
      </c>
      <c r="N1419" s="1" t="s">
        <v>86</v>
      </c>
      <c r="O1419" s="1">
        <v>0.57177615599999998</v>
      </c>
      <c r="P1419" s="1">
        <v>19.5</v>
      </c>
      <c r="Q1419" s="1">
        <v>82.2</v>
      </c>
      <c r="R1419" s="1">
        <v>0.57563812599999997</v>
      </c>
      <c r="S1419" s="1">
        <v>6.0210565235578335E-2</v>
      </c>
      <c r="T1419" t="s">
        <v>1566</v>
      </c>
      <c r="U1419" s="1">
        <v>3441</v>
      </c>
      <c r="V1419">
        <f t="shared" si="88"/>
        <v>0.3929649636245478</v>
      </c>
      <c r="W1419" s="1">
        <f t="shared" si="89"/>
        <v>39.700000000000003</v>
      </c>
      <c r="X1419">
        <f t="shared" si="90"/>
        <v>0.62922467800000004</v>
      </c>
      <c r="Y1419">
        <f t="shared" si="91"/>
        <v>37.700000000000003</v>
      </c>
      <c r="Z1419" s="1">
        <v>1</v>
      </c>
      <c r="AA1419">
        <v>99</v>
      </c>
      <c r="AB1419">
        <v>1.01E-2</v>
      </c>
      <c r="AC1419">
        <v>2</v>
      </c>
      <c r="AD1419">
        <v>139</v>
      </c>
      <c r="AE1419">
        <v>1.44E-2</v>
      </c>
      <c r="AF1419" t="s">
        <v>2589</v>
      </c>
      <c r="AG1419" t="s">
        <v>2590</v>
      </c>
    </row>
    <row r="1420" spans="1:33">
      <c r="A1420" s="2" t="s">
        <v>148</v>
      </c>
      <c r="B1420" s="2" t="s">
        <v>87</v>
      </c>
      <c r="C1420" s="1">
        <v>0.52246277500000005</v>
      </c>
      <c r="D1420">
        <v>0.64036274199999998</v>
      </c>
      <c r="E1420">
        <v>0.62317592099999997</v>
      </c>
      <c r="F1420" s="1" t="s">
        <v>149</v>
      </c>
      <c r="G1420" s="1">
        <v>1.201000834</v>
      </c>
      <c r="H1420" s="1">
        <v>59.2</v>
      </c>
      <c r="I1420" s="1">
        <v>119.9</v>
      </c>
      <c r="J1420" s="1">
        <v>0.59533381266666663</v>
      </c>
      <c r="K1420" s="1">
        <v>0.46780425199999998</v>
      </c>
      <c r="L1420" s="1">
        <v>0.54149707400000002</v>
      </c>
      <c r="M1420" s="3">
        <v>0.61626236400000001</v>
      </c>
      <c r="N1420" s="1" t="s">
        <v>88</v>
      </c>
      <c r="O1420" s="1">
        <v>1.395454545</v>
      </c>
      <c r="P1420" s="1">
        <v>65.2</v>
      </c>
      <c r="Q1420" s="1">
        <v>110</v>
      </c>
      <c r="R1420" s="1">
        <v>0.54185456333333337</v>
      </c>
      <c r="S1420" s="1">
        <v>0.11318026204254876</v>
      </c>
      <c r="T1420" t="s">
        <v>1567</v>
      </c>
      <c r="U1420" s="1">
        <v>8747</v>
      </c>
      <c r="V1420">
        <f t="shared" si="88"/>
        <v>0.43798434739170822</v>
      </c>
      <c r="W1420" s="1">
        <f t="shared" si="89"/>
        <v>6</v>
      </c>
      <c r="X1420">
        <f t="shared" si="90"/>
        <v>0.19445371099999997</v>
      </c>
      <c r="Y1420">
        <f t="shared" si="91"/>
        <v>9.9000000000000057</v>
      </c>
      <c r="Z1420" s="1">
        <v>8</v>
      </c>
      <c r="AA1420">
        <v>92</v>
      </c>
      <c r="AB1420">
        <v>8.6999999999999994E-2</v>
      </c>
      <c r="AC1420">
        <v>10</v>
      </c>
      <c r="AD1420">
        <v>64</v>
      </c>
      <c r="AE1420">
        <v>0.15620000000000001</v>
      </c>
      <c r="AF1420" t="s">
        <v>2589</v>
      </c>
      <c r="AG1420" t="s">
        <v>2590</v>
      </c>
    </row>
    <row r="1421" spans="1:33">
      <c r="A1421" s="2" t="s">
        <v>148</v>
      </c>
      <c r="B1421" s="2" t="s">
        <v>89</v>
      </c>
      <c r="C1421" s="1">
        <v>0.52246277500000005</v>
      </c>
      <c r="D1421">
        <v>0.64036274199999998</v>
      </c>
      <c r="E1421">
        <v>0.62317592099999997</v>
      </c>
      <c r="F1421" s="1" t="s">
        <v>149</v>
      </c>
      <c r="G1421" s="1">
        <v>1.201000834</v>
      </c>
      <c r="H1421" s="1">
        <v>59.2</v>
      </c>
      <c r="I1421" s="1">
        <v>119.9</v>
      </c>
      <c r="J1421" s="1">
        <v>0.59533381266666663</v>
      </c>
      <c r="K1421" s="1">
        <v>0.51097051500000001</v>
      </c>
      <c r="L1421" s="1">
        <v>0.61917891400000002</v>
      </c>
      <c r="M1421" s="3">
        <v>0.60984479800000002</v>
      </c>
      <c r="N1421" s="1" t="s">
        <v>90</v>
      </c>
      <c r="O1421" s="1">
        <v>1.429752066</v>
      </c>
      <c r="P1421" s="1">
        <v>59.8</v>
      </c>
      <c r="Q1421" s="1">
        <v>108.9</v>
      </c>
      <c r="R1421" s="1">
        <v>0.57999807566666661</v>
      </c>
      <c r="S1421" s="1">
        <v>2.7541703815891827E-2</v>
      </c>
      <c r="T1421" t="s">
        <v>1568</v>
      </c>
      <c r="U1421" s="1">
        <v>124692</v>
      </c>
      <c r="V1421">
        <f t="shared" si="88"/>
        <v>0.56620428787442512</v>
      </c>
      <c r="W1421" s="1">
        <f t="shared" si="89"/>
        <v>0.59999999999999432</v>
      </c>
      <c r="X1421">
        <f t="shared" si="90"/>
        <v>0.22875123200000003</v>
      </c>
      <c r="Y1421">
        <f t="shared" si="91"/>
        <v>11</v>
      </c>
      <c r="Z1421" s="1">
        <v>36</v>
      </c>
      <c r="AA1421">
        <v>64</v>
      </c>
      <c r="AB1421">
        <v>0.5625</v>
      </c>
      <c r="AC1421">
        <v>32</v>
      </c>
      <c r="AD1421">
        <v>51</v>
      </c>
      <c r="AE1421">
        <v>0.62749999999999995</v>
      </c>
      <c r="AF1421" t="s">
        <v>2589</v>
      </c>
      <c r="AG1421" t="s">
        <v>2589</v>
      </c>
    </row>
    <row r="1422" spans="1:33">
      <c r="A1422" s="2" t="s">
        <v>148</v>
      </c>
      <c r="B1422" s="2" t="s">
        <v>91</v>
      </c>
      <c r="C1422" s="1">
        <v>0.52246277500000005</v>
      </c>
      <c r="D1422">
        <v>0.64036274199999998</v>
      </c>
      <c r="E1422">
        <v>0.62317592099999997</v>
      </c>
      <c r="F1422" s="1" t="s">
        <v>149</v>
      </c>
      <c r="G1422" s="1">
        <v>1.201000834</v>
      </c>
      <c r="H1422" s="1">
        <v>59.2</v>
      </c>
      <c r="I1422" s="1">
        <v>119.9</v>
      </c>
      <c r="J1422" s="1">
        <v>0.59533381266666663</v>
      </c>
      <c r="K1422" s="1">
        <v>0.37439919700000002</v>
      </c>
      <c r="L1422" s="1">
        <v>0.508839347</v>
      </c>
      <c r="M1422" s="3">
        <v>0.52701193599999996</v>
      </c>
      <c r="N1422" s="1" t="s">
        <v>92</v>
      </c>
      <c r="O1422" s="1">
        <v>1.911504425</v>
      </c>
      <c r="P1422" s="1">
        <v>24.6</v>
      </c>
      <c r="Q1422" s="1">
        <v>33.9</v>
      </c>
      <c r="R1422" s="1">
        <v>0.47008349333333332</v>
      </c>
      <c r="S1422" s="1">
        <v>0.22015616860212739</v>
      </c>
      <c r="T1422" t="s">
        <v>1569</v>
      </c>
      <c r="U1422" s="1">
        <v>502</v>
      </c>
      <c r="V1422">
        <f t="shared" si="88"/>
        <v>0.30007819079389103</v>
      </c>
      <c r="W1422" s="1">
        <f t="shared" si="89"/>
        <v>34.6</v>
      </c>
      <c r="X1422">
        <f t="shared" si="90"/>
        <v>0.71050359099999993</v>
      </c>
      <c r="Y1422">
        <f t="shared" si="91"/>
        <v>86</v>
      </c>
      <c r="Z1422" s="1">
        <v>4</v>
      </c>
      <c r="AA1422">
        <v>96</v>
      </c>
      <c r="AB1422">
        <v>4.1700000000000001E-2</v>
      </c>
      <c r="AC1422">
        <v>5</v>
      </c>
      <c r="AD1422">
        <v>85</v>
      </c>
      <c r="AE1422">
        <v>5.8799999999999998E-2</v>
      </c>
      <c r="AF1422" t="s">
        <v>2589</v>
      </c>
      <c r="AG1422" t="s">
        <v>2590</v>
      </c>
    </row>
    <row r="1423" spans="1:33">
      <c r="A1423" s="2" t="s">
        <v>148</v>
      </c>
      <c r="B1423" s="2" t="s">
        <v>93</v>
      </c>
      <c r="C1423" s="1">
        <v>0.52246277500000005</v>
      </c>
      <c r="D1423">
        <v>0.64036274199999998</v>
      </c>
      <c r="E1423">
        <v>0.62317592099999997</v>
      </c>
      <c r="F1423" s="1" t="s">
        <v>149</v>
      </c>
      <c r="G1423" s="1">
        <v>1.201000834</v>
      </c>
      <c r="H1423" s="1">
        <v>59.2</v>
      </c>
      <c r="I1423" s="1">
        <v>119.9</v>
      </c>
      <c r="J1423" s="1">
        <v>0.59533381266666663</v>
      </c>
      <c r="K1423" s="1">
        <v>0.54134617200000001</v>
      </c>
      <c r="L1423" s="1">
        <v>0.674899633</v>
      </c>
      <c r="M1423" s="3">
        <v>0.719840174</v>
      </c>
      <c r="N1423" s="1" t="s">
        <v>94</v>
      </c>
      <c r="O1423" s="1">
        <v>1.175388967</v>
      </c>
      <c r="P1423" s="1">
        <v>36.6</v>
      </c>
      <c r="Q1423" s="1">
        <v>70.7</v>
      </c>
      <c r="R1423" s="1">
        <v>0.64536199299999997</v>
      </c>
      <c r="S1423" s="1">
        <v>0.10437124762238642</v>
      </c>
      <c r="T1423" t="s">
        <v>1570</v>
      </c>
      <c r="U1423" s="1">
        <v>17964</v>
      </c>
      <c r="V1423">
        <f t="shared" si="88"/>
        <v>0.47271144959896411</v>
      </c>
      <c r="W1423" s="1">
        <f t="shared" si="89"/>
        <v>22.6</v>
      </c>
      <c r="X1423">
        <f t="shared" si="90"/>
        <v>2.5611867000000066E-2</v>
      </c>
      <c r="Y1423">
        <f t="shared" si="91"/>
        <v>49.2</v>
      </c>
      <c r="Z1423" s="1">
        <v>13</v>
      </c>
      <c r="AA1423">
        <v>87</v>
      </c>
      <c r="AB1423">
        <v>0.14940000000000001</v>
      </c>
      <c r="AC1423">
        <v>14</v>
      </c>
      <c r="AD1423">
        <v>67</v>
      </c>
      <c r="AE1423">
        <v>0.20899999999999999</v>
      </c>
      <c r="AF1423" t="s">
        <v>2589</v>
      </c>
      <c r="AG1423" t="s">
        <v>2589</v>
      </c>
    </row>
    <row r="1424" spans="1:33">
      <c r="A1424" s="2" t="s">
        <v>148</v>
      </c>
      <c r="B1424" s="2" t="s">
        <v>95</v>
      </c>
      <c r="C1424" s="1">
        <v>0.52246277500000005</v>
      </c>
      <c r="D1424">
        <v>0.64036274199999998</v>
      </c>
      <c r="E1424">
        <v>0.62317592099999997</v>
      </c>
      <c r="F1424" s="1" t="s">
        <v>149</v>
      </c>
      <c r="G1424" s="1">
        <v>1.201000834</v>
      </c>
      <c r="H1424" s="1">
        <v>59.2</v>
      </c>
      <c r="I1424" s="1">
        <v>119.9</v>
      </c>
      <c r="J1424" s="1">
        <v>0.59533381266666663</v>
      </c>
      <c r="K1424" s="1">
        <v>0.59462093100000002</v>
      </c>
      <c r="L1424" s="1">
        <v>0.68038960500000001</v>
      </c>
      <c r="M1424" s="3">
        <v>0.72533004899999998</v>
      </c>
      <c r="N1424" s="1" t="s">
        <v>96</v>
      </c>
      <c r="O1424" s="1">
        <v>1.9717647060000001</v>
      </c>
      <c r="P1424" s="1">
        <v>34.6</v>
      </c>
      <c r="Q1424" s="1">
        <v>42.5</v>
      </c>
      <c r="R1424" s="1">
        <v>0.66678019499999996</v>
      </c>
      <c r="S1424" s="1">
        <v>0.13131799231781413</v>
      </c>
      <c r="T1424" t="s">
        <v>1571</v>
      </c>
      <c r="U1424" s="1">
        <v>2264</v>
      </c>
      <c r="V1424">
        <f t="shared" si="88"/>
        <v>0.37276404694624821</v>
      </c>
      <c r="W1424" s="1">
        <f t="shared" si="89"/>
        <v>24.6</v>
      </c>
      <c r="X1424">
        <f t="shared" si="90"/>
        <v>0.77076387200000007</v>
      </c>
      <c r="Y1424">
        <f t="shared" si="91"/>
        <v>77.400000000000006</v>
      </c>
      <c r="Z1424" s="1">
        <v>0</v>
      </c>
      <c r="AA1424">
        <v>100</v>
      </c>
      <c r="AB1424">
        <v>0</v>
      </c>
      <c r="AC1424">
        <v>0</v>
      </c>
      <c r="AD1424">
        <v>87</v>
      </c>
      <c r="AE1424">
        <v>0</v>
      </c>
      <c r="AF1424" t="s">
        <v>2589</v>
      </c>
      <c r="AG1424" t="s">
        <v>2593</v>
      </c>
    </row>
    <row r="1425" spans="1:33">
      <c r="A1425" s="2" t="s">
        <v>148</v>
      </c>
      <c r="B1425" s="2" t="s">
        <v>97</v>
      </c>
      <c r="C1425" s="1">
        <v>0.52246277500000005</v>
      </c>
      <c r="D1425">
        <v>0.64036274199999998</v>
      </c>
      <c r="E1425">
        <v>0.62317592099999997</v>
      </c>
      <c r="F1425" s="1" t="s">
        <v>149</v>
      </c>
      <c r="G1425" s="1">
        <v>1.201000834</v>
      </c>
      <c r="H1425" s="1">
        <v>59.2</v>
      </c>
      <c r="I1425" s="1">
        <v>119.9</v>
      </c>
      <c r="J1425" s="1">
        <v>0.59533381266666663</v>
      </c>
      <c r="K1425" s="1">
        <v>0.63674842300000001</v>
      </c>
      <c r="L1425" s="1">
        <v>0.68532635500000005</v>
      </c>
      <c r="M1425" s="3">
        <v>0.727031494</v>
      </c>
      <c r="N1425" s="1" t="s">
        <v>98</v>
      </c>
      <c r="O1425" s="1">
        <v>2.360103627</v>
      </c>
      <c r="P1425" s="1">
        <v>36.799999999999997</v>
      </c>
      <c r="Q1425" s="1">
        <v>38.6</v>
      </c>
      <c r="R1425" s="1">
        <v>0.68303542400000017</v>
      </c>
      <c r="S1425" s="1">
        <v>0.16083816672653295</v>
      </c>
      <c r="T1425" t="s">
        <v>1572</v>
      </c>
      <c r="U1425" s="1">
        <v>342</v>
      </c>
      <c r="V1425">
        <f t="shared" si="88"/>
        <v>0.28155845622845943</v>
      </c>
      <c r="W1425" s="1">
        <f t="shared" si="89"/>
        <v>22.400000000000006</v>
      </c>
      <c r="X1425">
        <f t="shared" si="90"/>
        <v>1.159102793</v>
      </c>
      <c r="Y1425">
        <f t="shared" si="91"/>
        <v>81.300000000000011</v>
      </c>
      <c r="Z1425" s="1">
        <v>0</v>
      </c>
      <c r="AA1425">
        <v>100</v>
      </c>
      <c r="AB1425">
        <v>0</v>
      </c>
      <c r="AC1425">
        <v>0</v>
      </c>
      <c r="AD1425">
        <v>87</v>
      </c>
      <c r="AE1425">
        <v>0</v>
      </c>
      <c r="AF1425" t="s">
        <v>2589</v>
      </c>
      <c r="AG1425" t="s">
        <v>2593</v>
      </c>
    </row>
    <row r="1426" spans="1:33">
      <c r="A1426" s="2" t="s">
        <v>148</v>
      </c>
      <c r="B1426" s="2" t="s">
        <v>99</v>
      </c>
      <c r="C1426" s="1">
        <v>0.52246277500000005</v>
      </c>
      <c r="D1426">
        <v>0.64036274199999998</v>
      </c>
      <c r="E1426">
        <v>0.62317592099999997</v>
      </c>
      <c r="F1426" s="1" t="s">
        <v>149</v>
      </c>
      <c r="G1426" s="1">
        <v>1.201000834</v>
      </c>
      <c r="H1426" s="1">
        <v>59.2</v>
      </c>
      <c r="I1426" s="1">
        <v>119.9</v>
      </c>
      <c r="J1426" s="1">
        <v>0.59533381266666663</v>
      </c>
      <c r="K1426" s="1">
        <v>0.52525630099999998</v>
      </c>
      <c r="L1426" s="1">
        <v>0.68706170200000005</v>
      </c>
      <c r="M1426" s="3">
        <v>0.71473597300000002</v>
      </c>
      <c r="N1426" s="1" t="s">
        <v>100</v>
      </c>
      <c r="O1426" s="1">
        <v>1.72605042</v>
      </c>
      <c r="P1426" s="1">
        <v>46.5</v>
      </c>
      <c r="Q1426" s="1">
        <v>59.5</v>
      </c>
      <c r="R1426" s="1">
        <v>0.64235132533333339</v>
      </c>
      <c r="S1426" s="1">
        <v>0.10281945231733632</v>
      </c>
      <c r="T1426" t="s">
        <v>1573</v>
      </c>
      <c r="U1426" s="1">
        <v>24586</v>
      </c>
      <c r="V1426">
        <f t="shared" si="88"/>
        <v>0.48785420858727896</v>
      </c>
      <c r="W1426" s="1">
        <f t="shared" si="89"/>
        <v>12.700000000000003</v>
      </c>
      <c r="X1426">
        <f t="shared" si="90"/>
        <v>0.52504958599999996</v>
      </c>
      <c r="Y1426">
        <f t="shared" si="91"/>
        <v>60.400000000000006</v>
      </c>
      <c r="Z1426" s="1">
        <v>0</v>
      </c>
      <c r="AA1426">
        <v>100</v>
      </c>
      <c r="AB1426">
        <v>0</v>
      </c>
      <c r="AC1426">
        <v>0</v>
      </c>
      <c r="AD1426">
        <v>89</v>
      </c>
      <c r="AE1426">
        <v>0</v>
      </c>
      <c r="AF1426" t="s">
        <v>2589</v>
      </c>
      <c r="AG1426" t="s">
        <v>2589</v>
      </c>
    </row>
    <row r="1427" spans="1:33">
      <c r="A1427" s="2" t="s">
        <v>99</v>
      </c>
      <c r="B1427" s="2" t="s">
        <v>10</v>
      </c>
      <c r="C1427" s="1">
        <v>0.52525630099999998</v>
      </c>
      <c r="D1427">
        <v>0.68706170200000005</v>
      </c>
      <c r="E1427">
        <v>0.71473597300000002</v>
      </c>
      <c r="F1427" s="1" t="s">
        <v>100</v>
      </c>
      <c r="G1427" s="1">
        <v>1.72605042</v>
      </c>
      <c r="H1427" s="1">
        <v>46.5</v>
      </c>
      <c r="I1427" s="1">
        <v>59.5</v>
      </c>
      <c r="J1427" s="1">
        <v>0.64235132533333339</v>
      </c>
      <c r="K1427" s="1">
        <v>0.52456325500000001</v>
      </c>
      <c r="L1427" s="1">
        <v>0.61925627999999999</v>
      </c>
      <c r="M1427" s="3">
        <v>0.72111139899999999</v>
      </c>
      <c r="N1427" s="1" t="s">
        <v>12</v>
      </c>
      <c r="O1427" s="1">
        <v>0.61690647499999995</v>
      </c>
      <c r="P1427" s="1">
        <v>30</v>
      </c>
      <c r="Q1427" s="1">
        <v>111.2</v>
      </c>
      <c r="R1427" s="1">
        <v>0.62164364466666666</v>
      </c>
      <c r="S1427" s="1">
        <v>6.8108014374504297E-2</v>
      </c>
      <c r="T1427" t="s">
        <v>1574</v>
      </c>
      <c r="U1427" s="1">
        <v>920</v>
      </c>
      <c r="V1427">
        <f t="shared" si="88"/>
        <v>0.32930975859395056</v>
      </c>
      <c r="W1427" s="1">
        <f t="shared" si="89"/>
        <v>16.5</v>
      </c>
      <c r="X1427">
        <f t="shared" si="90"/>
        <v>1.109143945</v>
      </c>
      <c r="Y1427">
        <f t="shared" si="91"/>
        <v>51.7</v>
      </c>
      <c r="Z1427" s="1">
        <v>0</v>
      </c>
      <c r="AA1427">
        <v>100</v>
      </c>
      <c r="AB1427">
        <v>0</v>
      </c>
      <c r="AC1427">
        <v>0</v>
      </c>
      <c r="AD1427">
        <v>154</v>
      </c>
      <c r="AE1427">
        <v>0</v>
      </c>
      <c r="AF1427" t="s">
        <v>2589</v>
      </c>
      <c r="AG1427" t="s">
        <v>2588</v>
      </c>
    </row>
    <row r="1428" spans="1:33">
      <c r="A1428" s="2" t="s">
        <v>99</v>
      </c>
      <c r="B1428" s="2" t="s">
        <v>13</v>
      </c>
      <c r="C1428" s="1">
        <v>0.52525630099999998</v>
      </c>
      <c r="D1428">
        <v>0.68706170200000005</v>
      </c>
      <c r="E1428">
        <v>0.71473597300000002</v>
      </c>
      <c r="F1428" s="1" t="s">
        <v>100</v>
      </c>
      <c r="G1428" s="1">
        <v>1.72605042</v>
      </c>
      <c r="H1428" s="1">
        <v>46.5</v>
      </c>
      <c r="I1428" s="1">
        <v>59.5</v>
      </c>
      <c r="J1428" s="1">
        <v>0.64235132533333339</v>
      </c>
      <c r="K1428" s="1">
        <v>0.48695497399999998</v>
      </c>
      <c r="L1428" s="1">
        <v>0.54991327199999995</v>
      </c>
      <c r="M1428" s="3">
        <v>0.67282609299999996</v>
      </c>
      <c r="N1428" s="1" t="s">
        <v>14</v>
      </c>
      <c r="O1428" s="1">
        <v>1.6052009460000001</v>
      </c>
      <c r="P1428" s="1">
        <v>26.6</v>
      </c>
      <c r="Q1428" s="1">
        <v>42.3</v>
      </c>
      <c r="R1428" s="1">
        <v>0.56989811299999993</v>
      </c>
      <c r="S1428" s="1">
        <v>0.14843558044835564</v>
      </c>
      <c r="T1428" t="s">
        <v>1575</v>
      </c>
      <c r="U1428" s="1">
        <v>337</v>
      </c>
      <c r="V1428">
        <f t="shared" si="88"/>
        <v>0.28084776676348205</v>
      </c>
      <c r="W1428" s="1">
        <f t="shared" si="89"/>
        <v>19.899999999999999</v>
      </c>
      <c r="X1428">
        <f t="shared" si="90"/>
        <v>0.1208494739999999</v>
      </c>
      <c r="Y1428">
        <f t="shared" si="91"/>
        <v>17.200000000000003</v>
      </c>
      <c r="Z1428" s="1">
        <v>0</v>
      </c>
      <c r="AA1428">
        <v>100</v>
      </c>
      <c r="AB1428">
        <v>0</v>
      </c>
      <c r="AC1428">
        <v>0</v>
      </c>
      <c r="AD1428">
        <v>101</v>
      </c>
      <c r="AE1428">
        <v>0</v>
      </c>
      <c r="AF1428" t="s">
        <v>2589</v>
      </c>
      <c r="AG1428" t="s">
        <v>2590</v>
      </c>
    </row>
    <row r="1429" spans="1:33">
      <c r="A1429" s="2" t="s">
        <v>99</v>
      </c>
      <c r="B1429" s="2" t="s">
        <v>15</v>
      </c>
      <c r="C1429" s="1">
        <v>0.52525630099999998</v>
      </c>
      <c r="D1429">
        <v>0.68706170200000005</v>
      </c>
      <c r="E1429">
        <v>0.71473597300000002</v>
      </c>
      <c r="F1429" s="1" t="s">
        <v>100</v>
      </c>
      <c r="G1429" s="1">
        <v>1.72605042</v>
      </c>
      <c r="H1429" s="1">
        <v>46.5</v>
      </c>
      <c r="I1429" s="1">
        <v>59.5</v>
      </c>
      <c r="J1429" s="1">
        <v>0.64235132533333339</v>
      </c>
      <c r="K1429" s="1">
        <v>0.54560998800000005</v>
      </c>
      <c r="L1429" s="1">
        <v>0.66721428400000005</v>
      </c>
      <c r="M1429" s="3">
        <v>0.72650398400000005</v>
      </c>
      <c r="N1429" s="1" t="s">
        <v>16</v>
      </c>
      <c r="O1429" s="1">
        <v>5.1392405060000002</v>
      </c>
      <c r="P1429" s="1">
        <v>35.9</v>
      </c>
      <c r="Q1429" s="1">
        <v>15.8</v>
      </c>
      <c r="R1429" s="1">
        <v>0.64644275200000012</v>
      </c>
      <c r="S1429" s="1">
        <v>3.0768143568581083E-2</v>
      </c>
      <c r="T1429" t="s">
        <v>1576</v>
      </c>
      <c r="U1429" s="1">
        <v>713</v>
      </c>
      <c r="V1429">
        <f t="shared" si="88"/>
        <v>0.31700994776131841</v>
      </c>
      <c r="W1429" s="1">
        <f t="shared" si="89"/>
        <v>10.600000000000001</v>
      </c>
      <c r="X1429">
        <f t="shared" si="90"/>
        <v>3.4131900860000002</v>
      </c>
      <c r="Y1429">
        <f t="shared" si="91"/>
        <v>43.7</v>
      </c>
      <c r="Z1429" s="1">
        <v>0</v>
      </c>
      <c r="AA1429">
        <v>100</v>
      </c>
      <c r="AB1429">
        <v>0</v>
      </c>
      <c r="AC1429">
        <v>0</v>
      </c>
      <c r="AD1429">
        <v>97</v>
      </c>
      <c r="AE1429">
        <v>0</v>
      </c>
      <c r="AF1429" t="s">
        <v>2589</v>
      </c>
      <c r="AG1429" t="s">
        <v>2591</v>
      </c>
    </row>
    <row r="1430" spans="1:33">
      <c r="A1430" s="2" t="s">
        <v>99</v>
      </c>
      <c r="B1430" s="2" t="s">
        <v>17</v>
      </c>
      <c r="C1430" s="1">
        <v>0.52525630099999998</v>
      </c>
      <c r="D1430">
        <v>0.68706170200000005</v>
      </c>
      <c r="E1430">
        <v>0.71473597300000002</v>
      </c>
      <c r="F1430" s="1" t="s">
        <v>100</v>
      </c>
      <c r="G1430" s="1">
        <v>1.72605042</v>
      </c>
      <c r="H1430" s="1">
        <v>46.5</v>
      </c>
      <c r="I1430" s="1">
        <v>59.5</v>
      </c>
      <c r="J1430" s="1">
        <v>0.64235132533333339</v>
      </c>
      <c r="K1430" s="1">
        <v>0.659112378</v>
      </c>
      <c r="L1430" s="1">
        <v>0.68333493499999998</v>
      </c>
      <c r="M1430" s="3">
        <v>0.70345495199999997</v>
      </c>
      <c r="N1430" s="1" t="s">
        <v>18</v>
      </c>
      <c r="O1430" s="1">
        <v>1.9463955639999999</v>
      </c>
      <c r="P1430" s="1">
        <v>46.3</v>
      </c>
      <c r="Q1430" s="1">
        <v>54.1</v>
      </c>
      <c r="R1430" s="1">
        <v>0.68196742166666668</v>
      </c>
      <c r="S1430" s="1">
        <v>0.13438228892567899</v>
      </c>
      <c r="T1430" t="s">
        <v>1577</v>
      </c>
      <c r="U1430" s="1">
        <v>1378</v>
      </c>
      <c r="V1430">
        <f t="shared" si="88"/>
        <v>0.34880546861906742</v>
      </c>
      <c r="W1430" s="1">
        <f t="shared" si="89"/>
        <v>0.20000000000000284</v>
      </c>
      <c r="X1430">
        <f t="shared" si="90"/>
        <v>0.22034514399999994</v>
      </c>
      <c r="Y1430">
        <f t="shared" si="91"/>
        <v>5.3999999999999986</v>
      </c>
      <c r="Z1430" s="1">
        <v>0</v>
      </c>
      <c r="AA1430">
        <v>100</v>
      </c>
      <c r="AB1430">
        <v>0</v>
      </c>
      <c r="AC1430">
        <v>0</v>
      </c>
      <c r="AD1430">
        <v>111</v>
      </c>
      <c r="AE1430">
        <v>0</v>
      </c>
      <c r="AF1430" t="s">
        <v>2589</v>
      </c>
      <c r="AG1430" t="s">
        <v>2591</v>
      </c>
    </row>
    <row r="1431" spans="1:33">
      <c r="A1431" s="2" t="s">
        <v>99</v>
      </c>
      <c r="B1431" s="2" t="s">
        <v>19</v>
      </c>
      <c r="C1431" s="1">
        <v>0.52525630099999998</v>
      </c>
      <c r="D1431">
        <v>0.68706170200000005</v>
      </c>
      <c r="E1431">
        <v>0.71473597300000002</v>
      </c>
      <c r="F1431" s="1" t="s">
        <v>100</v>
      </c>
      <c r="G1431" s="1">
        <v>1.72605042</v>
      </c>
      <c r="H1431" s="1">
        <v>46.5</v>
      </c>
      <c r="I1431" s="1">
        <v>59.5</v>
      </c>
      <c r="J1431" s="1">
        <v>0.64235132533333339</v>
      </c>
      <c r="K1431" s="1">
        <v>0.49391595300000002</v>
      </c>
      <c r="L1431" s="1">
        <v>0.603599314</v>
      </c>
      <c r="M1431" s="3">
        <v>0.63481471599999995</v>
      </c>
      <c r="N1431" s="1" t="s">
        <v>20</v>
      </c>
      <c r="O1431" s="1">
        <v>1.2140902870000001</v>
      </c>
      <c r="P1431" s="1">
        <v>64.900000000000006</v>
      </c>
      <c r="Q1431" s="1">
        <v>146.19999999999999</v>
      </c>
      <c r="R1431" s="1">
        <v>0.57744332766666662</v>
      </c>
      <c r="S1431" s="1">
        <v>0.1197313448679322</v>
      </c>
      <c r="T1431" t="s">
        <v>1578</v>
      </c>
      <c r="U1431" s="1">
        <v>4386</v>
      </c>
      <c r="V1431">
        <f t="shared" si="88"/>
        <v>0.4046742919268338</v>
      </c>
      <c r="W1431" s="1">
        <f t="shared" si="89"/>
        <v>18.400000000000006</v>
      </c>
      <c r="X1431">
        <f t="shared" si="90"/>
        <v>0.51196013299999987</v>
      </c>
      <c r="Y1431">
        <f t="shared" si="91"/>
        <v>86.699999999999989</v>
      </c>
      <c r="Z1431" s="1">
        <v>0</v>
      </c>
      <c r="AA1431">
        <v>100</v>
      </c>
      <c r="AB1431">
        <v>0</v>
      </c>
      <c r="AC1431">
        <v>0</v>
      </c>
      <c r="AD1431">
        <v>91</v>
      </c>
      <c r="AE1431">
        <v>0</v>
      </c>
      <c r="AF1431" t="s">
        <v>2589</v>
      </c>
      <c r="AG1431" t="s">
        <v>2593</v>
      </c>
    </row>
    <row r="1432" spans="1:33">
      <c r="A1432" s="2" t="s">
        <v>99</v>
      </c>
      <c r="B1432" s="2" t="s">
        <v>21</v>
      </c>
      <c r="C1432" s="1">
        <v>0.52525630099999998</v>
      </c>
      <c r="D1432">
        <v>0.68706170200000005</v>
      </c>
      <c r="E1432">
        <v>0.71473597300000002</v>
      </c>
      <c r="F1432" s="1" t="s">
        <v>100</v>
      </c>
      <c r="G1432" s="1">
        <v>1.72605042</v>
      </c>
      <c r="H1432" s="1">
        <v>46.5</v>
      </c>
      <c r="I1432" s="1">
        <v>59.5</v>
      </c>
      <c r="J1432" s="1">
        <v>0.64235132533333339</v>
      </c>
      <c r="K1432" s="1">
        <v>0.53276376800000003</v>
      </c>
      <c r="L1432" s="1">
        <v>0.65428149899999999</v>
      </c>
      <c r="M1432" s="3">
        <v>0.70160154799999996</v>
      </c>
      <c r="N1432" s="1" t="s">
        <v>22</v>
      </c>
      <c r="O1432" s="1">
        <v>1.2440604749999999</v>
      </c>
      <c r="P1432" s="1">
        <v>24.6</v>
      </c>
      <c r="Q1432" s="1">
        <v>46.3</v>
      </c>
      <c r="R1432" s="1">
        <v>0.62954893833333336</v>
      </c>
      <c r="S1432" s="1">
        <v>3.6102865392624021E-2</v>
      </c>
      <c r="T1432" t="s">
        <v>1579</v>
      </c>
      <c r="U1432" s="1">
        <v>6573</v>
      </c>
      <c r="V1432">
        <f t="shared" si="88"/>
        <v>0.4241959591422631</v>
      </c>
      <c r="W1432" s="1">
        <f t="shared" si="89"/>
        <v>21.9</v>
      </c>
      <c r="X1432">
        <f t="shared" si="90"/>
        <v>0.48198994500000003</v>
      </c>
      <c r="Y1432">
        <f t="shared" si="91"/>
        <v>13.200000000000003</v>
      </c>
      <c r="Z1432" s="1">
        <v>0</v>
      </c>
      <c r="AA1432">
        <v>100</v>
      </c>
      <c r="AB1432">
        <v>0</v>
      </c>
      <c r="AC1432">
        <v>0</v>
      </c>
      <c r="AD1432">
        <v>97</v>
      </c>
      <c r="AE1432">
        <v>0</v>
      </c>
      <c r="AF1432" t="s">
        <v>2589</v>
      </c>
      <c r="AG1432" t="s">
        <v>2589</v>
      </c>
    </row>
    <row r="1433" spans="1:33">
      <c r="A1433" s="2" t="s">
        <v>99</v>
      </c>
      <c r="B1433" s="2" t="s">
        <v>23</v>
      </c>
      <c r="C1433" s="1">
        <v>0.52525630099999998</v>
      </c>
      <c r="D1433">
        <v>0.68706170200000005</v>
      </c>
      <c r="E1433">
        <v>0.71473597300000002</v>
      </c>
      <c r="F1433" s="1" t="s">
        <v>100</v>
      </c>
      <c r="G1433" s="1">
        <v>1.72605042</v>
      </c>
      <c r="H1433" s="1">
        <v>46.5</v>
      </c>
      <c r="I1433" s="1">
        <v>59.5</v>
      </c>
      <c r="J1433" s="1">
        <v>0.64235132533333339</v>
      </c>
      <c r="K1433" s="1">
        <v>0.49415677200000002</v>
      </c>
      <c r="L1433" s="1">
        <v>0.62090818999999997</v>
      </c>
      <c r="M1433" s="3">
        <v>0.63381026900000004</v>
      </c>
      <c r="N1433" s="1" t="s">
        <v>24</v>
      </c>
      <c r="O1433" s="1">
        <v>1.141304348</v>
      </c>
      <c r="P1433" s="1">
        <v>44.4</v>
      </c>
      <c r="Q1433" s="1">
        <v>101.2</v>
      </c>
      <c r="R1433" s="1">
        <v>0.58295841033333329</v>
      </c>
      <c r="S1433" s="1">
        <v>0.10905245261731443</v>
      </c>
      <c r="T1433" t="s">
        <v>1580</v>
      </c>
      <c r="U1433" s="1">
        <v>918</v>
      </c>
      <c r="V1433">
        <f t="shared" si="88"/>
        <v>0.32920474235569358</v>
      </c>
      <c r="W1433" s="1">
        <f t="shared" si="89"/>
        <v>2.1000000000000014</v>
      </c>
      <c r="X1433">
        <f t="shared" si="90"/>
        <v>0.58474607199999995</v>
      </c>
      <c r="Y1433">
        <f t="shared" si="91"/>
        <v>41.7</v>
      </c>
      <c r="Z1433" s="1">
        <v>0</v>
      </c>
      <c r="AA1433">
        <v>100</v>
      </c>
      <c r="AB1433">
        <v>0</v>
      </c>
      <c r="AC1433">
        <v>0</v>
      </c>
      <c r="AD1433">
        <v>93</v>
      </c>
      <c r="AE1433">
        <v>0</v>
      </c>
      <c r="AF1433" t="s">
        <v>2589</v>
      </c>
      <c r="AG1433" t="s">
        <v>2590</v>
      </c>
    </row>
    <row r="1434" spans="1:33">
      <c r="A1434" s="2" t="s">
        <v>99</v>
      </c>
      <c r="B1434" s="2" t="s">
        <v>25</v>
      </c>
      <c r="C1434" s="1">
        <v>0.52525630099999998</v>
      </c>
      <c r="D1434">
        <v>0.68706170200000005</v>
      </c>
      <c r="E1434">
        <v>0.71473597300000002</v>
      </c>
      <c r="F1434" s="1" t="s">
        <v>100</v>
      </c>
      <c r="G1434" s="1">
        <v>1.72605042</v>
      </c>
      <c r="H1434" s="1">
        <v>46.5</v>
      </c>
      <c r="I1434" s="1">
        <v>59.5</v>
      </c>
      <c r="J1434" s="1">
        <v>0.64235132533333339</v>
      </c>
      <c r="K1434" s="1">
        <v>0.53959274199999996</v>
      </c>
      <c r="L1434" s="1">
        <v>0.64971567399999997</v>
      </c>
      <c r="M1434" s="3">
        <v>0.65028459999999999</v>
      </c>
      <c r="N1434" s="1" t="s">
        <v>26</v>
      </c>
      <c r="O1434" s="1">
        <v>1.623046875</v>
      </c>
      <c r="P1434" s="1">
        <v>34.700000000000003</v>
      </c>
      <c r="Q1434" s="1">
        <v>51.2</v>
      </c>
      <c r="R1434" s="1">
        <v>0.61319767199999997</v>
      </c>
      <c r="S1434" s="1">
        <v>7.5856699305390324E-2</v>
      </c>
      <c r="T1434" t="s">
        <v>1581</v>
      </c>
      <c r="U1434" s="1">
        <v>6137</v>
      </c>
      <c r="V1434">
        <f t="shared" si="88"/>
        <v>0.42088401369821465</v>
      </c>
      <c r="W1434" s="1">
        <f t="shared" si="89"/>
        <v>11.799999999999997</v>
      </c>
      <c r="X1434">
        <f t="shared" si="90"/>
        <v>0.10300354499999997</v>
      </c>
      <c r="Y1434">
        <f t="shared" si="91"/>
        <v>8.2999999999999972</v>
      </c>
      <c r="Z1434" s="1">
        <v>0</v>
      </c>
      <c r="AA1434">
        <v>100</v>
      </c>
      <c r="AB1434">
        <v>0</v>
      </c>
      <c r="AC1434">
        <v>0</v>
      </c>
      <c r="AD1434">
        <v>95</v>
      </c>
      <c r="AE1434">
        <v>0</v>
      </c>
      <c r="AF1434" t="s">
        <v>2589</v>
      </c>
      <c r="AG1434" t="s">
        <v>2594</v>
      </c>
    </row>
    <row r="1435" spans="1:33">
      <c r="A1435" s="2" t="s">
        <v>99</v>
      </c>
      <c r="B1435" s="2" t="s">
        <v>27</v>
      </c>
      <c r="C1435" s="1">
        <v>0.52525630099999998</v>
      </c>
      <c r="D1435">
        <v>0.68706170200000005</v>
      </c>
      <c r="E1435">
        <v>0.71473597300000002</v>
      </c>
      <c r="F1435" s="1" t="s">
        <v>100</v>
      </c>
      <c r="G1435" s="1">
        <v>1.72605042</v>
      </c>
      <c r="H1435" s="1">
        <v>46.5</v>
      </c>
      <c r="I1435" s="1">
        <v>59.5</v>
      </c>
      <c r="J1435" s="1">
        <v>0.64235132533333339</v>
      </c>
      <c r="K1435" s="1">
        <v>0.518608662</v>
      </c>
      <c r="L1435" s="1">
        <v>0.64320369700000002</v>
      </c>
      <c r="M1435" s="3">
        <v>0.62228994199999998</v>
      </c>
      <c r="N1435" s="1" t="s">
        <v>28</v>
      </c>
      <c r="O1435" s="1">
        <v>1.8717391299999999</v>
      </c>
      <c r="P1435" s="1">
        <v>33.700000000000003</v>
      </c>
      <c r="Q1435" s="1">
        <v>46</v>
      </c>
      <c r="R1435" s="1">
        <v>0.59470076699999996</v>
      </c>
      <c r="S1435" s="1">
        <v>0.10253772161749702</v>
      </c>
      <c r="T1435" t="s">
        <v>1582</v>
      </c>
      <c r="U1435" s="1">
        <v>431</v>
      </c>
      <c r="V1435">
        <f t="shared" si="88"/>
        <v>0.29271969668452574</v>
      </c>
      <c r="W1435" s="1">
        <f t="shared" si="89"/>
        <v>12.799999999999997</v>
      </c>
      <c r="X1435">
        <f t="shared" si="90"/>
        <v>0.14568870999999994</v>
      </c>
      <c r="Y1435">
        <f t="shared" si="91"/>
        <v>13.5</v>
      </c>
      <c r="Z1435" s="1">
        <v>0</v>
      </c>
      <c r="AA1435">
        <v>100</v>
      </c>
      <c r="AB1435">
        <v>0</v>
      </c>
      <c r="AC1435">
        <v>0</v>
      </c>
      <c r="AD1435">
        <v>102</v>
      </c>
      <c r="AE1435">
        <v>0</v>
      </c>
      <c r="AF1435" t="s">
        <v>2589</v>
      </c>
      <c r="AG1435" t="s">
        <v>2590</v>
      </c>
    </row>
    <row r="1436" spans="1:33">
      <c r="A1436" s="2" t="s">
        <v>99</v>
      </c>
      <c r="B1436" s="2" t="s">
        <v>29</v>
      </c>
      <c r="C1436" s="1">
        <v>0.52525630099999998</v>
      </c>
      <c r="D1436">
        <v>0.68706170200000005</v>
      </c>
      <c r="E1436">
        <v>0.71473597300000002</v>
      </c>
      <c r="F1436" s="1" t="s">
        <v>100</v>
      </c>
      <c r="G1436" s="1">
        <v>1.72605042</v>
      </c>
      <c r="H1436" s="1">
        <v>46.5</v>
      </c>
      <c r="I1436" s="1">
        <v>59.5</v>
      </c>
      <c r="J1436" s="1">
        <v>0.64235132533333339</v>
      </c>
      <c r="K1436" s="1">
        <v>0.59351545100000003</v>
      </c>
      <c r="L1436" s="1">
        <v>0.68136602400000001</v>
      </c>
      <c r="M1436" s="3">
        <v>0.73518087600000004</v>
      </c>
      <c r="N1436" s="1" t="s">
        <v>30</v>
      </c>
      <c r="O1436" s="1">
        <v>2.849112426</v>
      </c>
      <c r="P1436" s="1">
        <v>37.9</v>
      </c>
      <c r="Q1436" s="1">
        <v>33.799999999999997</v>
      </c>
      <c r="R1436" s="1">
        <v>0.67002078366666673</v>
      </c>
      <c r="S1436" s="1">
        <v>7.1482489920830269E-2</v>
      </c>
      <c r="T1436" t="s">
        <v>1583</v>
      </c>
      <c r="U1436" s="1">
        <v>336</v>
      </c>
      <c r="V1436">
        <f t="shared" si="88"/>
        <v>0.28070436415442712</v>
      </c>
      <c r="W1436" s="1">
        <f t="shared" si="89"/>
        <v>8.6000000000000014</v>
      </c>
      <c r="X1436">
        <f t="shared" si="90"/>
        <v>1.1230620060000001</v>
      </c>
      <c r="Y1436">
        <f t="shared" si="91"/>
        <v>25.700000000000003</v>
      </c>
      <c r="Z1436" s="1">
        <v>0</v>
      </c>
      <c r="AA1436">
        <v>100</v>
      </c>
      <c r="AB1436">
        <v>0</v>
      </c>
      <c r="AC1436">
        <v>0</v>
      </c>
      <c r="AD1436">
        <v>91</v>
      </c>
      <c r="AE1436">
        <v>0</v>
      </c>
      <c r="AF1436" t="s">
        <v>2589</v>
      </c>
      <c r="AG1436" t="s">
        <v>2593</v>
      </c>
    </row>
    <row r="1437" spans="1:33">
      <c r="A1437" s="2" t="s">
        <v>99</v>
      </c>
      <c r="B1437" s="2" t="s">
        <v>31</v>
      </c>
      <c r="C1437" s="1">
        <v>0.52525630099999998</v>
      </c>
      <c r="D1437">
        <v>0.68706170200000005</v>
      </c>
      <c r="E1437">
        <v>0.71473597300000002</v>
      </c>
      <c r="F1437" s="1" t="s">
        <v>100</v>
      </c>
      <c r="G1437" s="1">
        <v>1.72605042</v>
      </c>
      <c r="H1437" s="1">
        <v>46.5</v>
      </c>
      <c r="I1437" s="1">
        <v>59.5</v>
      </c>
      <c r="J1437" s="1">
        <v>0.64235132533333339</v>
      </c>
      <c r="K1437" s="1">
        <v>0.47727961800000002</v>
      </c>
      <c r="L1437" s="1">
        <v>0.66941086400000005</v>
      </c>
      <c r="M1437" s="3">
        <v>0.69294815300000001</v>
      </c>
      <c r="N1437" s="1" t="s">
        <v>32</v>
      </c>
      <c r="O1437" s="1">
        <v>1.341891892</v>
      </c>
      <c r="P1437" s="1">
        <v>42.1</v>
      </c>
      <c r="Q1437" s="1">
        <v>74</v>
      </c>
      <c r="R1437" s="1">
        <v>0.61321287833333338</v>
      </c>
      <c r="S1437" s="1">
        <v>5.5569985550989034E-2</v>
      </c>
      <c r="T1437" t="s">
        <v>1584</v>
      </c>
      <c r="U1437" s="1">
        <v>5851</v>
      </c>
      <c r="V1437">
        <f t="shared" si="88"/>
        <v>0.41858112201230202</v>
      </c>
      <c r="W1437" s="1">
        <f t="shared" si="89"/>
        <v>4.3999999999999986</v>
      </c>
      <c r="X1437">
        <f t="shared" si="90"/>
        <v>0.38415852799999994</v>
      </c>
      <c r="Y1437">
        <f t="shared" si="91"/>
        <v>14.5</v>
      </c>
      <c r="Z1437" s="1">
        <v>0</v>
      </c>
      <c r="AA1437">
        <v>100</v>
      </c>
      <c r="AB1437">
        <v>0</v>
      </c>
      <c r="AC1437">
        <v>0</v>
      </c>
      <c r="AD1437">
        <v>99</v>
      </c>
      <c r="AE1437">
        <v>0</v>
      </c>
      <c r="AF1437" t="s">
        <v>2589</v>
      </c>
      <c r="AG1437" t="s">
        <v>2589</v>
      </c>
    </row>
    <row r="1438" spans="1:33">
      <c r="A1438" s="2" t="s">
        <v>99</v>
      </c>
      <c r="B1438" s="2" t="s">
        <v>33</v>
      </c>
      <c r="C1438" s="1">
        <v>0.52525630099999998</v>
      </c>
      <c r="D1438">
        <v>0.68706170200000005</v>
      </c>
      <c r="E1438">
        <v>0.71473597300000002</v>
      </c>
      <c r="F1438" s="1" t="s">
        <v>100</v>
      </c>
      <c r="G1438" s="1">
        <v>1.72605042</v>
      </c>
      <c r="H1438" s="1">
        <v>46.5</v>
      </c>
      <c r="I1438" s="1">
        <v>59.5</v>
      </c>
      <c r="J1438" s="1">
        <v>0.64235132533333339</v>
      </c>
      <c r="K1438" s="1">
        <v>0.51347926600000005</v>
      </c>
      <c r="L1438" s="1">
        <v>0.63144379399999995</v>
      </c>
      <c r="M1438" s="3">
        <v>0.64189093500000005</v>
      </c>
      <c r="N1438" s="1" t="s">
        <v>34</v>
      </c>
      <c r="O1438" s="1">
        <v>2.3123667380000001</v>
      </c>
      <c r="P1438" s="1">
        <v>79.099999999999994</v>
      </c>
      <c r="Q1438" s="1">
        <v>93.8</v>
      </c>
      <c r="R1438" s="1">
        <v>0.59560466500000009</v>
      </c>
      <c r="S1438" s="1">
        <v>9.2403732635154626E-2</v>
      </c>
      <c r="T1438" t="s">
        <v>1585</v>
      </c>
      <c r="U1438" s="1">
        <v>3559</v>
      </c>
      <c r="V1438">
        <f t="shared" si="88"/>
        <v>0.39459199866709399</v>
      </c>
      <c r="W1438" s="1">
        <f t="shared" si="89"/>
        <v>32.599999999999994</v>
      </c>
      <c r="X1438">
        <f t="shared" si="90"/>
        <v>0.58631631800000017</v>
      </c>
      <c r="Y1438">
        <f t="shared" si="91"/>
        <v>34.299999999999997</v>
      </c>
      <c r="Z1438" s="1">
        <v>0</v>
      </c>
      <c r="AA1438">
        <v>100</v>
      </c>
      <c r="AB1438">
        <v>0</v>
      </c>
      <c r="AC1438">
        <v>0</v>
      </c>
      <c r="AD1438">
        <v>93</v>
      </c>
      <c r="AE1438">
        <v>0</v>
      </c>
      <c r="AF1438" t="s">
        <v>2589</v>
      </c>
      <c r="AG1438" t="s">
        <v>2590</v>
      </c>
    </row>
    <row r="1439" spans="1:33">
      <c r="A1439" s="2" t="s">
        <v>99</v>
      </c>
      <c r="B1439" s="2" t="s">
        <v>35</v>
      </c>
      <c r="C1439" s="1">
        <v>0.52525630099999998</v>
      </c>
      <c r="D1439">
        <v>0.68706170200000005</v>
      </c>
      <c r="E1439">
        <v>0.71473597300000002</v>
      </c>
      <c r="F1439" s="1" t="s">
        <v>100</v>
      </c>
      <c r="G1439" s="1">
        <v>1.72605042</v>
      </c>
      <c r="H1439" s="1">
        <v>46.5</v>
      </c>
      <c r="I1439" s="1">
        <v>59.5</v>
      </c>
      <c r="J1439" s="1">
        <v>0.64235132533333339</v>
      </c>
      <c r="K1439" s="1">
        <v>0.52542897600000005</v>
      </c>
      <c r="L1439" s="1">
        <v>0.60774736299999998</v>
      </c>
      <c r="M1439" s="3">
        <v>0.62585751700000003</v>
      </c>
      <c r="N1439" s="1" t="s">
        <v>36</v>
      </c>
      <c r="O1439" s="1">
        <v>0.98848810399999998</v>
      </c>
      <c r="P1439" s="1">
        <v>54.2</v>
      </c>
      <c r="Q1439" s="1">
        <v>130.30000000000001</v>
      </c>
      <c r="R1439" s="1">
        <v>0.58634461866666665</v>
      </c>
      <c r="S1439" s="1">
        <v>0.11912251730301242</v>
      </c>
      <c r="T1439" t="s">
        <v>1586</v>
      </c>
      <c r="U1439" s="1">
        <v>26453</v>
      </c>
      <c r="V1439">
        <f t="shared" si="88"/>
        <v>0.49138610354791901</v>
      </c>
      <c r="W1439" s="1">
        <f t="shared" si="89"/>
        <v>7.7000000000000028</v>
      </c>
      <c r="X1439">
        <f t="shared" si="90"/>
        <v>0.737562316</v>
      </c>
      <c r="Y1439">
        <f t="shared" si="91"/>
        <v>70.800000000000011</v>
      </c>
      <c r="Z1439" s="1">
        <v>0</v>
      </c>
      <c r="AA1439">
        <v>100</v>
      </c>
      <c r="AB1439">
        <v>0</v>
      </c>
      <c r="AC1439">
        <v>0</v>
      </c>
      <c r="AD1439">
        <v>92</v>
      </c>
      <c r="AE1439">
        <v>0</v>
      </c>
      <c r="AF1439" t="s">
        <v>2589</v>
      </c>
      <c r="AG1439" t="s">
        <v>2589</v>
      </c>
    </row>
    <row r="1440" spans="1:33">
      <c r="A1440" s="2" t="s">
        <v>99</v>
      </c>
      <c r="B1440" s="2" t="s">
        <v>37</v>
      </c>
      <c r="C1440" s="1">
        <v>0.52525630099999998</v>
      </c>
      <c r="D1440">
        <v>0.68706170200000005</v>
      </c>
      <c r="E1440">
        <v>0.71473597300000002</v>
      </c>
      <c r="F1440" s="1" t="s">
        <v>100</v>
      </c>
      <c r="G1440" s="1">
        <v>1.72605042</v>
      </c>
      <c r="H1440" s="1">
        <v>46.5</v>
      </c>
      <c r="I1440" s="1">
        <v>59.5</v>
      </c>
      <c r="J1440" s="1">
        <v>0.64235132533333339</v>
      </c>
      <c r="K1440" s="1">
        <v>0.50856695500000004</v>
      </c>
      <c r="L1440" s="1">
        <v>0.654733224</v>
      </c>
      <c r="M1440" s="3">
        <v>0.61418267199999999</v>
      </c>
      <c r="N1440" s="1" t="s">
        <v>38</v>
      </c>
      <c r="O1440" s="1">
        <v>0.64065708399999999</v>
      </c>
      <c r="P1440" s="1">
        <v>41.9</v>
      </c>
      <c r="Q1440" s="1">
        <v>146.1</v>
      </c>
      <c r="R1440" s="1">
        <v>0.59249428366666679</v>
      </c>
      <c r="S1440" s="1">
        <v>0.10693283453505201</v>
      </c>
      <c r="T1440" t="s">
        <v>1587</v>
      </c>
      <c r="U1440" s="1">
        <v>7668</v>
      </c>
      <c r="V1440">
        <f t="shared" si="88"/>
        <v>0.43163134491178057</v>
      </c>
      <c r="W1440" s="1">
        <f t="shared" si="89"/>
        <v>4.6000000000000014</v>
      </c>
      <c r="X1440">
        <f t="shared" si="90"/>
        <v>1.0853933360000001</v>
      </c>
      <c r="Y1440">
        <f t="shared" si="91"/>
        <v>86.6</v>
      </c>
      <c r="Z1440" s="1">
        <v>0</v>
      </c>
      <c r="AA1440">
        <v>100</v>
      </c>
      <c r="AB1440">
        <v>0</v>
      </c>
      <c r="AC1440">
        <v>0</v>
      </c>
      <c r="AD1440">
        <v>91</v>
      </c>
      <c r="AE1440">
        <v>0</v>
      </c>
      <c r="AF1440" t="s">
        <v>2589</v>
      </c>
      <c r="AG1440" t="s">
        <v>2590</v>
      </c>
    </row>
    <row r="1441" spans="1:33">
      <c r="A1441" s="2" t="s">
        <v>99</v>
      </c>
      <c r="B1441" s="2" t="s">
        <v>39</v>
      </c>
      <c r="C1441" s="1">
        <v>0.52525630099999998</v>
      </c>
      <c r="D1441">
        <v>0.68706170200000005</v>
      </c>
      <c r="E1441">
        <v>0.71473597300000002</v>
      </c>
      <c r="F1441" s="1" t="s">
        <v>100</v>
      </c>
      <c r="G1441" s="1">
        <v>1.72605042</v>
      </c>
      <c r="H1441" s="1">
        <v>46.5</v>
      </c>
      <c r="I1441" s="1">
        <v>59.5</v>
      </c>
      <c r="J1441" s="1">
        <v>0.64235132533333339</v>
      </c>
      <c r="K1441" s="1">
        <v>0.60811616199999996</v>
      </c>
      <c r="L1441" s="1">
        <v>0.721105683</v>
      </c>
      <c r="M1441" s="3">
        <v>0.741016169</v>
      </c>
      <c r="N1441" s="1" t="s">
        <v>40</v>
      </c>
      <c r="O1441" s="1">
        <v>1.0601915180000001</v>
      </c>
      <c r="P1441" s="1">
        <v>34</v>
      </c>
      <c r="Q1441" s="1">
        <v>73.099999999999994</v>
      </c>
      <c r="R1441" s="1">
        <v>0.69007933799999999</v>
      </c>
      <c r="S1441" s="1">
        <v>9.335629549776539E-2</v>
      </c>
      <c r="T1441" t="s">
        <v>1588</v>
      </c>
      <c r="U1441" s="1">
        <v>18304</v>
      </c>
      <c r="V1441">
        <f t="shared" si="88"/>
        <v>0.4736162230125478</v>
      </c>
      <c r="W1441" s="1">
        <f t="shared" si="89"/>
        <v>12.5</v>
      </c>
      <c r="X1441">
        <f t="shared" si="90"/>
        <v>0.66585890199999986</v>
      </c>
      <c r="Y1441">
        <f t="shared" si="91"/>
        <v>13.599999999999994</v>
      </c>
      <c r="Z1441" s="1">
        <v>0</v>
      </c>
      <c r="AA1441">
        <v>100</v>
      </c>
      <c r="AB1441">
        <v>0</v>
      </c>
      <c r="AC1441">
        <v>0</v>
      </c>
      <c r="AD1441">
        <v>94</v>
      </c>
      <c r="AE1441">
        <v>0</v>
      </c>
      <c r="AF1441" t="s">
        <v>2589</v>
      </c>
      <c r="AG1441" t="s">
        <v>2589</v>
      </c>
    </row>
    <row r="1442" spans="1:33">
      <c r="A1442" s="2" t="s">
        <v>99</v>
      </c>
      <c r="B1442" s="2" t="s">
        <v>41</v>
      </c>
      <c r="C1442" s="1">
        <v>0.52525630099999998</v>
      </c>
      <c r="D1442">
        <v>0.68706170200000005</v>
      </c>
      <c r="E1442">
        <v>0.71473597300000002</v>
      </c>
      <c r="F1442" s="1" t="s">
        <v>100</v>
      </c>
      <c r="G1442" s="1">
        <v>1.72605042</v>
      </c>
      <c r="H1442" s="1">
        <v>46.5</v>
      </c>
      <c r="I1442" s="1">
        <v>59.5</v>
      </c>
      <c r="J1442" s="1">
        <v>0.64235132533333339</v>
      </c>
      <c r="K1442" s="1">
        <v>0.60402244999999999</v>
      </c>
      <c r="L1442" s="1">
        <v>0.669189213</v>
      </c>
      <c r="M1442" s="3">
        <v>0.69821693799999995</v>
      </c>
      <c r="N1442" s="1" t="s">
        <v>42</v>
      </c>
      <c r="O1442" s="1">
        <v>1.3243902439999999</v>
      </c>
      <c r="P1442" s="1">
        <v>23</v>
      </c>
      <c r="Q1442" s="1">
        <v>41</v>
      </c>
      <c r="R1442" s="1">
        <v>0.65714286700000002</v>
      </c>
      <c r="S1442" s="1">
        <v>8.2440345757866351E-2</v>
      </c>
      <c r="T1442" t="s">
        <v>1589</v>
      </c>
      <c r="U1442" s="1">
        <v>749</v>
      </c>
      <c r="V1442">
        <f t="shared" si="88"/>
        <v>0.31938686863327409</v>
      </c>
      <c r="W1442" s="1">
        <f t="shared" si="89"/>
        <v>23.5</v>
      </c>
      <c r="X1442">
        <f t="shared" si="90"/>
        <v>0.40166017600000004</v>
      </c>
      <c r="Y1442">
        <f t="shared" si="91"/>
        <v>18.5</v>
      </c>
      <c r="Z1442" s="1">
        <v>0</v>
      </c>
      <c r="AA1442">
        <v>100</v>
      </c>
      <c r="AB1442">
        <v>0</v>
      </c>
      <c r="AC1442">
        <v>0</v>
      </c>
      <c r="AD1442">
        <v>108</v>
      </c>
      <c r="AE1442">
        <v>0</v>
      </c>
      <c r="AF1442" t="s">
        <v>2589</v>
      </c>
      <c r="AG1442" t="s">
        <v>2591</v>
      </c>
    </row>
    <row r="1443" spans="1:33">
      <c r="A1443" s="2" t="s">
        <v>99</v>
      </c>
      <c r="B1443" s="2" t="s">
        <v>43</v>
      </c>
      <c r="C1443" s="1">
        <v>0.52525630099999998</v>
      </c>
      <c r="D1443">
        <v>0.68706170200000005</v>
      </c>
      <c r="E1443">
        <v>0.71473597300000002</v>
      </c>
      <c r="F1443" s="1" t="s">
        <v>100</v>
      </c>
      <c r="G1443" s="1">
        <v>1.72605042</v>
      </c>
      <c r="H1443" s="1">
        <v>46.5</v>
      </c>
      <c r="I1443" s="1">
        <v>59.5</v>
      </c>
      <c r="J1443" s="1">
        <v>0.64235132533333339</v>
      </c>
      <c r="K1443" s="1">
        <v>0.54180634699999997</v>
      </c>
      <c r="L1443" s="1">
        <v>0.59470779900000004</v>
      </c>
      <c r="M1443" s="3">
        <v>0.69518155599999998</v>
      </c>
      <c r="N1443" s="1" t="s">
        <v>44</v>
      </c>
      <c r="O1443" s="1">
        <v>1.7403685090000001</v>
      </c>
      <c r="P1443" s="1">
        <v>41.2</v>
      </c>
      <c r="Q1443" s="1">
        <v>59.7</v>
      </c>
      <c r="R1443" s="1">
        <v>0.61056523400000007</v>
      </c>
      <c r="S1443" s="1">
        <v>9.5841132329211445E-2</v>
      </c>
      <c r="T1443" t="s">
        <v>1590</v>
      </c>
      <c r="U1443" s="1">
        <v>7151</v>
      </c>
      <c r="V1443">
        <f t="shared" si="88"/>
        <v>0.42826297533787439</v>
      </c>
      <c r="W1443" s="1">
        <f t="shared" si="89"/>
        <v>5.2999999999999972</v>
      </c>
      <c r="X1443">
        <f t="shared" si="90"/>
        <v>1.4318089000000089E-2</v>
      </c>
      <c r="Y1443">
        <f t="shared" si="91"/>
        <v>0.20000000000000284</v>
      </c>
      <c r="Z1443" s="1">
        <v>0</v>
      </c>
      <c r="AA1443">
        <v>100</v>
      </c>
      <c r="AB1443">
        <v>0</v>
      </c>
      <c r="AC1443">
        <v>0</v>
      </c>
      <c r="AD1443">
        <v>130</v>
      </c>
      <c r="AE1443">
        <v>0</v>
      </c>
      <c r="AF1443" t="s">
        <v>2589</v>
      </c>
      <c r="AG1443" t="s">
        <v>2589</v>
      </c>
    </row>
    <row r="1444" spans="1:33">
      <c r="A1444" s="2" t="s">
        <v>99</v>
      </c>
      <c r="B1444" s="2" t="s">
        <v>45</v>
      </c>
      <c r="C1444" s="1">
        <v>0.52525630099999998</v>
      </c>
      <c r="D1444">
        <v>0.68706170200000005</v>
      </c>
      <c r="E1444">
        <v>0.71473597300000002</v>
      </c>
      <c r="F1444" s="1" t="s">
        <v>100</v>
      </c>
      <c r="G1444" s="1">
        <v>1.72605042</v>
      </c>
      <c r="H1444" s="1">
        <v>46.5</v>
      </c>
      <c r="I1444" s="1">
        <v>59.5</v>
      </c>
      <c r="J1444" s="1">
        <v>0.64235132533333339</v>
      </c>
      <c r="K1444" s="1">
        <v>0.50907007599999998</v>
      </c>
      <c r="L1444" s="1">
        <v>0.68428041399999995</v>
      </c>
      <c r="M1444" s="3">
        <v>0.67454742099999998</v>
      </c>
      <c r="N1444" s="1" t="s">
        <v>46</v>
      </c>
      <c r="O1444" s="1">
        <v>0.98140043799999999</v>
      </c>
      <c r="P1444" s="1">
        <v>38.9</v>
      </c>
      <c r="Q1444" s="1">
        <v>91.4</v>
      </c>
      <c r="R1444" s="1">
        <v>0.62263263699999993</v>
      </c>
      <c r="S1444" s="1">
        <v>4.3414849470501185E-2</v>
      </c>
      <c r="T1444" t="s">
        <v>1591</v>
      </c>
      <c r="U1444" s="1">
        <v>5110</v>
      </c>
      <c r="V1444">
        <f t="shared" si="88"/>
        <v>0.41204676668163476</v>
      </c>
      <c r="W1444" s="1">
        <f t="shared" si="89"/>
        <v>7.6000000000000014</v>
      </c>
      <c r="X1444">
        <f t="shared" si="90"/>
        <v>0.74464998199999999</v>
      </c>
      <c r="Y1444">
        <f t="shared" si="91"/>
        <v>31.900000000000006</v>
      </c>
      <c r="Z1444" s="1">
        <v>0</v>
      </c>
      <c r="AA1444">
        <v>100</v>
      </c>
      <c r="AB1444">
        <v>0</v>
      </c>
      <c r="AC1444">
        <v>0</v>
      </c>
      <c r="AD1444">
        <v>110</v>
      </c>
      <c r="AE1444">
        <v>0</v>
      </c>
      <c r="AF1444" t="s">
        <v>2589</v>
      </c>
      <c r="AG1444" t="s">
        <v>2589</v>
      </c>
    </row>
    <row r="1445" spans="1:33">
      <c r="A1445" s="2" t="s">
        <v>99</v>
      </c>
      <c r="B1445" s="2" t="s">
        <v>47</v>
      </c>
      <c r="C1445" s="1">
        <v>0.52525630099999998</v>
      </c>
      <c r="D1445">
        <v>0.68706170200000005</v>
      </c>
      <c r="E1445">
        <v>0.71473597300000002</v>
      </c>
      <c r="F1445" s="1" t="s">
        <v>100</v>
      </c>
      <c r="G1445" s="1">
        <v>1.72605042</v>
      </c>
      <c r="H1445" s="1">
        <v>46.5</v>
      </c>
      <c r="I1445" s="1">
        <v>59.5</v>
      </c>
      <c r="J1445" s="1">
        <v>0.64235132533333339</v>
      </c>
      <c r="K1445" s="1">
        <v>0.50612154099999995</v>
      </c>
      <c r="L1445" s="1">
        <v>0.55940039100000005</v>
      </c>
      <c r="M1445" s="3">
        <v>0.66789001699999995</v>
      </c>
      <c r="N1445" s="1" t="s">
        <v>48</v>
      </c>
      <c r="O1445" s="1">
        <v>1.242622951</v>
      </c>
      <c r="P1445" s="1">
        <v>17.8</v>
      </c>
      <c r="Q1445" s="1">
        <v>30.5</v>
      </c>
      <c r="R1445" s="1">
        <v>0.57780398300000002</v>
      </c>
      <c r="S1445" s="1">
        <v>0.13732477183687677</v>
      </c>
      <c r="T1445" t="s">
        <v>1592</v>
      </c>
      <c r="U1445" s="1">
        <v>8249</v>
      </c>
      <c r="V1445">
        <f t="shared" si="88"/>
        <v>0.43515570040043067</v>
      </c>
      <c r="W1445" s="1">
        <f t="shared" si="89"/>
        <v>28.7</v>
      </c>
      <c r="X1445">
        <f t="shared" si="90"/>
        <v>0.483427469</v>
      </c>
      <c r="Y1445">
        <f t="shared" si="91"/>
        <v>29</v>
      </c>
      <c r="Z1445" s="1">
        <v>0</v>
      </c>
      <c r="AA1445">
        <v>100</v>
      </c>
      <c r="AB1445">
        <v>0</v>
      </c>
      <c r="AC1445">
        <v>0</v>
      </c>
      <c r="AD1445">
        <v>117</v>
      </c>
      <c r="AE1445">
        <v>0</v>
      </c>
      <c r="AF1445" t="s">
        <v>2589</v>
      </c>
      <c r="AG1445" t="s">
        <v>2590</v>
      </c>
    </row>
    <row r="1446" spans="1:33">
      <c r="A1446" s="2" t="s">
        <v>99</v>
      </c>
      <c r="B1446" s="2" t="s">
        <v>49</v>
      </c>
      <c r="C1446" s="1">
        <v>0.52525630099999998</v>
      </c>
      <c r="D1446">
        <v>0.68706170200000005</v>
      </c>
      <c r="E1446">
        <v>0.71473597300000002</v>
      </c>
      <c r="F1446" s="1" t="s">
        <v>100</v>
      </c>
      <c r="G1446" s="1">
        <v>1.72605042</v>
      </c>
      <c r="H1446" s="1">
        <v>46.5</v>
      </c>
      <c r="I1446" s="1">
        <v>59.5</v>
      </c>
      <c r="J1446" s="1">
        <v>0.64235132533333339</v>
      </c>
      <c r="K1446" s="1">
        <v>0.50647110500000003</v>
      </c>
      <c r="L1446" s="1">
        <v>0.55713136799999996</v>
      </c>
      <c r="M1446" s="3">
        <v>0.63402682300000002</v>
      </c>
      <c r="N1446" s="1" t="s">
        <v>50</v>
      </c>
      <c r="O1446" s="1">
        <v>1.876675603</v>
      </c>
      <c r="P1446" s="1">
        <v>28.8</v>
      </c>
      <c r="Q1446" s="1">
        <v>37.299999999999997</v>
      </c>
      <c r="R1446" s="1">
        <v>0.56587643200000004</v>
      </c>
      <c r="S1446" s="1">
        <v>0.15410626909971087</v>
      </c>
      <c r="T1446" t="s">
        <v>1593</v>
      </c>
      <c r="U1446" s="1">
        <v>3242</v>
      </c>
      <c r="V1446">
        <f t="shared" si="88"/>
        <v>0.39009033450138841</v>
      </c>
      <c r="W1446" s="1">
        <f t="shared" si="89"/>
        <v>17.7</v>
      </c>
      <c r="X1446">
        <f t="shared" si="90"/>
        <v>0.15062518300000005</v>
      </c>
      <c r="Y1446">
        <f t="shared" si="91"/>
        <v>22.200000000000003</v>
      </c>
      <c r="Z1446" s="1">
        <v>0</v>
      </c>
      <c r="AA1446">
        <v>100</v>
      </c>
      <c r="AB1446">
        <v>0</v>
      </c>
      <c r="AC1446">
        <v>0</v>
      </c>
      <c r="AD1446">
        <v>91</v>
      </c>
      <c r="AE1446">
        <v>0</v>
      </c>
      <c r="AF1446" t="s">
        <v>2589</v>
      </c>
      <c r="AG1446" t="s">
        <v>2590</v>
      </c>
    </row>
    <row r="1447" spans="1:33">
      <c r="A1447" s="2" t="s">
        <v>99</v>
      </c>
      <c r="B1447" s="2" t="s">
        <v>51</v>
      </c>
      <c r="C1447" s="1">
        <v>0.52525630099999998</v>
      </c>
      <c r="D1447">
        <v>0.68706170200000005</v>
      </c>
      <c r="E1447">
        <v>0.71473597300000002</v>
      </c>
      <c r="F1447" s="1" t="s">
        <v>100</v>
      </c>
      <c r="G1447" s="1">
        <v>1.72605042</v>
      </c>
      <c r="H1447" s="1">
        <v>46.5</v>
      </c>
      <c r="I1447" s="1">
        <v>59.5</v>
      </c>
      <c r="J1447" s="1">
        <v>0.64235132533333339</v>
      </c>
      <c r="K1447" s="1">
        <v>0.60067161999999996</v>
      </c>
      <c r="L1447" s="1">
        <v>0.68094129999999997</v>
      </c>
      <c r="M1447" s="3">
        <v>0.73595931299999995</v>
      </c>
      <c r="N1447" s="1" t="s">
        <v>52</v>
      </c>
      <c r="O1447" s="1">
        <v>1.858638743</v>
      </c>
      <c r="P1447" s="1">
        <v>29.4</v>
      </c>
      <c r="Q1447" s="1">
        <v>38.200000000000003</v>
      </c>
      <c r="R1447" s="1">
        <v>0.67252407766666666</v>
      </c>
      <c r="S1447" s="1">
        <v>7.8583457682065386E-2</v>
      </c>
      <c r="T1447" t="s">
        <v>1594</v>
      </c>
      <c r="U1447" s="1">
        <v>419</v>
      </c>
      <c r="V1447">
        <f t="shared" si="88"/>
        <v>0.29135711366292166</v>
      </c>
      <c r="W1447" s="1">
        <f t="shared" si="89"/>
        <v>17.100000000000001</v>
      </c>
      <c r="X1447">
        <f t="shared" si="90"/>
        <v>0.13258832300000001</v>
      </c>
      <c r="Y1447">
        <f t="shared" si="91"/>
        <v>21.299999999999997</v>
      </c>
      <c r="Z1447" s="1">
        <v>0</v>
      </c>
      <c r="AA1447">
        <v>100</v>
      </c>
      <c r="AB1447">
        <v>0</v>
      </c>
      <c r="AC1447">
        <v>0</v>
      </c>
      <c r="AD1447">
        <v>100</v>
      </c>
      <c r="AE1447">
        <v>0</v>
      </c>
      <c r="AF1447" t="s">
        <v>2589</v>
      </c>
      <c r="AG1447" t="s">
        <v>2591</v>
      </c>
    </row>
    <row r="1448" spans="1:33">
      <c r="A1448" s="2" t="s">
        <v>99</v>
      </c>
      <c r="B1448" s="2" t="s">
        <v>53</v>
      </c>
      <c r="C1448" s="1">
        <v>0.52525630099999998</v>
      </c>
      <c r="D1448">
        <v>0.68706170200000005</v>
      </c>
      <c r="E1448">
        <v>0.71473597300000002</v>
      </c>
      <c r="F1448" s="1" t="s">
        <v>100</v>
      </c>
      <c r="G1448" s="1">
        <v>1.72605042</v>
      </c>
      <c r="H1448" s="1">
        <v>46.5</v>
      </c>
      <c r="I1448" s="1">
        <v>59.5</v>
      </c>
      <c r="J1448" s="1">
        <v>0.64235132533333339</v>
      </c>
      <c r="K1448" s="1">
        <v>0.54695832700000002</v>
      </c>
      <c r="L1448" s="1">
        <v>0.659790137</v>
      </c>
      <c r="M1448" s="3">
        <v>0.70662085500000005</v>
      </c>
      <c r="N1448" s="1" t="s">
        <v>54</v>
      </c>
      <c r="O1448" s="1">
        <v>2.5053995680000001</v>
      </c>
      <c r="P1448" s="1">
        <v>43.9</v>
      </c>
      <c r="Q1448" s="1">
        <v>46.3</v>
      </c>
      <c r="R1448" s="1">
        <v>0.63778977300000006</v>
      </c>
      <c r="S1448" s="1">
        <v>3.5785071331601803E-2</v>
      </c>
      <c r="T1448" t="s">
        <v>1595</v>
      </c>
      <c r="U1448" s="1">
        <v>1384</v>
      </c>
      <c r="V1448">
        <f t="shared" si="88"/>
        <v>0.34901512112452654</v>
      </c>
      <c r="W1448" s="1">
        <f t="shared" si="89"/>
        <v>2.6000000000000014</v>
      </c>
      <c r="X1448">
        <f t="shared" si="90"/>
        <v>0.7793491480000001</v>
      </c>
      <c r="Y1448">
        <f t="shared" si="91"/>
        <v>13.200000000000003</v>
      </c>
      <c r="Z1448" s="1">
        <v>0</v>
      </c>
      <c r="AA1448">
        <v>100</v>
      </c>
      <c r="AB1448">
        <v>0</v>
      </c>
      <c r="AC1448">
        <v>0</v>
      </c>
      <c r="AD1448">
        <v>100</v>
      </c>
      <c r="AE1448">
        <v>0</v>
      </c>
      <c r="AF1448" t="s">
        <v>2589</v>
      </c>
      <c r="AG1448" t="s">
        <v>2593</v>
      </c>
    </row>
    <row r="1449" spans="1:33">
      <c r="A1449" s="2" t="s">
        <v>99</v>
      </c>
      <c r="B1449" s="2" t="s">
        <v>55</v>
      </c>
      <c r="C1449" s="1">
        <v>0.52525630099999998</v>
      </c>
      <c r="D1449">
        <v>0.68706170200000005</v>
      </c>
      <c r="E1449">
        <v>0.71473597300000002</v>
      </c>
      <c r="F1449" s="1" t="s">
        <v>100</v>
      </c>
      <c r="G1449" s="1">
        <v>1.72605042</v>
      </c>
      <c r="H1449" s="1">
        <v>46.5</v>
      </c>
      <c r="I1449" s="1">
        <v>59.5</v>
      </c>
      <c r="J1449" s="1">
        <v>0.64235132533333339</v>
      </c>
      <c r="K1449" s="1">
        <v>0.52971861799999997</v>
      </c>
      <c r="L1449" s="1">
        <v>0.62258244500000004</v>
      </c>
      <c r="M1449" s="3">
        <v>0.63939760400000001</v>
      </c>
      <c r="N1449" s="1" t="s">
        <v>56</v>
      </c>
      <c r="O1449" s="1">
        <v>1.0796934869999999</v>
      </c>
      <c r="P1449" s="1">
        <v>55.3</v>
      </c>
      <c r="Q1449" s="1">
        <v>130.5</v>
      </c>
      <c r="R1449" s="1">
        <v>0.59723288899999993</v>
      </c>
      <c r="S1449" s="1">
        <v>9.9264075575510702E-2</v>
      </c>
      <c r="T1449" t="s">
        <v>1596</v>
      </c>
      <c r="U1449" s="1">
        <v>3003</v>
      </c>
      <c r="V1449">
        <f t="shared" si="88"/>
        <v>0.38639503691099786</v>
      </c>
      <c r="W1449" s="1">
        <f t="shared" si="89"/>
        <v>8.7999999999999972</v>
      </c>
      <c r="X1449">
        <f t="shared" si="90"/>
        <v>0.64635693300000008</v>
      </c>
      <c r="Y1449">
        <f t="shared" si="91"/>
        <v>71</v>
      </c>
      <c r="Z1449" s="1">
        <v>0</v>
      </c>
      <c r="AA1449">
        <v>100</v>
      </c>
      <c r="AB1449">
        <v>0</v>
      </c>
      <c r="AC1449">
        <v>0</v>
      </c>
      <c r="AD1449">
        <v>92</v>
      </c>
      <c r="AE1449">
        <v>0</v>
      </c>
      <c r="AF1449" t="s">
        <v>2589</v>
      </c>
      <c r="AG1449" t="s">
        <v>2592</v>
      </c>
    </row>
    <row r="1450" spans="1:33">
      <c r="A1450" s="2" t="s">
        <v>99</v>
      </c>
      <c r="B1450" s="2" t="s">
        <v>57</v>
      </c>
      <c r="C1450" s="1">
        <v>0.52525630099999998</v>
      </c>
      <c r="D1450">
        <v>0.68706170200000005</v>
      </c>
      <c r="E1450">
        <v>0.71473597300000002</v>
      </c>
      <c r="F1450" s="1" t="s">
        <v>100</v>
      </c>
      <c r="G1450" s="1">
        <v>1.72605042</v>
      </c>
      <c r="H1450" s="1">
        <v>46.5</v>
      </c>
      <c r="I1450" s="1">
        <v>59.5</v>
      </c>
      <c r="J1450" s="1">
        <v>0.64235132533333339</v>
      </c>
      <c r="K1450" s="1">
        <v>0.528732855</v>
      </c>
      <c r="L1450" s="1">
        <v>0.63387497599999998</v>
      </c>
      <c r="M1450" s="3">
        <v>0.63337360200000004</v>
      </c>
      <c r="N1450" s="1" t="s">
        <v>58</v>
      </c>
      <c r="O1450" s="1">
        <v>1.386610879</v>
      </c>
      <c r="P1450" s="1">
        <v>69</v>
      </c>
      <c r="Q1450" s="1">
        <v>119.5</v>
      </c>
      <c r="R1450" s="1">
        <v>0.59866047766666663</v>
      </c>
      <c r="S1450" s="1">
        <v>9.7266385072416667E-2</v>
      </c>
      <c r="T1450" t="s">
        <v>1597</v>
      </c>
      <c r="U1450" s="1">
        <v>19909</v>
      </c>
      <c r="V1450">
        <f t="shared" si="88"/>
        <v>0.47767216073305996</v>
      </c>
      <c r="W1450" s="1">
        <f t="shared" si="89"/>
        <v>22.5</v>
      </c>
      <c r="X1450">
        <f t="shared" si="90"/>
        <v>0.33943954099999996</v>
      </c>
      <c r="Y1450">
        <f t="shared" si="91"/>
        <v>60</v>
      </c>
      <c r="Z1450" s="1">
        <v>0</v>
      </c>
      <c r="AA1450">
        <v>100</v>
      </c>
      <c r="AB1450">
        <v>0</v>
      </c>
      <c r="AC1450">
        <v>0</v>
      </c>
      <c r="AD1450">
        <v>98</v>
      </c>
      <c r="AE1450">
        <v>0</v>
      </c>
      <c r="AF1450" t="s">
        <v>2589</v>
      </c>
      <c r="AG1450" t="s">
        <v>2589</v>
      </c>
    </row>
    <row r="1451" spans="1:33">
      <c r="A1451" s="2" t="s">
        <v>99</v>
      </c>
      <c r="B1451" s="2" t="s">
        <v>59</v>
      </c>
      <c r="C1451" s="1">
        <v>0.52525630099999998</v>
      </c>
      <c r="D1451">
        <v>0.68706170200000005</v>
      </c>
      <c r="E1451">
        <v>0.71473597300000002</v>
      </c>
      <c r="F1451" s="1" t="s">
        <v>100</v>
      </c>
      <c r="G1451" s="1">
        <v>1.72605042</v>
      </c>
      <c r="H1451" s="1">
        <v>46.5</v>
      </c>
      <c r="I1451" s="1">
        <v>59.5</v>
      </c>
      <c r="J1451" s="1">
        <v>0.64235132533333339</v>
      </c>
      <c r="K1451" s="1">
        <v>0.56225432799999997</v>
      </c>
      <c r="L1451" s="1">
        <v>0.68100706499999997</v>
      </c>
      <c r="M1451" s="3">
        <v>0.67505263699999996</v>
      </c>
      <c r="N1451" s="1" t="s">
        <v>60</v>
      </c>
      <c r="O1451" s="1">
        <v>1.1501154730000001</v>
      </c>
      <c r="P1451" s="1">
        <v>60.5</v>
      </c>
      <c r="Q1451" s="1">
        <v>129.9</v>
      </c>
      <c r="R1451" s="1">
        <v>0.63943801</v>
      </c>
      <c r="S1451" s="1">
        <v>5.4591938847996596E-2</v>
      </c>
      <c r="T1451" t="s">
        <v>1598</v>
      </c>
      <c r="U1451" s="1">
        <v>35897</v>
      </c>
      <c r="V1451">
        <f t="shared" si="88"/>
        <v>0.50611757278265213</v>
      </c>
      <c r="W1451" s="1">
        <f t="shared" si="89"/>
        <v>14</v>
      </c>
      <c r="X1451">
        <f t="shared" si="90"/>
        <v>0.57593494699999992</v>
      </c>
      <c r="Y1451">
        <f t="shared" si="91"/>
        <v>70.400000000000006</v>
      </c>
      <c r="Z1451" s="1">
        <v>0</v>
      </c>
      <c r="AA1451">
        <v>100</v>
      </c>
      <c r="AB1451">
        <v>0</v>
      </c>
      <c r="AC1451">
        <v>0</v>
      </c>
      <c r="AD1451">
        <v>117</v>
      </c>
      <c r="AE1451">
        <v>0</v>
      </c>
      <c r="AF1451" t="s">
        <v>2589</v>
      </c>
      <c r="AG1451" t="s">
        <v>2589</v>
      </c>
    </row>
    <row r="1452" spans="1:33">
      <c r="A1452" s="2" t="s">
        <v>99</v>
      </c>
      <c r="B1452" s="2" t="s">
        <v>61</v>
      </c>
      <c r="C1452" s="1">
        <v>0.52525630099999998</v>
      </c>
      <c r="D1452">
        <v>0.68706170200000005</v>
      </c>
      <c r="E1452">
        <v>0.71473597300000002</v>
      </c>
      <c r="F1452" s="1" t="s">
        <v>100</v>
      </c>
      <c r="G1452" s="1">
        <v>1.72605042</v>
      </c>
      <c r="H1452" s="1">
        <v>46.5</v>
      </c>
      <c r="I1452" s="1">
        <v>59.5</v>
      </c>
      <c r="J1452" s="1">
        <v>0.64235132533333339</v>
      </c>
      <c r="K1452" s="1">
        <v>0.62063455999999995</v>
      </c>
      <c r="L1452" s="1">
        <v>0.67798104299999995</v>
      </c>
      <c r="M1452" s="3">
        <v>0.72175371600000005</v>
      </c>
      <c r="N1452" s="1" t="s">
        <v>62</v>
      </c>
      <c r="O1452" s="1">
        <v>7.5471698109999998</v>
      </c>
      <c r="P1452" s="1">
        <v>26.4</v>
      </c>
      <c r="Q1452" s="1">
        <v>10.6</v>
      </c>
      <c r="R1452" s="1">
        <v>0.6734564396666668</v>
      </c>
      <c r="S1452" s="1">
        <v>9.6066223900804007E-2</v>
      </c>
      <c r="T1452" t="s">
        <v>1599</v>
      </c>
      <c r="U1452" s="1">
        <v>932</v>
      </c>
      <c r="V1452">
        <f t="shared" si="88"/>
        <v>0.32993510137266457</v>
      </c>
      <c r="W1452" s="1">
        <f t="shared" si="89"/>
        <v>20.100000000000001</v>
      </c>
      <c r="X1452">
        <f t="shared" si="90"/>
        <v>5.8211193909999999</v>
      </c>
      <c r="Y1452">
        <f t="shared" si="91"/>
        <v>48.9</v>
      </c>
      <c r="Z1452" s="1">
        <v>0</v>
      </c>
      <c r="AA1452">
        <v>100</v>
      </c>
      <c r="AB1452">
        <v>0</v>
      </c>
      <c r="AC1452">
        <v>0</v>
      </c>
      <c r="AD1452">
        <v>92</v>
      </c>
      <c r="AE1452">
        <v>0</v>
      </c>
      <c r="AF1452" t="s">
        <v>2589</v>
      </c>
      <c r="AG1452" t="s">
        <v>2588</v>
      </c>
    </row>
    <row r="1453" spans="1:33">
      <c r="A1453" s="2" t="s">
        <v>99</v>
      </c>
      <c r="B1453" s="2" t="s">
        <v>63</v>
      </c>
      <c r="C1453" s="1">
        <v>0.52525630099999998</v>
      </c>
      <c r="D1453">
        <v>0.68706170200000005</v>
      </c>
      <c r="E1453">
        <v>0.71473597300000002</v>
      </c>
      <c r="F1453" s="1" t="s">
        <v>100</v>
      </c>
      <c r="G1453" s="1">
        <v>1.72605042</v>
      </c>
      <c r="H1453" s="1">
        <v>46.5</v>
      </c>
      <c r="I1453" s="1">
        <v>59.5</v>
      </c>
      <c r="J1453" s="1">
        <v>0.64235132533333339</v>
      </c>
      <c r="K1453" s="1">
        <v>0.44311141399999998</v>
      </c>
      <c r="L1453" s="1">
        <v>0.57053969199999999</v>
      </c>
      <c r="M1453" s="3">
        <v>0.59266330599999995</v>
      </c>
      <c r="N1453" s="1" t="s">
        <v>64</v>
      </c>
      <c r="O1453" s="1">
        <v>0.89618138400000003</v>
      </c>
      <c r="P1453" s="1">
        <v>29.7</v>
      </c>
      <c r="Q1453" s="1">
        <v>83.8</v>
      </c>
      <c r="R1453" s="1">
        <v>0.53543813733333334</v>
      </c>
      <c r="S1453" s="1">
        <v>0.18768829825851105</v>
      </c>
      <c r="T1453" t="s">
        <v>1600</v>
      </c>
      <c r="U1453" s="1">
        <v>1312</v>
      </c>
      <c r="V1453">
        <f t="shared" si="88"/>
        <v>0.34643709278218238</v>
      </c>
      <c r="W1453" s="1">
        <f t="shared" si="89"/>
        <v>16.8</v>
      </c>
      <c r="X1453">
        <f t="shared" si="90"/>
        <v>0.82986903599999995</v>
      </c>
      <c r="Y1453">
        <f t="shared" si="91"/>
        <v>24.299999999999997</v>
      </c>
      <c r="Z1453" s="1">
        <v>0</v>
      </c>
      <c r="AA1453">
        <v>100</v>
      </c>
      <c r="AB1453">
        <v>0</v>
      </c>
      <c r="AC1453">
        <v>0</v>
      </c>
      <c r="AD1453">
        <v>99</v>
      </c>
      <c r="AE1453">
        <v>0</v>
      </c>
      <c r="AF1453" t="s">
        <v>2589</v>
      </c>
      <c r="AG1453" t="s">
        <v>2590</v>
      </c>
    </row>
    <row r="1454" spans="1:33">
      <c r="A1454" s="2" t="s">
        <v>99</v>
      </c>
      <c r="B1454" s="2" t="s">
        <v>65</v>
      </c>
      <c r="C1454" s="1">
        <v>0.52525630099999998</v>
      </c>
      <c r="D1454">
        <v>0.68706170200000005</v>
      </c>
      <c r="E1454">
        <v>0.71473597300000002</v>
      </c>
      <c r="F1454" s="1" t="s">
        <v>100</v>
      </c>
      <c r="G1454" s="1">
        <v>1.72605042</v>
      </c>
      <c r="H1454" s="1">
        <v>46.5</v>
      </c>
      <c r="I1454" s="1">
        <v>59.5</v>
      </c>
      <c r="J1454" s="1">
        <v>0.64235132533333339</v>
      </c>
      <c r="K1454" s="1">
        <v>0.67377447499999998</v>
      </c>
      <c r="L1454" s="1">
        <v>0.69144672900000004</v>
      </c>
      <c r="M1454" s="3">
        <v>0.73046409700000003</v>
      </c>
      <c r="N1454" s="1" t="s">
        <v>66</v>
      </c>
      <c r="O1454" s="1">
        <v>1.8507462690000001</v>
      </c>
      <c r="P1454" s="1">
        <v>34.5</v>
      </c>
      <c r="Q1454" s="1">
        <v>46.9</v>
      </c>
      <c r="R1454" s="1">
        <v>0.69856176700000006</v>
      </c>
      <c r="S1454" s="1">
        <v>0.14941301936124704</v>
      </c>
      <c r="T1454" t="s">
        <v>1601</v>
      </c>
      <c r="U1454" s="1">
        <v>435</v>
      </c>
      <c r="V1454">
        <f t="shared" si="88"/>
        <v>0.29316547299495971</v>
      </c>
      <c r="W1454" s="1">
        <f t="shared" si="89"/>
        <v>12</v>
      </c>
      <c r="X1454">
        <f t="shared" si="90"/>
        <v>0.12469584900000008</v>
      </c>
      <c r="Y1454">
        <f t="shared" si="91"/>
        <v>12.600000000000001</v>
      </c>
      <c r="Z1454" s="1">
        <v>0</v>
      </c>
      <c r="AA1454">
        <v>100</v>
      </c>
      <c r="AB1454">
        <v>0</v>
      </c>
      <c r="AC1454">
        <v>0</v>
      </c>
      <c r="AD1454">
        <v>81</v>
      </c>
      <c r="AE1454">
        <v>0</v>
      </c>
      <c r="AF1454" t="s">
        <v>2589</v>
      </c>
      <c r="AG1454" t="s">
        <v>2593</v>
      </c>
    </row>
    <row r="1455" spans="1:33">
      <c r="A1455" s="2" t="s">
        <v>99</v>
      </c>
      <c r="B1455" s="2" t="s">
        <v>67</v>
      </c>
      <c r="C1455" s="1">
        <v>0.52525630099999998</v>
      </c>
      <c r="D1455">
        <v>0.68706170200000005</v>
      </c>
      <c r="E1455">
        <v>0.71473597300000002</v>
      </c>
      <c r="F1455" s="1" t="s">
        <v>100</v>
      </c>
      <c r="G1455" s="1">
        <v>1.72605042</v>
      </c>
      <c r="H1455" s="1">
        <v>46.5</v>
      </c>
      <c r="I1455" s="1">
        <v>59.5</v>
      </c>
      <c r="J1455" s="1">
        <v>0.64235132533333339</v>
      </c>
      <c r="K1455" s="1">
        <v>0.53971122199999999</v>
      </c>
      <c r="L1455" s="1">
        <v>0.621203065</v>
      </c>
      <c r="M1455" s="3">
        <v>0.67806811499999997</v>
      </c>
      <c r="N1455" s="1" t="s">
        <v>68</v>
      </c>
      <c r="O1455" s="1">
        <v>1.5131894480000001</v>
      </c>
      <c r="P1455" s="1">
        <v>27.2</v>
      </c>
      <c r="Q1455" s="1">
        <v>41.7</v>
      </c>
      <c r="R1455" s="1">
        <v>0.61299413400000002</v>
      </c>
      <c r="S1455" s="1">
        <v>7.6751785770248923E-2</v>
      </c>
      <c r="T1455" t="s">
        <v>1602</v>
      </c>
      <c r="U1455" s="1">
        <v>1219</v>
      </c>
      <c r="V1455">
        <f t="shared" si="88"/>
        <v>0.34288930062426465</v>
      </c>
      <c r="W1455" s="1">
        <f t="shared" si="89"/>
        <v>19.3</v>
      </c>
      <c r="X1455">
        <f t="shared" si="90"/>
        <v>0.21286097199999987</v>
      </c>
      <c r="Y1455">
        <f t="shared" si="91"/>
        <v>17.799999999999997</v>
      </c>
      <c r="Z1455" s="1">
        <v>0</v>
      </c>
      <c r="AA1455">
        <v>100</v>
      </c>
      <c r="AB1455">
        <v>0</v>
      </c>
      <c r="AC1455">
        <v>0</v>
      </c>
      <c r="AD1455">
        <v>92</v>
      </c>
      <c r="AE1455">
        <v>0</v>
      </c>
      <c r="AF1455" t="s">
        <v>2589</v>
      </c>
      <c r="AG1455" t="s">
        <v>2588</v>
      </c>
    </row>
    <row r="1456" spans="1:33">
      <c r="A1456" s="2" t="s">
        <v>99</v>
      </c>
      <c r="B1456" s="2" t="s">
        <v>69</v>
      </c>
      <c r="C1456" s="1">
        <v>0.52525630099999998</v>
      </c>
      <c r="D1456">
        <v>0.68706170200000005</v>
      </c>
      <c r="E1456">
        <v>0.71473597300000002</v>
      </c>
      <c r="F1456" s="1" t="s">
        <v>100</v>
      </c>
      <c r="G1456" s="1">
        <v>1.72605042</v>
      </c>
      <c r="H1456" s="1">
        <v>46.5</v>
      </c>
      <c r="I1456" s="1">
        <v>59.5</v>
      </c>
      <c r="J1456" s="1">
        <v>0.64235132533333339</v>
      </c>
      <c r="K1456" s="1">
        <v>0.50188385300000005</v>
      </c>
      <c r="L1456" s="1">
        <v>0.64580031500000001</v>
      </c>
      <c r="M1456" s="3">
        <v>0.66006355800000005</v>
      </c>
      <c r="N1456" s="1" t="s">
        <v>70</v>
      </c>
      <c r="O1456" s="1">
        <v>1.2401055409999999</v>
      </c>
      <c r="P1456" s="1">
        <v>43.4</v>
      </c>
      <c r="Q1456" s="1">
        <v>75.8</v>
      </c>
      <c r="R1456" s="1">
        <v>0.60258257533333337</v>
      </c>
      <c r="S1456" s="1">
        <v>7.2372966946289377E-2</v>
      </c>
      <c r="T1456" t="s">
        <v>1603</v>
      </c>
      <c r="U1456" s="1">
        <v>7641</v>
      </c>
      <c r="V1456">
        <f t="shared" si="88"/>
        <v>0.43146113329814195</v>
      </c>
      <c r="W1456" s="1">
        <f t="shared" si="89"/>
        <v>3.1000000000000014</v>
      </c>
      <c r="X1456">
        <f t="shared" si="90"/>
        <v>0.48594487900000005</v>
      </c>
      <c r="Y1456">
        <f t="shared" si="91"/>
        <v>16.299999999999997</v>
      </c>
      <c r="Z1456" s="1">
        <v>0</v>
      </c>
      <c r="AA1456">
        <v>100</v>
      </c>
      <c r="AB1456">
        <v>0</v>
      </c>
      <c r="AC1456">
        <v>0</v>
      </c>
      <c r="AD1456">
        <v>99</v>
      </c>
      <c r="AE1456">
        <v>0</v>
      </c>
      <c r="AF1456" t="s">
        <v>2589</v>
      </c>
      <c r="AG1456" t="s">
        <v>2589</v>
      </c>
    </row>
    <row r="1457" spans="1:33">
      <c r="A1457" s="2" t="s">
        <v>99</v>
      </c>
      <c r="B1457" s="2" t="s">
        <v>71</v>
      </c>
      <c r="C1457" s="1">
        <v>0.52525630099999998</v>
      </c>
      <c r="D1457">
        <v>0.68706170200000005</v>
      </c>
      <c r="E1457">
        <v>0.71473597300000002</v>
      </c>
      <c r="F1457" s="1" t="s">
        <v>100</v>
      </c>
      <c r="G1457" s="1">
        <v>1.72605042</v>
      </c>
      <c r="H1457" s="1">
        <v>46.5</v>
      </c>
      <c r="I1457" s="1">
        <v>59.5</v>
      </c>
      <c r="J1457" s="1">
        <v>0.64235132533333339</v>
      </c>
      <c r="K1457" s="1">
        <v>0.53267569100000001</v>
      </c>
      <c r="L1457" s="1">
        <v>0.64507433599999997</v>
      </c>
      <c r="M1457" s="3">
        <v>0.66598465100000004</v>
      </c>
      <c r="N1457" s="1" t="s">
        <v>72</v>
      </c>
      <c r="O1457" s="1">
        <v>0.97289666900000005</v>
      </c>
      <c r="P1457" s="1">
        <v>64.8</v>
      </c>
      <c r="Q1457" s="1">
        <v>177.1</v>
      </c>
      <c r="R1457" s="1">
        <v>0.61457822600000001</v>
      </c>
      <c r="S1457" s="1">
        <v>6.4766331132292382E-2</v>
      </c>
      <c r="T1457" t="s">
        <v>1604</v>
      </c>
      <c r="U1457" s="1">
        <v>79475</v>
      </c>
      <c r="V1457">
        <f t="shared" si="88"/>
        <v>0.54447005962075667</v>
      </c>
      <c r="W1457" s="1">
        <f t="shared" si="89"/>
        <v>18.299999999999997</v>
      </c>
      <c r="X1457">
        <f t="shared" si="90"/>
        <v>0.75315375099999993</v>
      </c>
      <c r="Y1457">
        <f t="shared" si="91"/>
        <v>117.6</v>
      </c>
      <c r="Z1457" s="1">
        <v>0</v>
      </c>
      <c r="AA1457">
        <v>100</v>
      </c>
      <c r="AB1457">
        <v>0</v>
      </c>
      <c r="AC1457">
        <v>0</v>
      </c>
      <c r="AD1457">
        <v>110</v>
      </c>
      <c r="AE1457">
        <v>0</v>
      </c>
      <c r="AF1457" t="s">
        <v>2589</v>
      </c>
      <c r="AG1457" t="s">
        <v>2589</v>
      </c>
    </row>
    <row r="1458" spans="1:33">
      <c r="A1458" s="2" t="s">
        <v>99</v>
      </c>
      <c r="B1458" s="2" t="s">
        <v>73</v>
      </c>
      <c r="C1458" s="1">
        <v>0.52525630099999998</v>
      </c>
      <c r="D1458">
        <v>0.68706170200000005</v>
      </c>
      <c r="E1458">
        <v>0.71473597300000002</v>
      </c>
      <c r="F1458" s="1" t="s">
        <v>100</v>
      </c>
      <c r="G1458" s="1">
        <v>1.72605042</v>
      </c>
      <c r="H1458" s="1">
        <v>46.5</v>
      </c>
      <c r="I1458" s="1">
        <v>59.5</v>
      </c>
      <c r="J1458" s="1">
        <v>0.64235132533333339</v>
      </c>
      <c r="K1458" s="1">
        <v>0.55697925299999995</v>
      </c>
      <c r="L1458" s="1">
        <v>0.64461978399999997</v>
      </c>
      <c r="M1458" s="3">
        <v>0.69570690000000002</v>
      </c>
      <c r="N1458" s="1" t="s">
        <v>74</v>
      </c>
      <c r="O1458" s="1">
        <v>1.23433584</v>
      </c>
      <c r="P1458" s="1">
        <v>44</v>
      </c>
      <c r="Q1458" s="1">
        <v>79.8</v>
      </c>
      <c r="R1458" s="1">
        <v>0.63243531233333328</v>
      </c>
      <c r="S1458" s="1">
        <v>5.6300690105471729E-2</v>
      </c>
      <c r="T1458" t="s">
        <v>1605</v>
      </c>
      <c r="U1458" s="1">
        <v>6604</v>
      </c>
      <c r="V1458">
        <f t="shared" si="88"/>
        <v>0.42442300717675063</v>
      </c>
      <c r="W1458" s="1">
        <f t="shared" si="89"/>
        <v>2.5</v>
      </c>
      <c r="X1458">
        <f t="shared" si="90"/>
        <v>0.49171458000000001</v>
      </c>
      <c r="Y1458">
        <f t="shared" si="91"/>
        <v>20.299999999999997</v>
      </c>
      <c r="Z1458" s="1">
        <v>0</v>
      </c>
      <c r="AA1458">
        <v>100</v>
      </c>
      <c r="AB1458">
        <v>0</v>
      </c>
      <c r="AC1458">
        <v>0</v>
      </c>
      <c r="AD1458">
        <v>95</v>
      </c>
      <c r="AE1458">
        <v>0</v>
      </c>
      <c r="AF1458" t="s">
        <v>2589</v>
      </c>
      <c r="AG1458" t="s">
        <v>2589</v>
      </c>
    </row>
    <row r="1459" spans="1:33">
      <c r="A1459" s="2" t="s">
        <v>99</v>
      </c>
      <c r="B1459" s="2" t="s">
        <v>75</v>
      </c>
      <c r="C1459" s="1">
        <v>0.52525630099999998</v>
      </c>
      <c r="D1459">
        <v>0.68706170200000005</v>
      </c>
      <c r="E1459">
        <v>0.71473597300000002</v>
      </c>
      <c r="F1459" s="1" t="s">
        <v>100</v>
      </c>
      <c r="G1459" s="1">
        <v>1.72605042</v>
      </c>
      <c r="H1459" s="1">
        <v>46.5</v>
      </c>
      <c r="I1459" s="1">
        <v>59.5</v>
      </c>
      <c r="J1459" s="1">
        <v>0.64235132533333339</v>
      </c>
      <c r="K1459" s="1">
        <v>0.50354843500000002</v>
      </c>
      <c r="L1459" s="1">
        <v>0.59724402499999996</v>
      </c>
      <c r="M1459" s="3">
        <v>0.70308254199999998</v>
      </c>
      <c r="N1459" s="1" t="s">
        <v>76</v>
      </c>
      <c r="O1459" s="1">
        <v>1.2696850390000001</v>
      </c>
      <c r="P1459" s="1">
        <v>26.6</v>
      </c>
      <c r="Q1459" s="1">
        <v>50.8</v>
      </c>
      <c r="R1459" s="1">
        <v>0.60129166733333339</v>
      </c>
      <c r="S1459" s="1">
        <v>9.3135648395348936E-2</v>
      </c>
      <c r="T1459" t="s">
        <v>1606</v>
      </c>
      <c r="U1459" s="1">
        <v>3606</v>
      </c>
      <c r="V1459">
        <f t="shared" si="88"/>
        <v>0.39522508026515368</v>
      </c>
      <c r="W1459" s="1">
        <f t="shared" si="89"/>
        <v>19.899999999999999</v>
      </c>
      <c r="X1459">
        <f t="shared" si="90"/>
        <v>0.4563653809999999</v>
      </c>
      <c r="Y1459">
        <f t="shared" si="91"/>
        <v>8.7000000000000028</v>
      </c>
      <c r="Z1459" s="1">
        <v>0</v>
      </c>
      <c r="AA1459">
        <v>100</v>
      </c>
      <c r="AB1459">
        <v>0</v>
      </c>
      <c r="AC1459">
        <v>0</v>
      </c>
      <c r="AD1459">
        <v>95</v>
      </c>
      <c r="AE1459">
        <v>0</v>
      </c>
      <c r="AF1459" t="s">
        <v>2589</v>
      </c>
      <c r="AG1459" t="s">
        <v>2594</v>
      </c>
    </row>
    <row r="1460" spans="1:33">
      <c r="A1460" s="2" t="s">
        <v>99</v>
      </c>
      <c r="B1460" s="2" t="s">
        <v>77</v>
      </c>
      <c r="C1460" s="1">
        <v>0.52525630099999998</v>
      </c>
      <c r="D1460">
        <v>0.68706170200000005</v>
      </c>
      <c r="E1460">
        <v>0.71473597300000002</v>
      </c>
      <c r="F1460" s="1" t="s">
        <v>100</v>
      </c>
      <c r="G1460" s="1">
        <v>1.72605042</v>
      </c>
      <c r="H1460" s="1">
        <v>46.5</v>
      </c>
      <c r="I1460" s="1">
        <v>59.5</v>
      </c>
      <c r="J1460" s="1">
        <v>0.64235132533333339</v>
      </c>
      <c r="K1460" s="1">
        <v>0.54630843299999998</v>
      </c>
      <c r="L1460" s="1">
        <v>0.68935555900000001</v>
      </c>
      <c r="M1460" s="3">
        <v>0.65478744899999997</v>
      </c>
      <c r="N1460" s="1" t="s">
        <v>78</v>
      </c>
      <c r="O1460" s="1">
        <v>1.3914285710000001</v>
      </c>
      <c r="P1460" s="1">
        <v>56.5</v>
      </c>
      <c r="Q1460" s="1">
        <v>105</v>
      </c>
      <c r="R1460" s="1">
        <v>0.63015048033333343</v>
      </c>
      <c r="S1460" s="1">
        <v>6.3578923956453176E-2</v>
      </c>
      <c r="T1460" t="s">
        <v>1607</v>
      </c>
      <c r="U1460" s="1">
        <v>1660</v>
      </c>
      <c r="V1460">
        <f t="shared" si="88"/>
        <v>0.35778978756000612</v>
      </c>
      <c r="W1460" s="1">
        <f t="shared" si="89"/>
        <v>10</v>
      </c>
      <c r="X1460">
        <f t="shared" si="90"/>
        <v>0.33462184899999992</v>
      </c>
      <c r="Y1460">
        <f t="shared" si="91"/>
        <v>45.5</v>
      </c>
      <c r="Z1460" s="1">
        <v>0</v>
      </c>
      <c r="AA1460">
        <v>100</v>
      </c>
      <c r="AB1460">
        <v>0</v>
      </c>
      <c r="AC1460">
        <v>0</v>
      </c>
      <c r="AD1460">
        <v>84</v>
      </c>
      <c r="AE1460">
        <v>0</v>
      </c>
      <c r="AF1460" t="s">
        <v>2589</v>
      </c>
      <c r="AG1460" t="s">
        <v>2590</v>
      </c>
    </row>
    <row r="1461" spans="1:33">
      <c r="A1461" s="2" t="s">
        <v>99</v>
      </c>
      <c r="B1461" s="2" t="s">
        <v>79</v>
      </c>
      <c r="C1461" s="1">
        <v>0.52525630099999998</v>
      </c>
      <c r="D1461">
        <v>0.68706170200000005</v>
      </c>
      <c r="E1461">
        <v>0.71473597300000002</v>
      </c>
      <c r="F1461" s="1" t="s">
        <v>100</v>
      </c>
      <c r="G1461" s="1">
        <v>1.72605042</v>
      </c>
      <c r="H1461" s="1">
        <v>46.5</v>
      </c>
      <c r="I1461" s="1">
        <v>59.5</v>
      </c>
      <c r="J1461" s="1">
        <v>0.64235132533333339</v>
      </c>
      <c r="K1461" s="1">
        <v>0.63652882899999996</v>
      </c>
      <c r="L1461" s="1">
        <v>0.77536518600000004</v>
      </c>
      <c r="M1461" s="3">
        <v>0.610415606</v>
      </c>
      <c r="N1461" s="1" t="s">
        <v>80</v>
      </c>
      <c r="O1461" s="1">
        <v>0.95325542600000002</v>
      </c>
      <c r="P1461" s="1">
        <v>45.6</v>
      </c>
      <c r="Q1461" s="1">
        <v>119.8</v>
      </c>
      <c r="R1461" s="1">
        <v>0.67410320700000004</v>
      </c>
      <c r="S1461" s="1">
        <v>0.17624363745980656</v>
      </c>
      <c r="T1461" t="s">
        <v>1608</v>
      </c>
      <c r="U1461" s="1">
        <v>1624</v>
      </c>
      <c r="V1461">
        <f t="shared" si="88"/>
        <v>0.35673178054501736</v>
      </c>
      <c r="W1461" s="1">
        <f t="shared" si="89"/>
        <v>0.89999999999999858</v>
      </c>
      <c r="X1461">
        <f t="shared" si="90"/>
        <v>0.77279499399999996</v>
      </c>
      <c r="Y1461">
        <f t="shared" si="91"/>
        <v>60.3</v>
      </c>
      <c r="Z1461" s="1">
        <v>0</v>
      </c>
      <c r="AA1461">
        <v>100</v>
      </c>
      <c r="AB1461">
        <v>0</v>
      </c>
      <c r="AC1461">
        <v>0</v>
      </c>
      <c r="AD1461">
        <v>75</v>
      </c>
      <c r="AE1461">
        <v>0</v>
      </c>
      <c r="AF1461" t="s">
        <v>2589</v>
      </c>
      <c r="AG1461" t="s">
        <v>2590</v>
      </c>
    </row>
    <row r="1462" spans="1:33">
      <c r="A1462" s="2" t="s">
        <v>99</v>
      </c>
      <c r="B1462" s="2" t="s">
        <v>81</v>
      </c>
      <c r="C1462" s="1">
        <v>0.52525630099999998</v>
      </c>
      <c r="D1462">
        <v>0.68706170200000005</v>
      </c>
      <c r="E1462">
        <v>0.71473597300000002</v>
      </c>
      <c r="F1462" s="1" t="s">
        <v>100</v>
      </c>
      <c r="G1462" s="1">
        <v>1.72605042</v>
      </c>
      <c r="H1462" s="1">
        <v>46.5</v>
      </c>
      <c r="I1462" s="1">
        <v>59.5</v>
      </c>
      <c r="J1462" s="1">
        <v>0.64235132533333339</v>
      </c>
      <c r="K1462" s="1">
        <v>0.50183280699999999</v>
      </c>
      <c r="L1462" s="1">
        <v>0.68550824600000004</v>
      </c>
      <c r="M1462" s="3">
        <v>0.66941488999999998</v>
      </c>
      <c r="N1462" s="1" t="s">
        <v>82</v>
      </c>
      <c r="O1462" s="1">
        <v>1.4359576970000001</v>
      </c>
      <c r="P1462" s="1">
        <v>51</v>
      </c>
      <c r="Q1462" s="1">
        <v>85.1</v>
      </c>
      <c r="R1462" s="1">
        <v>0.61891864766666671</v>
      </c>
      <c r="S1462" s="1">
        <v>5.1039924186903569E-2</v>
      </c>
      <c r="T1462" t="s">
        <v>1609</v>
      </c>
      <c r="U1462" s="1">
        <v>18734</v>
      </c>
      <c r="V1462">
        <f t="shared" si="88"/>
        <v>0.47473672398822664</v>
      </c>
      <c r="W1462" s="1">
        <f t="shared" si="89"/>
        <v>4.5</v>
      </c>
      <c r="X1462">
        <f t="shared" si="90"/>
        <v>0.29009272299999989</v>
      </c>
      <c r="Y1462">
        <f t="shared" si="91"/>
        <v>25.599999999999994</v>
      </c>
      <c r="Z1462" s="1">
        <v>0</v>
      </c>
      <c r="AA1462">
        <v>100</v>
      </c>
      <c r="AB1462">
        <v>0</v>
      </c>
      <c r="AC1462">
        <v>0</v>
      </c>
      <c r="AD1462">
        <v>86</v>
      </c>
      <c r="AE1462">
        <v>0</v>
      </c>
      <c r="AF1462" t="s">
        <v>2589</v>
      </c>
      <c r="AG1462" t="s">
        <v>2589</v>
      </c>
    </row>
    <row r="1463" spans="1:33">
      <c r="A1463" s="2" t="s">
        <v>99</v>
      </c>
      <c r="B1463" s="2" t="s">
        <v>83</v>
      </c>
      <c r="C1463" s="1">
        <v>0.52525630099999998</v>
      </c>
      <c r="D1463">
        <v>0.68706170200000005</v>
      </c>
      <c r="E1463">
        <v>0.71473597300000002</v>
      </c>
      <c r="F1463" s="1" t="s">
        <v>100</v>
      </c>
      <c r="G1463" s="1">
        <v>1.72605042</v>
      </c>
      <c r="H1463" s="1">
        <v>46.5</v>
      </c>
      <c r="I1463" s="1">
        <v>59.5</v>
      </c>
      <c r="J1463" s="1">
        <v>0.64235132533333339</v>
      </c>
      <c r="K1463" s="1">
        <v>0.51815179099999997</v>
      </c>
      <c r="L1463" s="1">
        <v>0.50115949400000004</v>
      </c>
      <c r="M1463" s="3">
        <v>0.68053170600000001</v>
      </c>
      <c r="N1463" s="1" t="s">
        <v>84</v>
      </c>
      <c r="O1463" s="1">
        <v>1.760323887</v>
      </c>
      <c r="P1463" s="1">
        <v>83.4</v>
      </c>
      <c r="Q1463" s="1">
        <v>123.5</v>
      </c>
      <c r="R1463" s="1">
        <v>0.56661433033333342</v>
      </c>
      <c r="S1463" s="1">
        <v>0.18915611775098012</v>
      </c>
      <c r="T1463" t="s">
        <v>1610</v>
      </c>
      <c r="U1463" s="1">
        <v>40289</v>
      </c>
      <c r="V1463">
        <f t="shared" si="88"/>
        <v>0.5116873875602056</v>
      </c>
      <c r="W1463" s="1">
        <f t="shared" si="89"/>
        <v>36.900000000000006</v>
      </c>
      <c r="X1463">
        <f t="shared" si="90"/>
        <v>3.4273467000000002E-2</v>
      </c>
      <c r="Y1463">
        <f t="shared" si="91"/>
        <v>64</v>
      </c>
      <c r="Z1463" s="1">
        <v>0</v>
      </c>
      <c r="AA1463">
        <v>100</v>
      </c>
      <c r="AB1463">
        <v>0</v>
      </c>
      <c r="AC1463">
        <v>0</v>
      </c>
      <c r="AD1463">
        <v>81</v>
      </c>
      <c r="AE1463">
        <v>0</v>
      </c>
      <c r="AF1463" t="s">
        <v>2589</v>
      </c>
      <c r="AG1463" t="s">
        <v>2589</v>
      </c>
    </row>
    <row r="1464" spans="1:33">
      <c r="A1464" s="2" t="s">
        <v>99</v>
      </c>
      <c r="B1464" s="2" t="s">
        <v>85</v>
      </c>
      <c r="C1464" s="1">
        <v>0.52525630099999998</v>
      </c>
      <c r="D1464">
        <v>0.68706170200000005</v>
      </c>
      <c r="E1464">
        <v>0.71473597300000002</v>
      </c>
      <c r="F1464" s="1" t="s">
        <v>100</v>
      </c>
      <c r="G1464" s="1">
        <v>1.72605042</v>
      </c>
      <c r="H1464" s="1">
        <v>46.5</v>
      </c>
      <c r="I1464" s="1">
        <v>59.5</v>
      </c>
      <c r="J1464" s="1">
        <v>0.64235132533333339</v>
      </c>
      <c r="K1464" s="1">
        <v>0.522280945</v>
      </c>
      <c r="L1464" s="1">
        <v>0.58016629799999997</v>
      </c>
      <c r="M1464" s="3">
        <v>0.62446713499999995</v>
      </c>
      <c r="N1464" s="1" t="s">
        <v>86</v>
      </c>
      <c r="O1464" s="1">
        <v>0.57177615599999998</v>
      </c>
      <c r="P1464" s="1">
        <v>19.5</v>
      </c>
      <c r="Q1464" s="1">
        <v>82.2</v>
      </c>
      <c r="R1464" s="1">
        <v>0.57563812599999997</v>
      </c>
      <c r="S1464" s="1">
        <v>0.13994264272736964</v>
      </c>
      <c r="T1464" t="s">
        <v>1611</v>
      </c>
      <c r="U1464" s="1">
        <v>480</v>
      </c>
      <c r="V1464">
        <f t="shared" si="88"/>
        <v>0.29791569304173193</v>
      </c>
      <c r="W1464" s="1">
        <f t="shared" si="89"/>
        <v>27</v>
      </c>
      <c r="X1464">
        <f t="shared" si="90"/>
        <v>1.1542742640000001</v>
      </c>
      <c r="Y1464">
        <f t="shared" si="91"/>
        <v>22.700000000000003</v>
      </c>
      <c r="Z1464" s="1">
        <v>0</v>
      </c>
      <c r="AA1464">
        <v>100</v>
      </c>
      <c r="AB1464">
        <v>0</v>
      </c>
      <c r="AC1464">
        <v>0</v>
      </c>
      <c r="AD1464">
        <v>146</v>
      </c>
      <c r="AE1464">
        <v>0</v>
      </c>
      <c r="AF1464" t="s">
        <v>2589</v>
      </c>
      <c r="AG1464" t="s">
        <v>2590</v>
      </c>
    </row>
    <row r="1465" spans="1:33">
      <c r="A1465" s="2" t="s">
        <v>99</v>
      </c>
      <c r="B1465" s="2" t="s">
        <v>87</v>
      </c>
      <c r="C1465" s="1">
        <v>0.52525630099999998</v>
      </c>
      <c r="D1465">
        <v>0.68706170200000005</v>
      </c>
      <c r="E1465">
        <v>0.71473597300000002</v>
      </c>
      <c r="F1465" s="1" t="s">
        <v>100</v>
      </c>
      <c r="G1465" s="1">
        <v>1.72605042</v>
      </c>
      <c r="H1465" s="1">
        <v>46.5</v>
      </c>
      <c r="I1465" s="1">
        <v>59.5</v>
      </c>
      <c r="J1465" s="1">
        <v>0.64235132533333339</v>
      </c>
      <c r="K1465" s="1">
        <v>0.46780425199999998</v>
      </c>
      <c r="L1465" s="1">
        <v>0.54149707400000002</v>
      </c>
      <c r="M1465" s="3">
        <v>0.61626236400000001</v>
      </c>
      <c r="N1465" s="1" t="s">
        <v>88</v>
      </c>
      <c r="O1465" s="1">
        <v>1.395454545</v>
      </c>
      <c r="P1465" s="1">
        <v>65.2</v>
      </c>
      <c r="Q1465" s="1">
        <v>110</v>
      </c>
      <c r="R1465" s="1">
        <v>0.54185456333333337</v>
      </c>
      <c r="S1465" s="1">
        <v>0.18489686457201399</v>
      </c>
      <c r="T1465" t="s">
        <v>1612</v>
      </c>
      <c r="U1465" s="1">
        <v>13354</v>
      </c>
      <c r="V1465">
        <f t="shared" si="88"/>
        <v>0.45840126354416266</v>
      </c>
      <c r="W1465" s="1">
        <f t="shared" si="89"/>
        <v>18.700000000000003</v>
      </c>
      <c r="X1465">
        <f t="shared" si="90"/>
        <v>0.33059587499999998</v>
      </c>
      <c r="Y1465">
        <f t="shared" si="91"/>
        <v>50.5</v>
      </c>
      <c r="Z1465" s="1">
        <v>0</v>
      </c>
      <c r="AA1465">
        <v>100</v>
      </c>
      <c r="AB1465">
        <v>0</v>
      </c>
      <c r="AC1465">
        <v>0</v>
      </c>
      <c r="AD1465">
        <v>79</v>
      </c>
      <c r="AE1465">
        <v>0</v>
      </c>
      <c r="AF1465" t="s">
        <v>2589</v>
      </c>
      <c r="AG1465" t="s">
        <v>2590</v>
      </c>
    </row>
    <row r="1466" spans="1:33">
      <c r="A1466" s="2" t="s">
        <v>99</v>
      </c>
      <c r="B1466" s="2" t="s">
        <v>89</v>
      </c>
      <c r="C1466" s="1">
        <v>0.52525630099999998</v>
      </c>
      <c r="D1466">
        <v>0.68706170200000005</v>
      </c>
      <c r="E1466">
        <v>0.71473597300000002</v>
      </c>
      <c r="F1466" s="1" t="s">
        <v>100</v>
      </c>
      <c r="G1466" s="1">
        <v>1.72605042</v>
      </c>
      <c r="H1466" s="1">
        <v>46.5</v>
      </c>
      <c r="I1466" s="1">
        <v>59.5</v>
      </c>
      <c r="J1466" s="1">
        <v>0.64235132533333339</v>
      </c>
      <c r="K1466" s="1">
        <v>0.51097051500000001</v>
      </c>
      <c r="L1466" s="1">
        <v>0.61917891400000002</v>
      </c>
      <c r="M1466" s="3">
        <v>0.60984479800000002</v>
      </c>
      <c r="N1466" s="1" t="s">
        <v>90</v>
      </c>
      <c r="O1466" s="1">
        <v>1.429752066</v>
      </c>
      <c r="P1466" s="1">
        <v>59.8</v>
      </c>
      <c r="Q1466" s="1">
        <v>108.9</v>
      </c>
      <c r="R1466" s="1">
        <v>0.57999807566666661</v>
      </c>
      <c r="S1466" s="1">
        <v>0.1257549807410083</v>
      </c>
      <c r="T1466" t="s">
        <v>1613</v>
      </c>
      <c r="U1466" s="1">
        <v>15343</v>
      </c>
      <c r="V1466">
        <f t="shared" si="88"/>
        <v>0.46510114278230158</v>
      </c>
      <c r="W1466" s="1">
        <f t="shared" si="89"/>
        <v>13.299999999999997</v>
      </c>
      <c r="X1466">
        <f t="shared" si="90"/>
        <v>0.29629835399999993</v>
      </c>
      <c r="Y1466">
        <f t="shared" si="91"/>
        <v>49.400000000000006</v>
      </c>
      <c r="Z1466" s="1">
        <v>0</v>
      </c>
      <c r="AA1466">
        <v>100</v>
      </c>
      <c r="AB1466">
        <v>0</v>
      </c>
      <c r="AC1466">
        <v>0</v>
      </c>
      <c r="AD1466">
        <v>88</v>
      </c>
      <c r="AE1466">
        <v>0</v>
      </c>
      <c r="AF1466" t="s">
        <v>2589</v>
      </c>
      <c r="AG1466" t="s">
        <v>2589</v>
      </c>
    </row>
    <row r="1467" spans="1:33">
      <c r="A1467" s="2" t="s">
        <v>99</v>
      </c>
      <c r="B1467" s="2" t="s">
        <v>91</v>
      </c>
      <c r="C1467" s="1">
        <v>0.52525630099999998</v>
      </c>
      <c r="D1467">
        <v>0.68706170200000005</v>
      </c>
      <c r="E1467">
        <v>0.71473597300000002</v>
      </c>
      <c r="F1467" s="1" t="s">
        <v>100</v>
      </c>
      <c r="G1467" s="1">
        <v>1.72605042</v>
      </c>
      <c r="H1467" s="1">
        <v>46.5</v>
      </c>
      <c r="I1467" s="1">
        <v>59.5</v>
      </c>
      <c r="J1467" s="1">
        <v>0.64235132533333339</v>
      </c>
      <c r="K1467" s="1">
        <v>0.37439919700000002</v>
      </c>
      <c r="L1467" s="1">
        <v>0.508839347</v>
      </c>
      <c r="M1467" s="3">
        <v>0.52701193599999996</v>
      </c>
      <c r="N1467" s="1" t="s">
        <v>92</v>
      </c>
      <c r="O1467" s="1">
        <v>1.911504425</v>
      </c>
      <c r="P1467" s="1">
        <v>24.6</v>
      </c>
      <c r="Q1467" s="1">
        <v>33.9</v>
      </c>
      <c r="R1467" s="1">
        <v>0.47008349333333332</v>
      </c>
      <c r="S1467" s="1">
        <v>0.2996020489192126</v>
      </c>
      <c r="T1467" t="s">
        <v>1614</v>
      </c>
      <c r="U1467" s="1">
        <v>783</v>
      </c>
      <c r="V1467">
        <f t="shared" si="88"/>
        <v>0.32152908467310481</v>
      </c>
      <c r="W1467" s="1">
        <f t="shared" si="89"/>
        <v>21.9</v>
      </c>
      <c r="X1467">
        <f t="shared" si="90"/>
        <v>0.18545400499999998</v>
      </c>
      <c r="Y1467">
        <f t="shared" si="91"/>
        <v>25.6</v>
      </c>
      <c r="Z1467" s="1">
        <v>0</v>
      </c>
      <c r="AA1467">
        <v>100</v>
      </c>
      <c r="AB1467">
        <v>0</v>
      </c>
      <c r="AC1467">
        <v>0</v>
      </c>
      <c r="AD1467">
        <v>95</v>
      </c>
      <c r="AE1467">
        <v>0</v>
      </c>
      <c r="AF1467" t="s">
        <v>2589</v>
      </c>
      <c r="AG1467" t="s">
        <v>2590</v>
      </c>
    </row>
    <row r="1468" spans="1:33">
      <c r="A1468" s="2" t="s">
        <v>99</v>
      </c>
      <c r="B1468" s="2" t="s">
        <v>93</v>
      </c>
      <c r="C1468" s="1">
        <v>0.52525630099999998</v>
      </c>
      <c r="D1468">
        <v>0.68706170200000005</v>
      </c>
      <c r="E1468">
        <v>0.71473597300000002</v>
      </c>
      <c r="F1468" s="1" t="s">
        <v>100</v>
      </c>
      <c r="G1468" s="1">
        <v>1.72605042</v>
      </c>
      <c r="H1468" s="1">
        <v>46.5</v>
      </c>
      <c r="I1468" s="1">
        <v>59.5</v>
      </c>
      <c r="J1468" s="1">
        <v>0.64235132533333339</v>
      </c>
      <c r="K1468" s="1">
        <v>0.54134617200000001</v>
      </c>
      <c r="L1468" s="1">
        <v>0.674899633</v>
      </c>
      <c r="M1468" s="3">
        <v>0.719840174</v>
      </c>
      <c r="N1468" s="1" t="s">
        <v>94</v>
      </c>
      <c r="O1468" s="1">
        <v>1.175388967</v>
      </c>
      <c r="P1468" s="1">
        <v>36.6</v>
      </c>
      <c r="Q1468" s="1">
        <v>70.7</v>
      </c>
      <c r="R1468" s="1">
        <v>0.64536199299999997</v>
      </c>
      <c r="S1468" s="1">
        <v>2.0805113289905565E-2</v>
      </c>
      <c r="T1468" t="s">
        <v>1615</v>
      </c>
      <c r="U1468" s="1">
        <v>5751</v>
      </c>
      <c r="V1468">
        <f t="shared" si="88"/>
        <v>0.41774926306641391</v>
      </c>
      <c r="W1468" s="1">
        <f t="shared" si="89"/>
        <v>9.8999999999999986</v>
      </c>
      <c r="X1468">
        <f t="shared" si="90"/>
        <v>0.55066145300000002</v>
      </c>
      <c r="Y1468">
        <f t="shared" si="91"/>
        <v>11.200000000000003</v>
      </c>
      <c r="Z1468" s="1">
        <v>0</v>
      </c>
      <c r="AA1468">
        <v>100</v>
      </c>
      <c r="AB1468">
        <v>0</v>
      </c>
      <c r="AC1468">
        <v>0</v>
      </c>
      <c r="AD1468">
        <v>86</v>
      </c>
      <c r="AE1468">
        <v>0</v>
      </c>
      <c r="AF1468" t="s">
        <v>2589</v>
      </c>
      <c r="AG1468" t="s">
        <v>2589</v>
      </c>
    </row>
    <row r="1469" spans="1:33">
      <c r="A1469" s="2" t="s">
        <v>99</v>
      </c>
      <c r="B1469" s="2" t="s">
        <v>95</v>
      </c>
      <c r="C1469" s="1">
        <v>0.52525630099999998</v>
      </c>
      <c r="D1469">
        <v>0.68706170200000005</v>
      </c>
      <c r="E1469">
        <v>0.71473597300000002</v>
      </c>
      <c r="F1469" s="1" t="s">
        <v>100</v>
      </c>
      <c r="G1469" s="1">
        <v>1.72605042</v>
      </c>
      <c r="H1469" s="1">
        <v>46.5</v>
      </c>
      <c r="I1469" s="1">
        <v>59.5</v>
      </c>
      <c r="J1469" s="1">
        <v>0.64235132533333339</v>
      </c>
      <c r="K1469" s="1">
        <v>0.59462093100000002</v>
      </c>
      <c r="L1469" s="1">
        <v>0.68038960500000001</v>
      </c>
      <c r="M1469" s="3">
        <v>0.72533004899999998</v>
      </c>
      <c r="N1469" s="1" t="s">
        <v>96</v>
      </c>
      <c r="O1469" s="1">
        <v>1.9717647060000001</v>
      </c>
      <c r="P1469" s="1">
        <v>34.6</v>
      </c>
      <c r="Q1469" s="1">
        <v>42.5</v>
      </c>
      <c r="R1469" s="1">
        <v>0.66678019499999996</v>
      </c>
      <c r="S1469" s="1">
        <v>7.0485482332946325E-2</v>
      </c>
      <c r="T1469" t="s">
        <v>1616</v>
      </c>
      <c r="U1469" s="1">
        <v>341</v>
      </c>
      <c r="V1469">
        <f t="shared" si="88"/>
        <v>0.28141715322138861</v>
      </c>
      <c r="W1469" s="1">
        <f t="shared" si="89"/>
        <v>11.899999999999999</v>
      </c>
      <c r="X1469">
        <f t="shared" si="90"/>
        <v>0.24571428600000011</v>
      </c>
      <c r="Y1469">
        <f t="shared" si="91"/>
        <v>17</v>
      </c>
      <c r="Z1469" s="1">
        <v>0</v>
      </c>
      <c r="AA1469">
        <v>100</v>
      </c>
      <c r="AB1469">
        <v>0</v>
      </c>
      <c r="AC1469">
        <v>0</v>
      </c>
      <c r="AD1469">
        <v>92</v>
      </c>
      <c r="AE1469">
        <v>0</v>
      </c>
      <c r="AF1469" t="s">
        <v>2589</v>
      </c>
      <c r="AG1469" t="s">
        <v>2593</v>
      </c>
    </row>
    <row r="1470" spans="1:33">
      <c r="A1470" s="2" t="s">
        <v>99</v>
      </c>
      <c r="B1470" s="2" t="s">
        <v>97</v>
      </c>
      <c r="C1470" s="1">
        <v>0.52525630099999998</v>
      </c>
      <c r="D1470">
        <v>0.68706170200000005</v>
      </c>
      <c r="E1470">
        <v>0.71473597300000002</v>
      </c>
      <c r="F1470" s="1" t="s">
        <v>100</v>
      </c>
      <c r="G1470" s="1">
        <v>1.72605042</v>
      </c>
      <c r="H1470" s="1">
        <v>46.5</v>
      </c>
      <c r="I1470" s="1">
        <v>59.5</v>
      </c>
      <c r="J1470" s="1">
        <v>0.64235132533333339</v>
      </c>
      <c r="K1470" s="1">
        <v>0.63674842300000001</v>
      </c>
      <c r="L1470" s="1">
        <v>0.68532635500000005</v>
      </c>
      <c r="M1470" s="3">
        <v>0.727031494</v>
      </c>
      <c r="N1470" s="1" t="s">
        <v>98</v>
      </c>
      <c r="O1470" s="1">
        <v>2.360103627</v>
      </c>
      <c r="P1470" s="1">
        <v>36.799999999999997</v>
      </c>
      <c r="Q1470" s="1">
        <v>38.6</v>
      </c>
      <c r="R1470" s="1">
        <v>0.68303542400000017</v>
      </c>
      <c r="S1470" s="1">
        <v>0.11218148035185996</v>
      </c>
      <c r="T1470" t="s">
        <v>1617</v>
      </c>
      <c r="U1470" s="1">
        <v>202</v>
      </c>
      <c r="V1470">
        <f t="shared" si="88"/>
        <v>0.256150152160736</v>
      </c>
      <c r="W1470" s="1">
        <f t="shared" si="89"/>
        <v>9.7000000000000028</v>
      </c>
      <c r="X1470">
        <f t="shared" si="90"/>
        <v>0.63405320700000001</v>
      </c>
      <c r="Y1470">
        <f t="shared" si="91"/>
        <v>20.9</v>
      </c>
      <c r="Z1470" s="1">
        <v>0</v>
      </c>
      <c r="AA1470">
        <v>100</v>
      </c>
      <c r="AB1470">
        <v>0</v>
      </c>
      <c r="AC1470">
        <v>0</v>
      </c>
      <c r="AD1470">
        <v>92</v>
      </c>
      <c r="AE1470">
        <v>0</v>
      </c>
      <c r="AF1470" t="s">
        <v>2589</v>
      </c>
      <c r="AG1470" t="s">
        <v>2593</v>
      </c>
    </row>
    <row r="1471" spans="1:33">
      <c r="A1471" s="2" t="s">
        <v>97</v>
      </c>
      <c r="B1471" s="2" t="s">
        <v>10</v>
      </c>
      <c r="C1471" s="1">
        <v>0.63674842300000001</v>
      </c>
      <c r="D1471">
        <v>0.68532635500000005</v>
      </c>
      <c r="E1471">
        <v>0.727031494</v>
      </c>
      <c r="F1471" s="1" t="s">
        <v>98</v>
      </c>
      <c r="G1471" s="1">
        <v>2.360103627</v>
      </c>
      <c r="H1471" s="1">
        <v>36.799999999999997</v>
      </c>
      <c r="I1471" s="1">
        <v>38.6</v>
      </c>
      <c r="J1471" s="1">
        <v>0.68303542400000017</v>
      </c>
      <c r="K1471" s="1">
        <v>0.52456325500000001</v>
      </c>
      <c r="L1471" s="1">
        <v>0.61925627999999999</v>
      </c>
      <c r="M1471" s="3">
        <v>0.72111139899999999</v>
      </c>
      <c r="N1471" s="1" t="s">
        <v>12</v>
      </c>
      <c r="O1471" s="1">
        <v>0.61690647499999995</v>
      </c>
      <c r="P1471" s="1">
        <v>30</v>
      </c>
      <c r="Q1471" s="1">
        <v>111.2</v>
      </c>
      <c r="R1471" s="1">
        <v>0.62164364466666666</v>
      </c>
      <c r="S1471" s="1">
        <v>0.13032963690006538</v>
      </c>
      <c r="T1471" t="s">
        <v>1618</v>
      </c>
      <c r="U1471" s="1">
        <v>91</v>
      </c>
      <c r="V1471">
        <f t="shared" si="88"/>
        <v>0.21767126581345486</v>
      </c>
      <c r="W1471" s="1">
        <f t="shared" si="89"/>
        <v>6.7999999999999972</v>
      </c>
      <c r="X1471">
        <f t="shared" si="90"/>
        <v>1.743197152</v>
      </c>
      <c r="Y1471">
        <f t="shared" si="91"/>
        <v>72.599999999999994</v>
      </c>
      <c r="Z1471" s="1">
        <v>0</v>
      </c>
      <c r="AA1471">
        <v>100</v>
      </c>
      <c r="AB1471">
        <v>0</v>
      </c>
      <c r="AC1471">
        <v>0</v>
      </c>
      <c r="AD1471">
        <v>152</v>
      </c>
      <c r="AE1471">
        <v>0</v>
      </c>
      <c r="AF1471" t="s">
        <v>2593</v>
      </c>
      <c r="AG1471" t="s">
        <v>2588</v>
      </c>
    </row>
    <row r="1472" spans="1:33">
      <c r="A1472" s="2" t="s">
        <v>97</v>
      </c>
      <c r="B1472" s="2" t="s">
        <v>13</v>
      </c>
      <c r="C1472" s="1">
        <v>0.63674842300000001</v>
      </c>
      <c r="D1472">
        <v>0.68532635500000005</v>
      </c>
      <c r="E1472">
        <v>0.727031494</v>
      </c>
      <c r="F1472" s="1" t="s">
        <v>98</v>
      </c>
      <c r="G1472" s="1">
        <v>2.360103627</v>
      </c>
      <c r="H1472" s="1">
        <v>36.799999999999997</v>
      </c>
      <c r="I1472" s="1">
        <v>38.6</v>
      </c>
      <c r="J1472" s="1">
        <v>0.68303542400000017</v>
      </c>
      <c r="K1472" s="1">
        <v>0.48695497399999998</v>
      </c>
      <c r="L1472" s="1">
        <v>0.54991327199999995</v>
      </c>
      <c r="M1472" s="3">
        <v>0.67282609299999996</v>
      </c>
      <c r="N1472" s="1" t="s">
        <v>14</v>
      </c>
      <c r="O1472" s="1">
        <v>1.6052009460000001</v>
      </c>
      <c r="P1472" s="1">
        <v>26.6</v>
      </c>
      <c r="Q1472" s="1">
        <v>42.3</v>
      </c>
      <c r="R1472" s="1">
        <v>0.56989811299999993</v>
      </c>
      <c r="S1472" s="1">
        <v>0.20907655513818696</v>
      </c>
      <c r="T1472" t="s">
        <v>1619</v>
      </c>
      <c r="U1472" s="1">
        <v>122</v>
      </c>
      <c r="V1472">
        <f t="shared" si="88"/>
        <v>0.23181775896386092</v>
      </c>
      <c r="W1472" s="1">
        <f t="shared" si="89"/>
        <v>10.199999999999996</v>
      </c>
      <c r="X1472">
        <f t="shared" si="90"/>
        <v>0.75490268099999991</v>
      </c>
      <c r="Y1472">
        <f t="shared" si="91"/>
        <v>3.6999999999999957</v>
      </c>
      <c r="Z1472" s="1">
        <v>0</v>
      </c>
      <c r="AA1472">
        <v>100</v>
      </c>
      <c r="AB1472">
        <v>0</v>
      </c>
      <c r="AC1472">
        <v>0</v>
      </c>
      <c r="AD1472">
        <v>99</v>
      </c>
      <c r="AE1472">
        <v>0</v>
      </c>
      <c r="AF1472" t="s">
        <v>2593</v>
      </c>
      <c r="AG1472" t="s">
        <v>2590</v>
      </c>
    </row>
    <row r="1473" spans="1:33">
      <c r="A1473" s="2" t="s">
        <v>97</v>
      </c>
      <c r="B1473" s="2" t="s">
        <v>15</v>
      </c>
      <c r="C1473" s="1">
        <v>0.63674842300000001</v>
      </c>
      <c r="D1473">
        <v>0.68532635500000005</v>
      </c>
      <c r="E1473">
        <v>0.727031494</v>
      </c>
      <c r="F1473" s="1" t="s">
        <v>98</v>
      </c>
      <c r="G1473" s="1">
        <v>2.360103627</v>
      </c>
      <c r="H1473" s="1">
        <v>36.799999999999997</v>
      </c>
      <c r="I1473" s="1">
        <v>38.6</v>
      </c>
      <c r="J1473" s="1">
        <v>0.68303542400000017</v>
      </c>
      <c r="K1473" s="1">
        <v>0.54560998800000005</v>
      </c>
      <c r="L1473" s="1">
        <v>0.66721428400000005</v>
      </c>
      <c r="M1473" s="3">
        <v>0.72650398400000005</v>
      </c>
      <c r="N1473" s="1" t="s">
        <v>16</v>
      </c>
      <c r="O1473" s="1">
        <v>5.1392405060000002</v>
      </c>
      <c r="P1473" s="1">
        <v>35.9</v>
      </c>
      <c r="Q1473" s="1">
        <v>15.8</v>
      </c>
      <c r="R1473" s="1">
        <v>0.64644275200000012</v>
      </c>
      <c r="S1473" s="1">
        <v>9.2922224020728E-2</v>
      </c>
      <c r="T1473" t="s">
        <v>1620</v>
      </c>
      <c r="U1473" s="1">
        <v>9702</v>
      </c>
      <c r="V1473">
        <f t="shared" si="88"/>
        <v>0.44298458558778275</v>
      </c>
      <c r="W1473" s="1">
        <f t="shared" si="89"/>
        <v>0.89999999999999858</v>
      </c>
      <c r="X1473">
        <f t="shared" si="90"/>
        <v>2.7791368790000002</v>
      </c>
      <c r="Y1473">
        <f t="shared" si="91"/>
        <v>22.8</v>
      </c>
      <c r="Z1473" s="1">
        <v>15</v>
      </c>
      <c r="AA1473">
        <v>85</v>
      </c>
      <c r="AB1473">
        <v>0.17649999999999999</v>
      </c>
      <c r="AC1473">
        <v>18</v>
      </c>
      <c r="AD1473">
        <v>77</v>
      </c>
      <c r="AE1473">
        <v>0.23380000000000001</v>
      </c>
      <c r="AF1473" t="s">
        <v>2593</v>
      </c>
      <c r="AG1473" t="s">
        <v>2591</v>
      </c>
    </row>
    <row r="1474" spans="1:33">
      <c r="A1474" s="2" t="s">
        <v>97</v>
      </c>
      <c r="B1474" s="2" t="s">
        <v>17</v>
      </c>
      <c r="C1474" s="1">
        <v>0.63674842300000001</v>
      </c>
      <c r="D1474">
        <v>0.68532635500000005</v>
      </c>
      <c r="E1474">
        <v>0.727031494</v>
      </c>
      <c r="F1474" s="1" t="s">
        <v>98</v>
      </c>
      <c r="G1474" s="1">
        <v>2.360103627</v>
      </c>
      <c r="H1474" s="1">
        <v>36.799999999999997</v>
      </c>
      <c r="I1474" s="1">
        <v>38.6</v>
      </c>
      <c r="J1474" s="1">
        <v>0.68303542400000017</v>
      </c>
      <c r="K1474" s="1">
        <v>0.659112378</v>
      </c>
      <c r="L1474" s="1">
        <v>0.68333493499999998</v>
      </c>
      <c r="M1474" s="3">
        <v>0.70345495199999997</v>
      </c>
      <c r="N1474" s="1" t="s">
        <v>18</v>
      </c>
      <c r="O1474" s="1">
        <v>1.9463955639999999</v>
      </c>
      <c r="P1474" s="1">
        <v>46.3</v>
      </c>
      <c r="Q1474" s="1">
        <v>54.1</v>
      </c>
      <c r="R1474" s="1">
        <v>0.68196742166666668</v>
      </c>
      <c r="S1474" s="1">
        <v>3.2557112426260873E-2</v>
      </c>
      <c r="T1474" t="s">
        <v>1621</v>
      </c>
      <c r="U1474" s="1">
        <v>3305</v>
      </c>
      <c r="V1474">
        <f t="shared" ref="V1474:V1537" si="92">LOG10(U1474) / 9</f>
        <v>0.3910190515357399</v>
      </c>
      <c r="W1474" s="1">
        <f t="shared" ref="W1474:W1537" si="93">ABS(H1474-P1474)</f>
        <v>9.5</v>
      </c>
      <c r="X1474">
        <f t="shared" ref="X1474:X1537" si="94">ABS(G1474-O1474)</f>
        <v>0.41370806300000007</v>
      </c>
      <c r="Y1474">
        <f t="shared" ref="Y1474:Y1537" si="95">ABS(I1474-Q1474)</f>
        <v>15.5</v>
      </c>
      <c r="Z1474" s="1">
        <v>13</v>
      </c>
      <c r="AA1474">
        <v>87</v>
      </c>
      <c r="AB1474">
        <v>0.14940000000000001</v>
      </c>
      <c r="AC1474">
        <v>16</v>
      </c>
      <c r="AD1474">
        <v>93</v>
      </c>
      <c r="AE1474">
        <v>0.17199999999999999</v>
      </c>
      <c r="AF1474" t="s">
        <v>2593</v>
      </c>
      <c r="AG1474" t="s">
        <v>2591</v>
      </c>
    </row>
    <row r="1475" spans="1:33">
      <c r="A1475" s="2" t="s">
        <v>97</v>
      </c>
      <c r="B1475" s="2" t="s">
        <v>19</v>
      </c>
      <c r="C1475" s="1">
        <v>0.63674842300000001</v>
      </c>
      <c r="D1475">
        <v>0.68532635500000005</v>
      </c>
      <c r="E1475">
        <v>0.727031494</v>
      </c>
      <c r="F1475" s="1" t="s">
        <v>98</v>
      </c>
      <c r="G1475" s="1">
        <v>2.360103627</v>
      </c>
      <c r="H1475" s="1">
        <v>36.799999999999997</v>
      </c>
      <c r="I1475" s="1">
        <v>38.6</v>
      </c>
      <c r="J1475" s="1">
        <v>0.68303542400000017</v>
      </c>
      <c r="K1475" s="1">
        <v>0.49391595300000002</v>
      </c>
      <c r="L1475" s="1">
        <v>0.603599314</v>
      </c>
      <c r="M1475" s="3">
        <v>0.63481471599999995</v>
      </c>
      <c r="N1475" s="1" t="s">
        <v>20</v>
      </c>
      <c r="O1475" s="1">
        <v>1.2140902870000001</v>
      </c>
      <c r="P1475" s="1">
        <v>64.900000000000006</v>
      </c>
      <c r="Q1475" s="1">
        <v>146.19999999999999</v>
      </c>
      <c r="R1475" s="1">
        <v>0.57744332766666662</v>
      </c>
      <c r="S1475" s="1">
        <v>0.18863816650301149</v>
      </c>
      <c r="T1475" t="s">
        <v>1622</v>
      </c>
      <c r="U1475" s="1">
        <v>40075</v>
      </c>
      <c r="V1475">
        <f t="shared" si="92"/>
        <v>0.51143039233624255</v>
      </c>
      <c r="W1475" s="1">
        <f t="shared" si="93"/>
        <v>28.100000000000009</v>
      </c>
      <c r="X1475">
        <f t="shared" si="94"/>
        <v>1.1460133399999999</v>
      </c>
      <c r="Y1475">
        <f t="shared" si="95"/>
        <v>107.6</v>
      </c>
      <c r="Z1475" s="1">
        <v>3</v>
      </c>
      <c r="AA1475">
        <v>97</v>
      </c>
      <c r="AB1475">
        <v>3.09E-2</v>
      </c>
      <c r="AC1475">
        <v>3</v>
      </c>
      <c r="AD1475">
        <v>86</v>
      </c>
      <c r="AE1475">
        <v>3.49E-2</v>
      </c>
      <c r="AF1475" t="s">
        <v>2593</v>
      </c>
      <c r="AG1475" t="s">
        <v>2593</v>
      </c>
    </row>
    <row r="1476" spans="1:33">
      <c r="A1476" s="2" t="s">
        <v>97</v>
      </c>
      <c r="B1476" s="2" t="s">
        <v>21</v>
      </c>
      <c r="C1476" s="1">
        <v>0.63674842300000001</v>
      </c>
      <c r="D1476">
        <v>0.68532635500000005</v>
      </c>
      <c r="E1476">
        <v>0.727031494</v>
      </c>
      <c r="F1476" s="1" t="s">
        <v>98</v>
      </c>
      <c r="G1476" s="1">
        <v>2.360103627</v>
      </c>
      <c r="H1476" s="1">
        <v>36.799999999999997</v>
      </c>
      <c r="I1476" s="1">
        <v>38.6</v>
      </c>
      <c r="J1476" s="1">
        <v>0.68303542400000017</v>
      </c>
      <c r="K1476" s="1">
        <v>0.53276376800000003</v>
      </c>
      <c r="L1476" s="1">
        <v>0.65428149899999999</v>
      </c>
      <c r="M1476" s="3">
        <v>0.70160154799999996</v>
      </c>
      <c r="N1476" s="1" t="s">
        <v>22</v>
      </c>
      <c r="O1476" s="1">
        <v>1.2440604749999999</v>
      </c>
      <c r="P1476" s="1">
        <v>24.6</v>
      </c>
      <c r="Q1476" s="1">
        <v>46.3</v>
      </c>
      <c r="R1476" s="1">
        <v>0.62954893833333336</v>
      </c>
      <c r="S1476" s="1">
        <v>0.11145974032399628</v>
      </c>
      <c r="T1476" t="s">
        <v>1623</v>
      </c>
      <c r="U1476" s="1">
        <v>360</v>
      </c>
      <c r="V1476">
        <f t="shared" si="92"/>
        <v>0.28403361119636528</v>
      </c>
      <c r="W1476" s="1">
        <f t="shared" si="93"/>
        <v>12.199999999999996</v>
      </c>
      <c r="X1476">
        <f t="shared" si="94"/>
        <v>1.116043152</v>
      </c>
      <c r="Y1476">
        <f t="shared" si="95"/>
        <v>7.6999999999999957</v>
      </c>
      <c r="Z1476" s="1">
        <v>0</v>
      </c>
      <c r="AA1476">
        <v>100</v>
      </c>
      <c r="AB1476">
        <v>0</v>
      </c>
      <c r="AC1476">
        <v>0</v>
      </c>
      <c r="AD1476">
        <v>95</v>
      </c>
      <c r="AE1476">
        <v>0</v>
      </c>
      <c r="AF1476" t="s">
        <v>2593</v>
      </c>
      <c r="AG1476" t="s">
        <v>2589</v>
      </c>
    </row>
    <row r="1477" spans="1:33">
      <c r="A1477" s="2" t="s">
        <v>97</v>
      </c>
      <c r="B1477" s="2" t="s">
        <v>23</v>
      </c>
      <c r="C1477" s="1">
        <v>0.63674842300000001</v>
      </c>
      <c r="D1477">
        <v>0.68532635500000005</v>
      </c>
      <c r="E1477">
        <v>0.727031494</v>
      </c>
      <c r="F1477" s="1" t="s">
        <v>98</v>
      </c>
      <c r="G1477" s="1">
        <v>2.360103627</v>
      </c>
      <c r="H1477" s="1">
        <v>36.799999999999997</v>
      </c>
      <c r="I1477" s="1">
        <v>38.6</v>
      </c>
      <c r="J1477" s="1">
        <v>0.68303542400000017</v>
      </c>
      <c r="K1477" s="1">
        <v>0.49415677200000002</v>
      </c>
      <c r="L1477" s="1">
        <v>0.62090818999999997</v>
      </c>
      <c r="M1477" s="3">
        <v>0.63381026900000004</v>
      </c>
      <c r="N1477" s="1" t="s">
        <v>24</v>
      </c>
      <c r="O1477" s="1">
        <v>1.141304348</v>
      </c>
      <c r="P1477" s="1">
        <v>44.4</v>
      </c>
      <c r="Q1477" s="1">
        <v>101.2</v>
      </c>
      <c r="R1477" s="1">
        <v>0.58295841033333329</v>
      </c>
      <c r="S1477" s="1">
        <v>0.18213257728197241</v>
      </c>
      <c r="T1477" t="s">
        <v>1624</v>
      </c>
      <c r="U1477" s="1">
        <v>232</v>
      </c>
      <c r="V1477">
        <f t="shared" si="92"/>
        <v>0.26283199832121107</v>
      </c>
      <c r="W1477" s="1">
        <f t="shared" si="93"/>
        <v>7.6000000000000014</v>
      </c>
      <c r="X1477">
        <f t="shared" si="94"/>
        <v>1.218799279</v>
      </c>
      <c r="Y1477">
        <f t="shared" si="95"/>
        <v>62.6</v>
      </c>
      <c r="Z1477" s="1">
        <v>0</v>
      </c>
      <c r="AA1477">
        <v>100</v>
      </c>
      <c r="AB1477">
        <v>0</v>
      </c>
      <c r="AC1477">
        <v>0</v>
      </c>
      <c r="AD1477">
        <v>91</v>
      </c>
      <c r="AE1477">
        <v>0</v>
      </c>
      <c r="AF1477" t="s">
        <v>2593</v>
      </c>
      <c r="AG1477" t="s">
        <v>2590</v>
      </c>
    </row>
    <row r="1478" spans="1:33">
      <c r="A1478" s="2" t="s">
        <v>97</v>
      </c>
      <c r="B1478" s="2" t="s">
        <v>25</v>
      </c>
      <c r="C1478" s="1">
        <v>0.63674842300000001</v>
      </c>
      <c r="D1478">
        <v>0.68532635500000005</v>
      </c>
      <c r="E1478">
        <v>0.727031494</v>
      </c>
      <c r="F1478" s="1" t="s">
        <v>98</v>
      </c>
      <c r="G1478" s="1">
        <v>2.360103627</v>
      </c>
      <c r="H1478" s="1">
        <v>36.799999999999997</v>
      </c>
      <c r="I1478" s="1">
        <v>38.6</v>
      </c>
      <c r="J1478" s="1">
        <v>0.68303542400000017</v>
      </c>
      <c r="K1478" s="1">
        <v>0.53959274199999996</v>
      </c>
      <c r="L1478" s="1">
        <v>0.64971567399999997</v>
      </c>
      <c r="M1478" s="3">
        <v>0.65028459999999999</v>
      </c>
      <c r="N1478" s="1" t="s">
        <v>26</v>
      </c>
      <c r="O1478" s="1">
        <v>1.623046875</v>
      </c>
      <c r="P1478" s="1">
        <v>34.700000000000003</v>
      </c>
      <c r="Q1478" s="1">
        <v>51.2</v>
      </c>
      <c r="R1478" s="1">
        <v>0.61319767199999997</v>
      </c>
      <c r="S1478" s="1">
        <v>0.1288310237889336</v>
      </c>
      <c r="T1478" t="s">
        <v>1625</v>
      </c>
      <c r="U1478" s="1">
        <v>93</v>
      </c>
      <c r="V1478">
        <f t="shared" si="92"/>
        <v>0.21872032761710389</v>
      </c>
      <c r="W1478" s="1">
        <f t="shared" si="93"/>
        <v>2.0999999999999943</v>
      </c>
      <c r="X1478">
        <f t="shared" si="94"/>
        <v>0.73705675199999998</v>
      </c>
      <c r="Y1478">
        <f t="shared" si="95"/>
        <v>12.600000000000001</v>
      </c>
      <c r="Z1478" s="1">
        <v>0</v>
      </c>
      <c r="AA1478">
        <v>100</v>
      </c>
      <c r="AB1478">
        <v>0</v>
      </c>
      <c r="AC1478">
        <v>0</v>
      </c>
      <c r="AD1478">
        <v>93</v>
      </c>
      <c r="AE1478">
        <v>0</v>
      </c>
      <c r="AF1478" t="s">
        <v>2593</v>
      </c>
      <c r="AG1478" t="s">
        <v>2594</v>
      </c>
    </row>
    <row r="1479" spans="1:33">
      <c r="A1479" s="2" t="s">
        <v>97</v>
      </c>
      <c r="B1479" s="2" t="s">
        <v>27</v>
      </c>
      <c r="C1479" s="1">
        <v>0.63674842300000001</v>
      </c>
      <c r="D1479">
        <v>0.68532635500000005</v>
      </c>
      <c r="E1479">
        <v>0.727031494</v>
      </c>
      <c r="F1479" s="1" t="s">
        <v>98</v>
      </c>
      <c r="G1479" s="1">
        <v>2.360103627</v>
      </c>
      <c r="H1479" s="1">
        <v>36.799999999999997</v>
      </c>
      <c r="I1479" s="1">
        <v>38.6</v>
      </c>
      <c r="J1479" s="1">
        <v>0.68303542400000017</v>
      </c>
      <c r="K1479" s="1">
        <v>0.518608662</v>
      </c>
      <c r="L1479" s="1">
        <v>0.64320369700000002</v>
      </c>
      <c r="M1479" s="3">
        <v>0.62228994199999998</v>
      </c>
      <c r="N1479" s="1" t="s">
        <v>28</v>
      </c>
      <c r="O1479" s="1">
        <v>1.8717391299999999</v>
      </c>
      <c r="P1479" s="1">
        <v>33.700000000000003</v>
      </c>
      <c r="Q1479" s="1">
        <v>46</v>
      </c>
      <c r="R1479" s="1">
        <v>0.59470076699999996</v>
      </c>
      <c r="S1479" s="1">
        <v>0.16340781548472766</v>
      </c>
      <c r="T1479" t="s">
        <v>1626</v>
      </c>
      <c r="U1479" s="1">
        <v>76</v>
      </c>
      <c r="V1479">
        <f t="shared" si="92"/>
        <v>0.20897928803119903</v>
      </c>
      <c r="W1479" s="1">
        <f t="shared" si="93"/>
        <v>3.0999999999999943</v>
      </c>
      <c r="X1479">
        <f t="shared" si="94"/>
        <v>0.48836449700000006</v>
      </c>
      <c r="Y1479">
        <f t="shared" si="95"/>
        <v>7.3999999999999986</v>
      </c>
      <c r="Z1479" s="1">
        <v>0</v>
      </c>
      <c r="AA1479">
        <v>100</v>
      </c>
      <c r="AB1479">
        <v>0</v>
      </c>
      <c r="AC1479">
        <v>0</v>
      </c>
      <c r="AD1479">
        <v>100</v>
      </c>
      <c r="AE1479">
        <v>0</v>
      </c>
      <c r="AF1479" t="s">
        <v>2593</v>
      </c>
      <c r="AG1479" t="s">
        <v>2590</v>
      </c>
    </row>
    <row r="1480" spans="1:33">
      <c r="A1480" s="2" t="s">
        <v>97</v>
      </c>
      <c r="B1480" s="2" t="s">
        <v>29</v>
      </c>
      <c r="C1480" s="1">
        <v>0.63674842300000001</v>
      </c>
      <c r="D1480">
        <v>0.68532635500000005</v>
      </c>
      <c r="E1480">
        <v>0.727031494</v>
      </c>
      <c r="F1480" s="1" t="s">
        <v>98</v>
      </c>
      <c r="G1480" s="1">
        <v>2.360103627</v>
      </c>
      <c r="H1480" s="1">
        <v>36.799999999999997</v>
      </c>
      <c r="I1480" s="1">
        <v>38.6</v>
      </c>
      <c r="J1480" s="1">
        <v>0.68303542400000017</v>
      </c>
      <c r="K1480" s="1">
        <v>0.59351545100000003</v>
      </c>
      <c r="L1480" s="1">
        <v>0.68136602400000001</v>
      </c>
      <c r="M1480" s="3">
        <v>0.73518087600000004</v>
      </c>
      <c r="N1480" s="1" t="s">
        <v>30</v>
      </c>
      <c r="O1480" s="1">
        <v>2.849112426</v>
      </c>
      <c r="P1480" s="1">
        <v>37.9</v>
      </c>
      <c r="Q1480" s="1">
        <v>33.799999999999997</v>
      </c>
      <c r="R1480" s="1">
        <v>0.67002078366666673</v>
      </c>
      <c r="S1480" s="1">
        <v>4.4172236943178102E-2</v>
      </c>
      <c r="T1480" t="s">
        <v>1627</v>
      </c>
      <c r="U1480" s="1">
        <v>76012</v>
      </c>
      <c r="V1480">
        <f t="shared" si="92"/>
        <v>0.54232023996451661</v>
      </c>
      <c r="W1480" s="1">
        <f t="shared" si="93"/>
        <v>1.1000000000000014</v>
      </c>
      <c r="X1480">
        <f t="shared" si="94"/>
        <v>0.48900879900000005</v>
      </c>
      <c r="Y1480">
        <f t="shared" si="95"/>
        <v>4.8000000000000043</v>
      </c>
      <c r="Z1480" s="1">
        <v>34</v>
      </c>
      <c r="AA1480">
        <v>66</v>
      </c>
      <c r="AB1480">
        <v>0.51519999999999999</v>
      </c>
      <c r="AC1480">
        <v>33</v>
      </c>
      <c r="AD1480">
        <v>56</v>
      </c>
      <c r="AE1480">
        <v>0.58930000000000005</v>
      </c>
      <c r="AF1480" t="s">
        <v>2593</v>
      </c>
      <c r="AG1480" t="s">
        <v>2593</v>
      </c>
    </row>
    <row r="1481" spans="1:33">
      <c r="A1481" s="2" t="s">
        <v>97</v>
      </c>
      <c r="B1481" s="2" t="s">
        <v>31</v>
      </c>
      <c r="C1481" s="1">
        <v>0.63674842300000001</v>
      </c>
      <c r="D1481">
        <v>0.68532635500000005</v>
      </c>
      <c r="E1481">
        <v>0.727031494</v>
      </c>
      <c r="F1481" s="1" t="s">
        <v>98</v>
      </c>
      <c r="G1481" s="1">
        <v>2.360103627</v>
      </c>
      <c r="H1481" s="1">
        <v>36.799999999999997</v>
      </c>
      <c r="I1481" s="1">
        <v>38.6</v>
      </c>
      <c r="J1481" s="1">
        <v>0.68303542400000017</v>
      </c>
      <c r="K1481" s="1">
        <v>0.47727961800000002</v>
      </c>
      <c r="L1481" s="1">
        <v>0.66941086400000005</v>
      </c>
      <c r="M1481" s="3">
        <v>0.69294815300000001</v>
      </c>
      <c r="N1481" s="1" t="s">
        <v>32</v>
      </c>
      <c r="O1481" s="1">
        <v>1.341891892</v>
      </c>
      <c r="P1481" s="1">
        <v>42.1</v>
      </c>
      <c r="Q1481" s="1">
        <v>74</v>
      </c>
      <c r="R1481" s="1">
        <v>0.61321287833333338</v>
      </c>
      <c r="S1481" s="1">
        <v>0.16384528298251794</v>
      </c>
      <c r="T1481" t="s">
        <v>1628</v>
      </c>
      <c r="U1481" s="1">
        <v>204</v>
      </c>
      <c r="V1481">
        <f t="shared" si="92"/>
        <v>0.25662557415843318</v>
      </c>
      <c r="W1481" s="1">
        <f t="shared" si="93"/>
        <v>5.3000000000000043</v>
      </c>
      <c r="X1481">
        <f t="shared" si="94"/>
        <v>1.018211735</v>
      </c>
      <c r="Y1481">
        <f t="shared" si="95"/>
        <v>35.4</v>
      </c>
      <c r="Z1481" s="1">
        <v>0</v>
      </c>
      <c r="AA1481">
        <v>100</v>
      </c>
      <c r="AB1481">
        <v>0</v>
      </c>
      <c r="AC1481">
        <v>0</v>
      </c>
      <c r="AD1481">
        <v>97</v>
      </c>
      <c r="AE1481">
        <v>0</v>
      </c>
      <c r="AF1481" t="s">
        <v>2593</v>
      </c>
      <c r="AG1481" t="s">
        <v>2589</v>
      </c>
    </row>
    <row r="1482" spans="1:33">
      <c r="A1482" s="2" t="s">
        <v>97</v>
      </c>
      <c r="B1482" s="2" t="s">
        <v>33</v>
      </c>
      <c r="C1482" s="1">
        <v>0.63674842300000001</v>
      </c>
      <c r="D1482">
        <v>0.68532635500000005</v>
      </c>
      <c r="E1482">
        <v>0.727031494</v>
      </c>
      <c r="F1482" s="1" t="s">
        <v>98</v>
      </c>
      <c r="G1482" s="1">
        <v>2.360103627</v>
      </c>
      <c r="H1482" s="1">
        <v>36.799999999999997</v>
      </c>
      <c r="I1482" s="1">
        <v>38.6</v>
      </c>
      <c r="J1482" s="1">
        <v>0.68303542400000017</v>
      </c>
      <c r="K1482" s="1">
        <v>0.51347926600000005</v>
      </c>
      <c r="L1482" s="1">
        <v>0.63144379399999995</v>
      </c>
      <c r="M1482" s="3">
        <v>0.64189093500000005</v>
      </c>
      <c r="N1482" s="1" t="s">
        <v>34</v>
      </c>
      <c r="O1482" s="1">
        <v>2.3123667380000001</v>
      </c>
      <c r="P1482" s="1">
        <v>79.099999999999994</v>
      </c>
      <c r="Q1482" s="1">
        <v>93.8</v>
      </c>
      <c r="R1482" s="1">
        <v>0.59560466500000009</v>
      </c>
      <c r="S1482" s="1">
        <v>0.15920907711007512</v>
      </c>
      <c r="T1482" t="s">
        <v>1629</v>
      </c>
      <c r="U1482" s="1">
        <v>207</v>
      </c>
      <c r="V1482">
        <f t="shared" si="92"/>
        <v>0.25733003838410196</v>
      </c>
      <c r="W1482" s="1">
        <f t="shared" si="93"/>
        <v>42.3</v>
      </c>
      <c r="X1482">
        <f t="shared" si="94"/>
        <v>4.7736888999999838E-2</v>
      </c>
      <c r="Y1482">
        <f t="shared" si="95"/>
        <v>55.199999999999996</v>
      </c>
      <c r="Z1482" s="1">
        <v>0</v>
      </c>
      <c r="AA1482">
        <v>100</v>
      </c>
      <c r="AB1482">
        <v>0</v>
      </c>
      <c r="AC1482">
        <v>0</v>
      </c>
      <c r="AD1482">
        <v>91</v>
      </c>
      <c r="AE1482">
        <v>0</v>
      </c>
      <c r="AF1482" t="s">
        <v>2593</v>
      </c>
      <c r="AG1482" t="s">
        <v>2590</v>
      </c>
    </row>
    <row r="1483" spans="1:33">
      <c r="A1483" s="2" t="s">
        <v>97</v>
      </c>
      <c r="B1483" s="2" t="s">
        <v>35</v>
      </c>
      <c r="C1483" s="1">
        <v>0.63674842300000001</v>
      </c>
      <c r="D1483">
        <v>0.68532635500000005</v>
      </c>
      <c r="E1483">
        <v>0.727031494</v>
      </c>
      <c r="F1483" s="1" t="s">
        <v>98</v>
      </c>
      <c r="G1483" s="1">
        <v>2.360103627</v>
      </c>
      <c r="H1483" s="1">
        <v>36.799999999999997</v>
      </c>
      <c r="I1483" s="1">
        <v>38.6</v>
      </c>
      <c r="J1483" s="1">
        <v>0.68303542400000017</v>
      </c>
      <c r="K1483" s="1">
        <v>0.52542897600000005</v>
      </c>
      <c r="L1483" s="1">
        <v>0.60774736299999998</v>
      </c>
      <c r="M1483" s="3">
        <v>0.62585751700000003</v>
      </c>
      <c r="N1483" s="1" t="s">
        <v>36</v>
      </c>
      <c r="O1483" s="1">
        <v>0.98848810399999998</v>
      </c>
      <c r="P1483" s="1">
        <v>54.2</v>
      </c>
      <c r="Q1483" s="1">
        <v>130.30000000000001</v>
      </c>
      <c r="R1483" s="1">
        <v>0.58634461866666665</v>
      </c>
      <c r="S1483" s="1">
        <v>0.16925333941201395</v>
      </c>
      <c r="T1483" t="s">
        <v>1630</v>
      </c>
      <c r="U1483" s="1">
        <v>429</v>
      </c>
      <c r="V1483">
        <f t="shared" si="92"/>
        <v>0.29249525468719162</v>
      </c>
      <c r="W1483" s="1">
        <f t="shared" si="93"/>
        <v>17.400000000000006</v>
      </c>
      <c r="X1483">
        <f t="shared" si="94"/>
        <v>1.371615523</v>
      </c>
      <c r="Y1483">
        <f t="shared" si="95"/>
        <v>91.700000000000017</v>
      </c>
      <c r="Z1483" s="1">
        <v>0</v>
      </c>
      <c r="AA1483">
        <v>100</v>
      </c>
      <c r="AB1483">
        <v>0</v>
      </c>
      <c r="AC1483">
        <v>0</v>
      </c>
      <c r="AD1483">
        <v>90</v>
      </c>
      <c r="AE1483">
        <v>0</v>
      </c>
      <c r="AF1483" t="s">
        <v>2593</v>
      </c>
      <c r="AG1483" t="s">
        <v>2589</v>
      </c>
    </row>
    <row r="1484" spans="1:33">
      <c r="A1484" s="2" t="s">
        <v>97</v>
      </c>
      <c r="B1484" s="2" t="s">
        <v>37</v>
      </c>
      <c r="C1484" s="1">
        <v>0.63674842300000001</v>
      </c>
      <c r="D1484">
        <v>0.68532635500000005</v>
      </c>
      <c r="E1484">
        <v>0.727031494</v>
      </c>
      <c r="F1484" s="1" t="s">
        <v>98</v>
      </c>
      <c r="G1484" s="1">
        <v>2.360103627</v>
      </c>
      <c r="H1484" s="1">
        <v>36.799999999999997</v>
      </c>
      <c r="I1484" s="1">
        <v>38.6</v>
      </c>
      <c r="J1484" s="1">
        <v>0.68303542400000017</v>
      </c>
      <c r="K1484" s="1">
        <v>0.50856695500000004</v>
      </c>
      <c r="L1484" s="1">
        <v>0.654733224</v>
      </c>
      <c r="M1484" s="3">
        <v>0.61418267199999999</v>
      </c>
      <c r="N1484" s="1" t="s">
        <v>38</v>
      </c>
      <c r="O1484" s="1">
        <v>0.64065708399999999</v>
      </c>
      <c r="P1484" s="1">
        <v>41.9</v>
      </c>
      <c r="Q1484" s="1">
        <v>146.1</v>
      </c>
      <c r="R1484" s="1">
        <v>0.59249428366666679</v>
      </c>
      <c r="S1484" s="1">
        <v>0.17349721908378204</v>
      </c>
      <c r="T1484" t="s">
        <v>1631</v>
      </c>
      <c r="U1484" s="1">
        <v>372</v>
      </c>
      <c r="V1484">
        <f t="shared" si="92"/>
        <v>0.28561588220909973</v>
      </c>
      <c r="W1484" s="1">
        <f t="shared" si="93"/>
        <v>5.1000000000000014</v>
      </c>
      <c r="X1484">
        <f t="shared" si="94"/>
        <v>1.7194465430000001</v>
      </c>
      <c r="Y1484">
        <f t="shared" si="95"/>
        <v>107.5</v>
      </c>
      <c r="Z1484" s="1">
        <v>0</v>
      </c>
      <c r="AA1484">
        <v>100</v>
      </c>
      <c r="AB1484">
        <v>0</v>
      </c>
      <c r="AC1484">
        <v>0</v>
      </c>
      <c r="AD1484">
        <v>89</v>
      </c>
      <c r="AE1484">
        <v>0</v>
      </c>
      <c r="AF1484" t="s">
        <v>2593</v>
      </c>
      <c r="AG1484" t="s">
        <v>2590</v>
      </c>
    </row>
    <row r="1485" spans="1:33">
      <c r="A1485" s="2" t="s">
        <v>97</v>
      </c>
      <c r="B1485" s="2" t="s">
        <v>39</v>
      </c>
      <c r="C1485" s="1">
        <v>0.63674842300000001</v>
      </c>
      <c r="D1485">
        <v>0.68532635500000005</v>
      </c>
      <c r="E1485">
        <v>0.727031494</v>
      </c>
      <c r="F1485" s="1" t="s">
        <v>98</v>
      </c>
      <c r="G1485" s="1">
        <v>2.360103627</v>
      </c>
      <c r="H1485" s="1">
        <v>36.799999999999997</v>
      </c>
      <c r="I1485" s="1">
        <v>38.6</v>
      </c>
      <c r="J1485" s="1">
        <v>0.68303542400000017</v>
      </c>
      <c r="K1485" s="1">
        <v>0.60811616199999996</v>
      </c>
      <c r="L1485" s="1">
        <v>0.721105683</v>
      </c>
      <c r="M1485" s="3">
        <v>0.741016169</v>
      </c>
      <c r="N1485" s="1" t="s">
        <v>40</v>
      </c>
      <c r="O1485" s="1">
        <v>1.0601915180000001</v>
      </c>
      <c r="P1485" s="1">
        <v>34</v>
      </c>
      <c r="Q1485" s="1">
        <v>73.099999999999994</v>
      </c>
      <c r="R1485" s="1">
        <v>0.69007933799999999</v>
      </c>
      <c r="S1485" s="1">
        <v>4.7911771173265227E-2</v>
      </c>
      <c r="T1485" t="s">
        <v>1632</v>
      </c>
      <c r="U1485" s="1">
        <v>229</v>
      </c>
      <c r="V1485">
        <f t="shared" si="92"/>
        <v>0.2622039424822098</v>
      </c>
      <c r="W1485" s="1">
        <f t="shared" si="93"/>
        <v>2.7999999999999972</v>
      </c>
      <c r="X1485">
        <f t="shared" si="94"/>
        <v>1.2999121089999999</v>
      </c>
      <c r="Y1485">
        <f t="shared" si="95"/>
        <v>34.499999999999993</v>
      </c>
      <c r="Z1485" s="1">
        <v>0</v>
      </c>
      <c r="AA1485">
        <v>100</v>
      </c>
      <c r="AB1485">
        <v>0</v>
      </c>
      <c r="AC1485">
        <v>0</v>
      </c>
      <c r="AD1485">
        <v>92</v>
      </c>
      <c r="AE1485">
        <v>0</v>
      </c>
      <c r="AF1485" t="s">
        <v>2593</v>
      </c>
      <c r="AG1485" t="s">
        <v>2589</v>
      </c>
    </row>
    <row r="1486" spans="1:33">
      <c r="A1486" s="2" t="s">
        <v>97</v>
      </c>
      <c r="B1486" s="2" t="s">
        <v>41</v>
      </c>
      <c r="C1486" s="1">
        <v>0.63674842300000001</v>
      </c>
      <c r="D1486">
        <v>0.68532635500000005</v>
      </c>
      <c r="E1486">
        <v>0.727031494</v>
      </c>
      <c r="F1486" s="1" t="s">
        <v>98</v>
      </c>
      <c r="G1486" s="1">
        <v>2.360103627</v>
      </c>
      <c r="H1486" s="1">
        <v>36.799999999999997</v>
      </c>
      <c r="I1486" s="1">
        <v>38.6</v>
      </c>
      <c r="J1486" s="1">
        <v>0.68303542400000017</v>
      </c>
      <c r="K1486" s="1">
        <v>0.60402244999999999</v>
      </c>
      <c r="L1486" s="1">
        <v>0.669189213</v>
      </c>
      <c r="M1486" s="3">
        <v>0.69821693799999995</v>
      </c>
      <c r="N1486" s="1" t="s">
        <v>42</v>
      </c>
      <c r="O1486" s="1">
        <v>1.3243902439999999</v>
      </c>
      <c r="P1486" s="1">
        <v>23</v>
      </c>
      <c r="Q1486" s="1">
        <v>41</v>
      </c>
      <c r="R1486" s="1">
        <v>0.65714286700000002</v>
      </c>
      <c r="S1486" s="1">
        <v>4.649382000010361E-2</v>
      </c>
      <c r="T1486" t="s">
        <v>1633</v>
      </c>
      <c r="U1486" s="1">
        <v>11343</v>
      </c>
      <c r="V1486">
        <f t="shared" si="92"/>
        <v>0.45052532578691085</v>
      </c>
      <c r="W1486" s="1">
        <f t="shared" si="93"/>
        <v>13.799999999999997</v>
      </c>
      <c r="X1486">
        <f t="shared" si="94"/>
        <v>1.035713383</v>
      </c>
      <c r="Y1486">
        <f t="shared" si="95"/>
        <v>2.3999999999999986</v>
      </c>
      <c r="Z1486" s="1">
        <v>18</v>
      </c>
      <c r="AA1486">
        <v>82</v>
      </c>
      <c r="AB1486">
        <v>0.2195</v>
      </c>
      <c r="AC1486">
        <v>24</v>
      </c>
      <c r="AD1486">
        <v>82</v>
      </c>
      <c r="AE1486">
        <v>0.29270000000000002</v>
      </c>
      <c r="AF1486" t="s">
        <v>2593</v>
      </c>
      <c r="AG1486" t="s">
        <v>2591</v>
      </c>
    </row>
    <row r="1487" spans="1:33">
      <c r="A1487" s="2" t="s">
        <v>97</v>
      </c>
      <c r="B1487" s="2" t="s">
        <v>43</v>
      </c>
      <c r="C1487" s="1">
        <v>0.63674842300000001</v>
      </c>
      <c r="D1487">
        <v>0.68532635500000005</v>
      </c>
      <c r="E1487">
        <v>0.727031494</v>
      </c>
      <c r="F1487" s="1" t="s">
        <v>98</v>
      </c>
      <c r="G1487" s="1">
        <v>2.360103627</v>
      </c>
      <c r="H1487" s="1">
        <v>36.799999999999997</v>
      </c>
      <c r="I1487" s="1">
        <v>38.6</v>
      </c>
      <c r="J1487" s="1">
        <v>0.68303542400000017</v>
      </c>
      <c r="K1487" s="1">
        <v>0.54180634699999997</v>
      </c>
      <c r="L1487" s="1">
        <v>0.59470779900000004</v>
      </c>
      <c r="M1487" s="3">
        <v>0.69518155599999998</v>
      </c>
      <c r="N1487" s="1" t="s">
        <v>44</v>
      </c>
      <c r="O1487" s="1">
        <v>1.7403685090000001</v>
      </c>
      <c r="P1487" s="1">
        <v>41.2</v>
      </c>
      <c r="Q1487" s="1">
        <v>59.7</v>
      </c>
      <c r="R1487" s="1">
        <v>0.61056523400000007</v>
      </c>
      <c r="S1487" s="1">
        <v>0.1350560588693405</v>
      </c>
      <c r="T1487" t="s">
        <v>1634</v>
      </c>
      <c r="U1487" s="1">
        <v>631</v>
      </c>
      <c r="V1487">
        <f t="shared" si="92"/>
        <v>0.31111437324934826</v>
      </c>
      <c r="W1487" s="1">
        <f t="shared" si="93"/>
        <v>4.4000000000000057</v>
      </c>
      <c r="X1487">
        <f t="shared" si="94"/>
        <v>0.61973511799999992</v>
      </c>
      <c r="Y1487">
        <f t="shared" si="95"/>
        <v>21.1</v>
      </c>
      <c r="Z1487" s="1">
        <v>3</v>
      </c>
      <c r="AA1487">
        <v>97</v>
      </c>
      <c r="AB1487">
        <v>3.09E-2</v>
      </c>
      <c r="AC1487">
        <v>2</v>
      </c>
      <c r="AD1487">
        <v>126</v>
      </c>
      <c r="AE1487">
        <v>1.5900000000000001E-2</v>
      </c>
      <c r="AF1487" t="s">
        <v>2593</v>
      </c>
      <c r="AG1487" t="s">
        <v>2589</v>
      </c>
    </row>
    <row r="1488" spans="1:33">
      <c r="A1488" s="2" t="s">
        <v>97</v>
      </c>
      <c r="B1488" s="2" t="s">
        <v>45</v>
      </c>
      <c r="C1488" s="1">
        <v>0.63674842300000001</v>
      </c>
      <c r="D1488">
        <v>0.68532635500000005</v>
      </c>
      <c r="E1488">
        <v>0.727031494</v>
      </c>
      <c r="F1488" s="1" t="s">
        <v>98</v>
      </c>
      <c r="G1488" s="1">
        <v>2.360103627</v>
      </c>
      <c r="H1488" s="1">
        <v>36.799999999999997</v>
      </c>
      <c r="I1488" s="1">
        <v>38.6</v>
      </c>
      <c r="J1488" s="1">
        <v>0.68303542400000017</v>
      </c>
      <c r="K1488" s="1">
        <v>0.50907007599999998</v>
      </c>
      <c r="L1488" s="1">
        <v>0.68428041399999995</v>
      </c>
      <c r="M1488" s="3">
        <v>0.67454742099999998</v>
      </c>
      <c r="N1488" s="1" t="s">
        <v>46</v>
      </c>
      <c r="O1488" s="1">
        <v>0.98140043799999999</v>
      </c>
      <c r="P1488" s="1">
        <v>38.9</v>
      </c>
      <c r="Q1488" s="1">
        <v>91.4</v>
      </c>
      <c r="R1488" s="1">
        <v>0.62263263699999993</v>
      </c>
      <c r="S1488" s="1">
        <v>0.13804865882686881</v>
      </c>
      <c r="T1488" t="s">
        <v>1635</v>
      </c>
      <c r="U1488" s="1">
        <v>513</v>
      </c>
      <c r="V1488">
        <f t="shared" si="92"/>
        <v>0.30112415167909068</v>
      </c>
      <c r="W1488" s="1">
        <f t="shared" si="93"/>
        <v>2.1000000000000014</v>
      </c>
      <c r="X1488">
        <f t="shared" si="94"/>
        <v>1.3787031889999999</v>
      </c>
      <c r="Y1488">
        <f t="shared" si="95"/>
        <v>52.800000000000004</v>
      </c>
      <c r="Z1488" s="1">
        <v>0</v>
      </c>
      <c r="AA1488">
        <v>100</v>
      </c>
      <c r="AB1488">
        <v>0</v>
      </c>
      <c r="AC1488">
        <v>0</v>
      </c>
      <c r="AD1488">
        <v>108</v>
      </c>
      <c r="AE1488">
        <v>0</v>
      </c>
      <c r="AF1488" t="s">
        <v>2593</v>
      </c>
      <c r="AG1488" t="s">
        <v>2589</v>
      </c>
    </row>
    <row r="1489" spans="1:33">
      <c r="A1489" s="2" t="s">
        <v>97</v>
      </c>
      <c r="B1489" s="2" t="s">
        <v>47</v>
      </c>
      <c r="C1489" s="1">
        <v>0.63674842300000001</v>
      </c>
      <c r="D1489">
        <v>0.68532635500000005</v>
      </c>
      <c r="E1489">
        <v>0.727031494</v>
      </c>
      <c r="F1489" s="1" t="s">
        <v>98</v>
      </c>
      <c r="G1489" s="1">
        <v>2.360103627</v>
      </c>
      <c r="H1489" s="1">
        <v>36.799999999999997</v>
      </c>
      <c r="I1489" s="1">
        <v>38.6</v>
      </c>
      <c r="J1489" s="1">
        <v>0.68303542400000017</v>
      </c>
      <c r="K1489" s="1">
        <v>0.50612154099999995</v>
      </c>
      <c r="L1489" s="1">
        <v>0.55940039100000005</v>
      </c>
      <c r="M1489" s="3">
        <v>0.66789001699999995</v>
      </c>
      <c r="N1489" s="1" t="s">
        <v>48</v>
      </c>
      <c r="O1489" s="1">
        <v>1.242622951</v>
      </c>
      <c r="P1489" s="1">
        <v>17.8</v>
      </c>
      <c r="Q1489" s="1">
        <v>30.5</v>
      </c>
      <c r="R1489" s="1">
        <v>0.57780398300000002</v>
      </c>
      <c r="S1489" s="1">
        <v>0.19083617322749052</v>
      </c>
      <c r="T1489" t="s">
        <v>1636</v>
      </c>
      <c r="U1489" s="1">
        <v>508</v>
      </c>
      <c r="V1489">
        <f t="shared" si="92"/>
        <v>0.30065152358710212</v>
      </c>
      <c r="W1489" s="1">
        <f t="shared" si="93"/>
        <v>18.999999999999996</v>
      </c>
      <c r="X1489">
        <f t="shared" si="94"/>
        <v>1.117480676</v>
      </c>
      <c r="Y1489">
        <f t="shared" si="95"/>
        <v>8.1000000000000014</v>
      </c>
      <c r="Z1489" s="1">
        <v>0</v>
      </c>
      <c r="AA1489">
        <v>100</v>
      </c>
      <c r="AB1489">
        <v>0</v>
      </c>
      <c r="AC1489">
        <v>0</v>
      </c>
      <c r="AD1489">
        <v>115</v>
      </c>
      <c r="AE1489">
        <v>0</v>
      </c>
      <c r="AF1489" t="s">
        <v>2593</v>
      </c>
      <c r="AG1489" t="s">
        <v>2590</v>
      </c>
    </row>
    <row r="1490" spans="1:33">
      <c r="A1490" s="2" t="s">
        <v>97</v>
      </c>
      <c r="B1490" s="2" t="s">
        <v>49</v>
      </c>
      <c r="C1490" s="1">
        <v>0.63674842300000001</v>
      </c>
      <c r="D1490">
        <v>0.68532635500000005</v>
      </c>
      <c r="E1490">
        <v>0.727031494</v>
      </c>
      <c r="F1490" s="1" t="s">
        <v>98</v>
      </c>
      <c r="G1490" s="1">
        <v>2.360103627</v>
      </c>
      <c r="H1490" s="1">
        <v>36.799999999999997</v>
      </c>
      <c r="I1490" s="1">
        <v>38.6</v>
      </c>
      <c r="J1490" s="1">
        <v>0.68303542400000017</v>
      </c>
      <c r="K1490" s="1">
        <v>0.50647110500000003</v>
      </c>
      <c r="L1490" s="1">
        <v>0.55713136799999996</v>
      </c>
      <c r="M1490" s="3">
        <v>0.63402682300000002</v>
      </c>
      <c r="N1490" s="1" t="s">
        <v>50</v>
      </c>
      <c r="O1490" s="1">
        <v>1.876675603</v>
      </c>
      <c r="P1490" s="1">
        <v>28.8</v>
      </c>
      <c r="Q1490" s="1">
        <v>37.299999999999997</v>
      </c>
      <c r="R1490" s="1">
        <v>0.56587643200000004</v>
      </c>
      <c r="S1490" s="1">
        <v>0.20507560338816888</v>
      </c>
      <c r="T1490" t="s">
        <v>1637</v>
      </c>
      <c r="U1490" s="1">
        <v>885</v>
      </c>
      <c r="V1490">
        <f t="shared" si="92"/>
        <v>0.32743814118864728</v>
      </c>
      <c r="W1490" s="1">
        <f t="shared" si="93"/>
        <v>7.9999999999999964</v>
      </c>
      <c r="X1490">
        <f t="shared" si="94"/>
        <v>0.48342802399999996</v>
      </c>
      <c r="Y1490">
        <f t="shared" si="95"/>
        <v>1.3000000000000043</v>
      </c>
      <c r="Z1490" s="1">
        <v>0</v>
      </c>
      <c r="AA1490">
        <v>100</v>
      </c>
      <c r="AB1490">
        <v>0</v>
      </c>
      <c r="AC1490">
        <v>0</v>
      </c>
      <c r="AD1490">
        <v>89</v>
      </c>
      <c r="AE1490">
        <v>0</v>
      </c>
      <c r="AF1490" t="s">
        <v>2593</v>
      </c>
      <c r="AG1490" t="s">
        <v>2590</v>
      </c>
    </row>
    <row r="1491" spans="1:33">
      <c r="A1491" s="2" t="s">
        <v>97</v>
      </c>
      <c r="B1491" s="2" t="s">
        <v>51</v>
      </c>
      <c r="C1491" s="1">
        <v>0.63674842300000001</v>
      </c>
      <c r="D1491">
        <v>0.68532635500000005</v>
      </c>
      <c r="E1491">
        <v>0.727031494</v>
      </c>
      <c r="F1491" s="1" t="s">
        <v>98</v>
      </c>
      <c r="G1491" s="1">
        <v>2.360103627</v>
      </c>
      <c r="H1491" s="1">
        <v>36.799999999999997</v>
      </c>
      <c r="I1491" s="1">
        <v>38.6</v>
      </c>
      <c r="J1491" s="1">
        <v>0.68303542400000017</v>
      </c>
      <c r="K1491" s="1">
        <v>0.60067161999999996</v>
      </c>
      <c r="L1491" s="1">
        <v>0.68094129999999997</v>
      </c>
      <c r="M1491" s="3">
        <v>0.73595931299999995</v>
      </c>
      <c r="N1491" s="1" t="s">
        <v>52</v>
      </c>
      <c r="O1491" s="1">
        <v>1.858638743</v>
      </c>
      <c r="P1491" s="1">
        <v>29.4</v>
      </c>
      <c r="Q1491" s="1">
        <v>38.200000000000003</v>
      </c>
      <c r="R1491" s="1">
        <v>0.67252407766666666</v>
      </c>
      <c r="S1491" s="1">
        <v>3.7422858978846049E-2</v>
      </c>
      <c r="T1491" t="s">
        <v>1638</v>
      </c>
      <c r="U1491" s="1">
        <v>10251</v>
      </c>
      <c r="V1491">
        <f t="shared" si="92"/>
        <v>0.44564069261315836</v>
      </c>
      <c r="W1491" s="1">
        <f t="shared" si="93"/>
        <v>7.3999999999999986</v>
      </c>
      <c r="X1491">
        <f t="shared" si="94"/>
        <v>0.501464884</v>
      </c>
      <c r="Y1491">
        <f t="shared" si="95"/>
        <v>0.39999999999999858</v>
      </c>
      <c r="Z1491" s="1">
        <v>16</v>
      </c>
      <c r="AA1491">
        <v>84</v>
      </c>
      <c r="AB1491">
        <v>0.1905</v>
      </c>
      <c r="AC1491">
        <v>20</v>
      </c>
      <c r="AD1491">
        <v>78</v>
      </c>
      <c r="AE1491">
        <v>0.25640000000000002</v>
      </c>
      <c r="AF1491" t="s">
        <v>2593</v>
      </c>
      <c r="AG1491" t="s">
        <v>2591</v>
      </c>
    </row>
    <row r="1492" spans="1:33">
      <c r="A1492" s="2" t="s">
        <v>97</v>
      </c>
      <c r="B1492" s="2" t="s">
        <v>53</v>
      </c>
      <c r="C1492" s="1">
        <v>0.63674842300000001</v>
      </c>
      <c r="D1492">
        <v>0.68532635500000005</v>
      </c>
      <c r="E1492">
        <v>0.727031494</v>
      </c>
      <c r="F1492" s="1" t="s">
        <v>98</v>
      </c>
      <c r="G1492" s="1">
        <v>2.360103627</v>
      </c>
      <c r="H1492" s="1">
        <v>36.799999999999997</v>
      </c>
      <c r="I1492" s="1">
        <v>38.6</v>
      </c>
      <c r="J1492" s="1">
        <v>0.68303542400000017</v>
      </c>
      <c r="K1492" s="1">
        <v>0.54695832700000002</v>
      </c>
      <c r="L1492" s="1">
        <v>0.659790137</v>
      </c>
      <c r="M1492" s="3">
        <v>0.70662085500000005</v>
      </c>
      <c r="N1492" s="1" t="s">
        <v>54</v>
      </c>
      <c r="O1492" s="1">
        <v>2.5053995680000001</v>
      </c>
      <c r="P1492" s="1">
        <v>43.9</v>
      </c>
      <c r="Q1492" s="1">
        <v>46.3</v>
      </c>
      <c r="R1492" s="1">
        <v>0.63778977300000006</v>
      </c>
      <c r="S1492" s="1">
        <v>9.555602520940823E-2</v>
      </c>
      <c r="T1492" t="s">
        <v>1639</v>
      </c>
      <c r="U1492" s="1">
        <v>17792</v>
      </c>
      <c r="V1492">
        <f t="shared" si="92"/>
        <v>0.47224719665577375</v>
      </c>
      <c r="W1492" s="1">
        <f t="shared" si="93"/>
        <v>7.1000000000000014</v>
      </c>
      <c r="X1492">
        <f t="shared" si="94"/>
        <v>0.1452959410000001</v>
      </c>
      <c r="Y1492">
        <f t="shared" si="95"/>
        <v>7.6999999999999957</v>
      </c>
      <c r="Z1492" s="1">
        <v>15</v>
      </c>
      <c r="AA1492">
        <v>85</v>
      </c>
      <c r="AB1492">
        <v>0.17649999999999999</v>
      </c>
      <c r="AC1492">
        <v>18</v>
      </c>
      <c r="AD1492">
        <v>80</v>
      </c>
      <c r="AE1492">
        <v>0.22500000000000001</v>
      </c>
      <c r="AF1492" t="s">
        <v>2593</v>
      </c>
      <c r="AG1492" t="s">
        <v>2593</v>
      </c>
    </row>
    <row r="1493" spans="1:33">
      <c r="A1493" s="2" t="s">
        <v>97</v>
      </c>
      <c r="B1493" s="2" t="s">
        <v>55</v>
      </c>
      <c r="C1493" s="1">
        <v>0.63674842300000001</v>
      </c>
      <c r="D1493">
        <v>0.68532635500000005</v>
      </c>
      <c r="E1493">
        <v>0.727031494</v>
      </c>
      <c r="F1493" s="1" t="s">
        <v>98</v>
      </c>
      <c r="G1493" s="1">
        <v>2.360103627</v>
      </c>
      <c r="H1493" s="1">
        <v>36.799999999999997</v>
      </c>
      <c r="I1493" s="1">
        <v>38.6</v>
      </c>
      <c r="J1493" s="1">
        <v>0.68303542400000017</v>
      </c>
      <c r="K1493" s="1">
        <v>0.52971861799999997</v>
      </c>
      <c r="L1493" s="1">
        <v>0.62258244500000004</v>
      </c>
      <c r="M1493" s="3">
        <v>0.63939760400000001</v>
      </c>
      <c r="N1493" s="1" t="s">
        <v>56</v>
      </c>
      <c r="O1493" s="1">
        <v>1.0796934869999999</v>
      </c>
      <c r="P1493" s="1">
        <v>55.3</v>
      </c>
      <c r="Q1493" s="1">
        <v>130.5</v>
      </c>
      <c r="R1493" s="1">
        <v>0.59723288899999993</v>
      </c>
      <c r="S1493" s="1">
        <v>0.15189429244365382</v>
      </c>
      <c r="T1493" t="s">
        <v>1640</v>
      </c>
      <c r="U1493" s="1">
        <v>277</v>
      </c>
      <c r="V1493">
        <f t="shared" si="92"/>
        <v>0.27138664100716098</v>
      </c>
      <c r="W1493" s="1">
        <f t="shared" si="93"/>
        <v>18.5</v>
      </c>
      <c r="X1493">
        <f t="shared" si="94"/>
        <v>1.2804101400000001</v>
      </c>
      <c r="Y1493">
        <f t="shared" si="95"/>
        <v>91.9</v>
      </c>
      <c r="Z1493" s="1">
        <v>0</v>
      </c>
      <c r="AA1493">
        <v>100</v>
      </c>
      <c r="AB1493">
        <v>0</v>
      </c>
      <c r="AC1493">
        <v>0</v>
      </c>
      <c r="AD1493">
        <v>90</v>
      </c>
      <c r="AE1493">
        <v>0</v>
      </c>
      <c r="AF1493" t="s">
        <v>2593</v>
      </c>
      <c r="AG1493" t="s">
        <v>2592</v>
      </c>
    </row>
    <row r="1494" spans="1:33">
      <c r="A1494" s="2" t="s">
        <v>97</v>
      </c>
      <c r="B1494" s="2" t="s">
        <v>57</v>
      </c>
      <c r="C1494" s="1">
        <v>0.63674842300000001</v>
      </c>
      <c r="D1494">
        <v>0.68532635500000005</v>
      </c>
      <c r="E1494">
        <v>0.727031494</v>
      </c>
      <c r="F1494" s="1" t="s">
        <v>98</v>
      </c>
      <c r="G1494" s="1">
        <v>2.360103627</v>
      </c>
      <c r="H1494" s="1">
        <v>36.799999999999997</v>
      </c>
      <c r="I1494" s="1">
        <v>38.6</v>
      </c>
      <c r="J1494" s="1">
        <v>0.68303542400000017</v>
      </c>
      <c r="K1494" s="1">
        <v>0.528732855</v>
      </c>
      <c r="L1494" s="1">
        <v>0.63387497599999998</v>
      </c>
      <c r="M1494" s="3">
        <v>0.63337360200000004</v>
      </c>
      <c r="N1494" s="1" t="s">
        <v>58</v>
      </c>
      <c r="O1494" s="1">
        <v>1.386610879</v>
      </c>
      <c r="P1494" s="1">
        <v>69</v>
      </c>
      <c r="Q1494" s="1">
        <v>119.5</v>
      </c>
      <c r="R1494" s="1">
        <v>0.59866047766666663</v>
      </c>
      <c r="S1494" s="1">
        <v>0.15194212077382602</v>
      </c>
      <c r="T1494" t="s">
        <v>1641</v>
      </c>
      <c r="U1494" s="1">
        <v>456</v>
      </c>
      <c r="V1494">
        <f t="shared" si="92"/>
        <v>0.29544053807382609</v>
      </c>
      <c r="W1494" s="1">
        <f t="shared" si="93"/>
        <v>32.200000000000003</v>
      </c>
      <c r="X1494">
        <f t="shared" si="94"/>
        <v>0.97349274799999996</v>
      </c>
      <c r="Y1494">
        <f t="shared" si="95"/>
        <v>80.900000000000006</v>
      </c>
      <c r="Z1494" s="1">
        <v>0</v>
      </c>
      <c r="AA1494">
        <v>100</v>
      </c>
      <c r="AB1494">
        <v>0</v>
      </c>
      <c r="AC1494">
        <v>0</v>
      </c>
      <c r="AD1494">
        <v>96</v>
      </c>
      <c r="AE1494">
        <v>0</v>
      </c>
      <c r="AF1494" t="s">
        <v>2593</v>
      </c>
      <c r="AG1494" t="s">
        <v>2589</v>
      </c>
    </row>
    <row r="1495" spans="1:33">
      <c r="A1495" s="2" t="s">
        <v>97</v>
      </c>
      <c r="B1495" s="2" t="s">
        <v>59</v>
      </c>
      <c r="C1495" s="1">
        <v>0.63674842300000001</v>
      </c>
      <c r="D1495">
        <v>0.68532635500000005</v>
      </c>
      <c r="E1495">
        <v>0.727031494</v>
      </c>
      <c r="F1495" s="1" t="s">
        <v>98</v>
      </c>
      <c r="G1495" s="1">
        <v>2.360103627</v>
      </c>
      <c r="H1495" s="1">
        <v>36.799999999999997</v>
      </c>
      <c r="I1495" s="1">
        <v>38.6</v>
      </c>
      <c r="J1495" s="1">
        <v>0.68303542400000017</v>
      </c>
      <c r="K1495" s="1">
        <v>0.56225432799999997</v>
      </c>
      <c r="L1495" s="1">
        <v>0.68100706499999997</v>
      </c>
      <c r="M1495" s="3">
        <v>0.67505263699999996</v>
      </c>
      <c r="N1495" s="1" t="s">
        <v>60</v>
      </c>
      <c r="O1495" s="1">
        <v>1.1501154730000001</v>
      </c>
      <c r="P1495" s="1">
        <v>60.5</v>
      </c>
      <c r="Q1495" s="1">
        <v>129.9</v>
      </c>
      <c r="R1495" s="1">
        <v>0.63943801</v>
      </c>
      <c r="S1495" s="1">
        <v>9.0938594837393347E-2</v>
      </c>
      <c r="T1495" t="s">
        <v>1642</v>
      </c>
      <c r="U1495" s="1">
        <v>686</v>
      </c>
      <c r="V1495">
        <f t="shared" si="92"/>
        <v>0.31514712396741684</v>
      </c>
      <c r="W1495" s="1">
        <f t="shared" si="93"/>
        <v>23.700000000000003</v>
      </c>
      <c r="X1495">
        <f t="shared" si="94"/>
        <v>1.2099881539999999</v>
      </c>
      <c r="Y1495">
        <f t="shared" si="95"/>
        <v>91.300000000000011</v>
      </c>
      <c r="Z1495" s="1">
        <v>0</v>
      </c>
      <c r="AA1495">
        <v>100</v>
      </c>
      <c r="AB1495">
        <v>0</v>
      </c>
      <c r="AC1495">
        <v>0</v>
      </c>
      <c r="AD1495">
        <v>115</v>
      </c>
      <c r="AE1495">
        <v>0</v>
      </c>
      <c r="AF1495" t="s">
        <v>2593</v>
      </c>
      <c r="AG1495" t="s">
        <v>2589</v>
      </c>
    </row>
    <row r="1496" spans="1:33">
      <c r="A1496" s="2" t="s">
        <v>97</v>
      </c>
      <c r="B1496" s="2" t="s">
        <v>61</v>
      </c>
      <c r="C1496" s="1">
        <v>0.63674842300000001</v>
      </c>
      <c r="D1496">
        <v>0.68532635500000005</v>
      </c>
      <c r="E1496">
        <v>0.727031494</v>
      </c>
      <c r="F1496" s="1" t="s">
        <v>98</v>
      </c>
      <c r="G1496" s="1">
        <v>2.360103627</v>
      </c>
      <c r="H1496" s="1">
        <v>36.799999999999997</v>
      </c>
      <c r="I1496" s="1">
        <v>38.6</v>
      </c>
      <c r="J1496" s="1">
        <v>0.68303542400000017</v>
      </c>
      <c r="K1496" s="1">
        <v>0.62063455999999995</v>
      </c>
      <c r="L1496" s="1">
        <v>0.67798104299999995</v>
      </c>
      <c r="M1496" s="3">
        <v>0.72175371600000005</v>
      </c>
      <c r="N1496" s="1" t="s">
        <v>62</v>
      </c>
      <c r="O1496" s="1">
        <v>7.5471698109999998</v>
      </c>
      <c r="P1496" s="1">
        <v>26.4</v>
      </c>
      <c r="Q1496" s="1">
        <v>10.6</v>
      </c>
      <c r="R1496" s="1">
        <v>0.6734564396666668</v>
      </c>
      <c r="S1496" s="1">
        <v>1.8478775115721279E-2</v>
      </c>
      <c r="T1496" t="s">
        <v>1643</v>
      </c>
      <c r="U1496" s="1">
        <v>823</v>
      </c>
      <c r="V1496">
        <f t="shared" si="92"/>
        <v>0.32393331502358552</v>
      </c>
      <c r="W1496" s="1">
        <f t="shared" si="93"/>
        <v>10.399999999999999</v>
      </c>
      <c r="X1496">
        <f t="shared" si="94"/>
        <v>5.1870661839999999</v>
      </c>
      <c r="Y1496">
        <f t="shared" si="95"/>
        <v>28</v>
      </c>
      <c r="Z1496" s="1">
        <v>0</v>
      </c>
      <c r="AA1496">
        <v>100</v>
      </c>
      <c r="AB1496">
        <v>0</v>
      </c>
      <c r="AC1496">
        <v>0</v>
      </c>
      <c r="AD1496">
        <v>90</v>
      </c>
      <c r="AE1496">
        <v>0</v>
      </c>
      <c r="AF1496" t="s">
        <v>2593</v>
      </c>
      <c r="AG1496" t="s">
        <v>2588</v>
      </c>
    </row>
    <row r="1497" spans="1:33">
      <c r="A1497" s="2" t="s">
        <v>97</v>
      </c>
      <c r="B1497" s="2" t="s">
        <v>63</v>
      </c>
      <c r="C1497" s="1">
        <v>0.63674842300000001</v>
      </c>
      <c r="D1497">
        <v>0.68532635500000005</v>
      </c>
      <c r="E1497">
        <v>0.727031494</v>
      </c>
      <c r="F1497" s="1" t="s">
        <v>98</v>
      </c>
      <c r="G1497" s="1">
        <v>2.360103627</v>
      </c>
      <c r="H1497" s="1">
        <v>36.799999999999997</v>
      </c>
      <c r="I1497" s="1">
        <v>38.6</v>
      </c>
      <c r="J1497" s="1">
        <v>0.68303542400000017</v>
      </c>
      <c r="K1497" s="1">
        <v>0.44311141399999998</v>
      </c>
      <c r="L1497" s="1">
        <v>0.57053969199999999</v>
      </c>
      <c r="M1497" s="3">
        <v>0.59266330599999995</v>
      </c>
      <c r="N1497" s="1" t="s">
        <v>64</v>
      </c>
      <c r="O1497" s="1">
        <v>0.89618138400000003</v>
      </c>
      <c r="P1497" s="1">
        <v>29.7</v>
      </c>
      <c r="Q1497" s="1">
        <v>83.8</v>
      </c>
      <c r="R1497" s="1">
        <v>0.53543813733333334</v>
      </c>
      <c r="S1497" s="1">
        <v>0.26215659290497545</v>
      </c>
      <c r="T1497" t="s">
        <v>1644</v>
      </c>
      <c r="U1497" s="1">
        <v>145</v>
      </c>
      <c r="V1497">
        <f t="shared" si="92"/>
        <v>0.24015200024833053</v>
      </c>
      <c r="W1497" s="1">
        <f t="shared" si="93"/>
        <v>7.0999999999999979</v>
      </c>
      <c r="X1497">
        <f t="shared" si="94"/>
        <v>1.4639222429999998</v>
      </c>
      <c r="Y1497">
        <f t="shared" si="95"/>
        <v>45.199999999999996</v>
      </c>
      <c r="Z1497" s="1">
        <v>0</v>
      </c>
      <c r="AA1497">
        <v>100</v>
      </c>
      <c r="AB1497">
        <v>0</v>
      </c>
      <c r="AC1497">
        <v>0</v>
      </c>
      <c r="AD1497">
        <v>97</v>
      </c>
      <c r="AE1497">
        <v>0</v>
      </c>
      <c r="AF1497" t="s">
        <v>2593</v>
      </c>
      <c r="AG1497" t="s">
        <v>2590</v>
      </c>
    </row>
    <row r="1498" spans="1:33">
      <c r="A1498" s="2" t="s">
        <v>97</v>
      </c>
      <c r="B1498" s="2" t="s">
        <v>65</v>
      </c>
      <c r="C1498" s="1">
        <v>0.63674842300000001</v>
      </c>
      <c r="D1498">
        <v>0.68532635500000005</v>
      </c>
      <c r="E1498">
        <v>0.727031494</v>
      </c>
      <c r="F1498" s="1" t="s">
        <v>98</v>
      </c>
      <c r="G1498" s="1">
        <v>2.360103627</v>
      </c>
      <c r="H1498" s="1">
        <v>36.799999999999997</v>
      </c>
      <c r="I1498" s="1">
        <v>38.6</v>
      </c>
      <c r="J1498" s="1">
        <v>0.68303542400000017</v>
      </c>
      <c r="K1498" s="1">
        <v>0.67377447499999998</v>
      </c>
      <c r="L1498" s="1">
        <v>0.69144672900000004</v>
      </c>
      <c r="M1498" s="3">
        <v>0.73046409700000003</v>
      </c>
      <c r="N1498" s="1" t="s">
        <v>66</v>
      </c>
      <c r="O1498" s="1">
        <v>1.8507462690000001</v>
      </c>
      <c r="P1498" s="1">
        <v>34.5</v>
      </c>
      <c r="Q1498" s="1">
        <v>46.9</v>
      </c>
      <c r="R1498" s="1">
        <v>0.69856176700000006</v>
      </c>
      <c r="S1498" s="1">
        <v>3.7685146516395387E-2</v>
      </c>
      <c r="T1498" t="s">
        <v>1645</v>
      </c>
      <c r="U1498" s="1">
        <v>16226</v>
      </c>
      <c r="V1498">
        <f t="shared" si="92"/>
        <v>0.46780127462687049</v>
      </c>
      <c r="W1498" s="1">
        <f t="shared" si="93"/>
        <v>2.2999999999999972</v>
      </c>
      <c r="X1498">
        <f t="shared" si="94"/>
        <v>0.50935735799999993</v>
      </c>
      <c r="Y1498">
        <f t="shared" si="95"/>
        <v>8.2999999999999972</v>
      </c>
      <c r="Z1498" s="1">
        <v>38</v>
      </c>
      <c r="AA1498">
        <v>62</v>
      </c>
      <c r="AB1498">
        <v>0.6129</v>
      </c>
      <c r="AC1498">
        <v>30</v>
      </c>
      <c r="AD1498">
        <v>49</v>
      </c>
      <c r="AE1498">
        <v>0.61219999999999997</v>
      </c>
      <c r="AF1498" t="s">
        <v>2593</v>
      </c>
      <c r="AG1498" t="s">
        <v>2593</v>
      </c>
    </row>
    <row r="1499" spans="1:33">
      <c r="A1499" s="2" t="s">
        <v>97</v>
      </c>
      <c r="B1499" s="2" t="s">
        <v>67</v>
      </c>
      <c r="C1499" s="1">
        <v>0.63674842300000001</v>
      </c>
      <c r="D1499">
        <v>0.68532635500000005</v>
      </c>
      <c r="E1499">
        <v>0.727031494</v>
      </c>
      <c r="F1499" s="1" t="s">
        <v>98</v>
      </c>
      <c r="G1499" s="1">
        <v>2.360103627</v>
      </c>
      <c r="H1499" s="1">
        <v>36.799999999999997</v>
      </c>
      <c r="I1499" s="1">
        <v>38.6</v>
      </c>
      <c r="J1499" s="1">
        <v>0.68303542400000017</v>
      </c>
      <c r="K1499" s="1">
        <v>0.53971122199999999</v>
      </c>
      <c r="L1499" s="1">
        <v>0.621203065</v>
      </c>
      <c r="M1499" s="3">
        <v>0.67806811499999997</v>
      </c>
      <c r="N1499" s="1" t="s">
        <v>68</v>
      </c>
      <c r="O1499" s="1">
        <v>1.5131894480000001</v>
      </c>
      <c r="P1499" s="1">
        <v>27.2</v>
      </c>
      <c r="Q1499" s="1">
        <v>41.7</v>
      </c>
      <c r="R1499" s="1">
        <v>0.61299413400000002</v>
      </c>
      <c r="S1499" s="1">
        <v>0.12619598718436398</v>
      </c>
      <c r="T1499" t="s">
        <v>1646</v>
      </c>
      <c r="U1499" s="1">
        <v>2217</v>
      </c>
      <c r="V1499">
        <f t="shared" si="92"/>
        <v>0.37175174367938757</v>
      </c>
      <c r="W1499" s="1">
        <f t="shared" si="93"/>
        <v>9.5999999999999979</v>
      </c>
      <c r="X1499">
        <f t="shared" si="94"/>
        <v>0.84691417899999988</v>
      </c>
      <c r="Y1499">
        <f t="shared" si="95"/>
        <v>3.1000000000000014</v>
      </c>
      <c r="Z1499" s="1">
        <v>0</v>
      </c>
      <c r="AA1499">
        <v>100</v>
      </c>
      <c r="AB1499">
        <v>0</v>
      </c>
      <c r="AC1499">
        <v>0</v>
      </c>
      <c r="AD1499">
        <v>90</v>
      </c>
      <c r="AE1499">
        <v>0</v>
      </c>
      <c r="AF1499" t="s">
        <v>2593</v>
      </c>
      <c r="AG1499" t="s">
        <v>2588</v>
      </c>
    </row>
    <row r="1500" spans="1:33">
      <c r="A1500" s="2" t="s">
        <v>97</v>
      </c>
      <c r="B1500" s="2" t="s">
        <v>69</v>
      </c>
      <c r="C1500" s="1">
        <v>0.63674842300000001</v>
      </c>
      <c r="D1500">
        <v>0.68532635500000005</v>
      </c>
      <c r="E1500">
        <v>0.727031494</v>
      </c>
      <c r="F1500" s="1" t="s">
        <v>98</v>
      </c>
      <c r="G1500" s="1">
        <v>2.360103627</v>
      </c>
      <c r="H1500" s="1">
        <v>36.799999999999997</v>
      </c>
      <c r="I1500" s="1">
        <v>38.6</v>
      </c>
      <c r="J1500" s="1">
        <v>0.68303542400000017</v>
      </c>
      <c r="K1500" s="1">
        <v>0.50188385300000005</v>
      </c>
      <c r="L1500" s="1">
        <v>0.64580031500000001</v>
      </c>
      <c r="M1500" s="3">
        <v>0.66006355800000005</v>
      </c>
      <c r="N1500" s="1" t="s">
        <v>70</v>
      </c>
      <c r="O1500" s="1">
        <v>1.2401055409999999</v>
      </c>
      <c r="P1500" s="1">
        <v>43.4</v>
      </c>
      <c r="Q1500" s="1">
        <v>75.8</v>
      </c>
      <c r="R1500" s="1">
        <v>0.60258257533333337</v>
      </c>
      <c r="S1500" s="1">
        <v>0.15567743745150284</v>
      </c>
      <c r="T1500" t="s">
        <v>1647</v>
      </c>
      <c r="U1500" s="1">
        <v>117</v>
      </c>
      <c r="V1500">
        <f t="shared" si="92"/>
        <v>0.22979842908290685</v>
      </c>
      <c r="W1500" s="1">
        <f t="shared" si="93"/>
        <v>6.6000000000000014</v>
      </c>
      <c r="X1500">
        <f t="shared" si="94"/>
        <v>1.1199980860000001</v>
      </c>
      <c r="Y1500">
        <f t="shared" si="95"/>
        <v>37.199999999999996</v>
      </c>
      <c r="Z1500" s="1">
        <v>0</v>
      </c>
      <c r="AA1500">
        <v>100</v>
      </c>
      <c r="AB1500">
        <v>0</v>
      </c>
      <c r="AC1500">
        <v>0</v>
      </c>
      <c r="AD1500">
        <v>97</v>
      </c>
      <c r="AE1500">
        <v>0</v>
      </c>
      <c r="AF1500" t="s">
        <v>2593</v>
      </c>
      <c r="AG1500" t="s">
        <v>2589</v>
      </c>
    </row>
    <row r="1501" spans="1:33">
      <c r="A1501" s="2" t="s">
        <v>97</v>
      </c>
      <c r="B1501" s="2" t="s">
        <v>71</v>
      </c>
      <c r="C1501" s="1">
        <v>0.63674842300000001</v>
      </c>
      <c r="D1501">
        <v>0.68532635500000005</v>
      </c>
      <c r="E1501">
        <v>0.727031494</v>
      </c>
      <c r="F1501" s="1" t="s">
        <v>98</v>
      </c>
      <c r="G1501" s="1">
        <v>2.360103627</v>
      </c>
      <c r="H1501" s="1">
        <v>36.799999999999997</v>
      </c>
      <c r="I1501" s="1">
        <v>38.6</v>
      </c>
      <c r="J1501" s="1">
        <v>0.68303542400000017</v>
      </c>
      <c r="K1501" s="1">
        <v>0.53267569100000001</v>
      </c>
      <c r="L1501" s="1">
        <v>0.64507433599999997</v>
      </c>
      <c r="M1501" s="3">
        <v>0.66598465100000004</v>
      </c>
      <c r="N1501" s="1" t="s">
        <v>72</v>
      </c>
      <c r="O1501" s="1">
        <v>0.97289666900000005</v>
      </c>
      <c r="P1501" s="1">
        <v>64.8</v>
      </c>
      <c r="Q1501" s="1">
        <v>177.1</v>
      </c>
      <c r="R1501" s="1">
        <v>0.61457822600000001</v>
      </c>
      <c r="S1501" s="1">
        <v>0.12719306435410241</v>
      </c>
      <c r="T1501" t="s">
        <v>1648</v>
      </c>
      <c r="U1501" s="1">
        <v>853</v>
      </c>
      <c r="V1501">
        <f t="shared" si="92"/>
        <v>0.3256610034630581</v>
      </c>
      <c r="W1501" s="1">
        <f t="shared" si="93"/>
        <v>28</v>
      </c>
      <c r="X1501">
        <f t="shared" si="94"/>
        <v>1.3872069579999999</v>
      </c>
      <c r="Y1501">
        <f t="shared" si="95"/>
        <v>138.5</v>
      </c>
      <c r="Z1501" s="1">
        <v>2</v>
      </c>
      <c r="AA1501">
        <v>98</v>
      </c>
      <c r="AB1501">
        <v>2.0400000000000001E-2</v>
      </c>
      <c r="AC1501">
        <v>2</v>
      </c>
      <c r="AD1501">
        <v>106</v>
      </c>
      <c r="AE1501">
        <v>1.89E-2</v>
      </c>
      <c r="AF1501" t="s">
        <v>2593</v>
      </c>
      <c r="AG1501" t="s">
        <v>2589</v>
      </c>
    </row>
    <row r="1502" spans="1:33">
      <c r="A1502" s="2" t="s">
        <v>97</v>
      </c>
      <c r="B1502" s="2" t="s">
        <v>73</v>
      </c>
      <c r="C1502" s="1">
        <v>0.63674842300000001</v>
      </c>
      <c r="D1502">
        <v>0.68532635500000005</v>
      </c>
      <c r="E1502">
        <v>0.727031494</v>
      </c>
      <c r="F1502" s="1" t="s">
        <v>98</v>
      </c>
      <c r="G1502" s="1">
        <v>2.360103627</v>
      </c>
      <c r="H1502" s="1">
        <v>36.799999999999997</v>
      </c>
      <c r="I1502" s="1">
        <v>38.6</v>
      </c>
      <c r="J1502" s="1">
        <v>0.68303542400000017</v>
      </c>
      <c r="K1502" s="1">
        <v>0.55697925299999995</v>
      </c>
      <c r="L1502" s="1">
        <v>0.64461978399999997</v>
      </c>
      <c r="M1502" s="3">
        <v>0.69570690000000002</v>
      </c>
      <c r="N1502" s="1" t="s">
        <v>74</v>
      </c>
      <c r="O1502" s="1">
        <v>1.23433584</v>
      </c>
      <c r="P1502" s="1">
        <v>44</v>
      </c>
      <c r="Q1502" s="1">
        <v>79.8</v>
      </c>
      <c r="R1502" s="1">
        <v>0.63243531233333328</v>
      </c>
      <c r="S1502" s="1">
        <v>9.4875579546750549E-2</v>
      </c>
      <c r="T1502" t="s">
        <v>1649</v>
      </c>
      <c r="U1502" s="1">
        <v>113</v>
      </c>
      <c r="V1502">
        <f t="shared" si="92"/>
        <v>0.22811982705371328</v>
      </c>
      <c r="W1502" s="1">
        <f t="shared" si="93"/>
        <v>7.2000000000000028</v>
      </c>
      <c r="X1502">
        <f t="shared" si="94"/>
        <v>1.125767787</v>
      </c>
      <c r="Y1502">
        <f t="shared" si="95"/>
        <v>41.199999999999996</v>
      </c>
      <c r="Z1502" s="1">
        <v>0</v>
      </c>
      <c r="AA1502">
        <v>100</v>
      </c>
      <c r="AB1502">
        <v>0</v>
      </c>
      <c r="AC1502">
        <v>0</v>
      </c>
      <c r="AD1502">
        <v>93</v>
      </c>
      <c r="AE1502">
        <v>0</v>
      </c>
      <c r="AF1502" t="s">
        <v>2593</v>
      </c>
      <c r="AG1502" t="s">
        <v>2589</v>
      </c>
    </row>
    <row r="1503" spans="1:33">
      <c r="A1503" s="2" t="s">
        <v>97</v>
      </c>
      <c r="B1503" s="2" t="s">
        <v>75</v>
      </c>
      <c r="C1503" s="1">
        <v>0.63674842300000001</v>
      </c>
      <c r="D1503">
        <v>0.68532635500000005</v>
      </c>
      <c r="E1503">
        <v>0.727031494</v>
      </c>
      <c r="F1503" s="1" t="s">
        <v>98</v>
      </c>
      <c r="G1503" s="1">
        <v>2.360103627</v>
      </c>
      <c r="H1503" s="1">
        <v>36.799999999999997</v>
      </c>
      <c r="I1503" s="1">
        <v>38.6</v>
      </c>
      <c r="J1503" s="1">
        <v>0.68303542400000017</v>
      </c>
      <c r="K1503" s="1">
        <v>0.50354843500000002</v>
      </c>
      <c r="L1503" s="1">
        <v>0.59724402499999996</v>
      </c>
      <c r="M1503" s="3">
        <v>0.70308254199999998</v>
      </c>
      <c r="N1503" s="1" t="s">
        <v>76</v>
      </c>
      <c r="O1503" s="1">
        <v>1.2696850390000001</v>
      </c>
      <c r="P1503" s="1">
        <v>26.6</v>
      </c>
      <c r="Q1503" s="1">
        <v>50.8</v>
      </c>
      <c r="R1503" s="1">
        <v>0.60129166733333339</v>
      </c>
      <c r="S1503" s="1">
        <v>0.16147534165725541</v>
      </c>
      <c r="T1503" t="s">
        <v>1650</v>
      </c>
      <c r="U1503" s="1">
        <v>578</v>
      </c>
      <c r="V1503">
        <f t="shared" si="92"/>
        <v>0.30688087093561434</v>
      </c>
      <c r="W1503" s="1">
        <f t="shared" si="93"/>
        <v>10.199999999999996</v>
      </c>
      <c r="X1503">
        <f t="shared" si="94"/>
        <v>1.0904185879999999</v>
      </c>
      <c r="Y1503">
        <f t="shared" si="95"/>
        <v>12.199999999999996</v>
      </c>
      <c r="Z1503" s="1">
        <v>0</v>
      </c>
      <c r="AA1503">
        <v>100</v>
      </c>
      <c r="AB1503">
        <v>0</v>
      </c>
      <c r="AC1503">
        <v>0</v>
      </c>
      <c r="AD1503">
        <v>93</v>
      </c>
      <c r="AE1503">
        <v>0</v>
      </c>
      <c r="AF1503" t="s">
        <v>2593</v>
      </c>
      <c r="AG1503" t="s">
        <v>2594</v>
      </c>
    </row>
    <row r="1504" spans="1:33">
      <c r="A1504" s="2" t="s">
        <v>97</v>
      </c>
      <c r="B1504" s="2" t="s">
        <v>77</v>
      </c>
      <c r="C1504" s="1">
        <v>0.63674842300000001</v>
      </c>
      <c r="D1504">
        <v>0.68532635500000005</v>
      </c>
      <c r="E1504">
        <v>0.727031494</v>
      </c>
      <c r="F1504" s="1" t="s">
        <v>98</v>
      </c>
      <c r="G1504" s="1">
        <v>2.360103627</v>
      </c>
      <c r="H1504" s="1">
        <v>36.799999999999997</v>
      </c>
      <c r="I1504" s="1">
        <v>38.6</v>
      </c>
      <c r="J1504" s="1">
        <v>0.68303542400000017</v>
      </c>
      <c r="K1504" s="1">
        <v>0.54630843299999998</v>
      </c>
      <c r="L1504" s="1">
        <v>0.68935555900000001</v>
      </c>
      <c r="M1504" s="3">
        <v>0.65478744899999997</v>
      </c>
      <c r="N1504" s="1" t="s">
        <v>78</v>
      </c>
      <c r="O1504" s="1">
        <v>1.3914285710000001</v>
      </c>
      <c r="P1504" s="1">
        <v>56.5</v>
      </c>
      <c r="Q1504" s="1">
        <v>105</v>
      </c>
      <c r="R1504" s="1">
        <v>0.63015048033333343</v>
      </c>
      <c r="S1504" s="1">
        <v>0.11582239988031569</v>
      </c>
      <c r="T1504" t="s">
        <v>1651</v>
      </c>
      <c r="U1504" s="1">
        <v>419</v>
      </c>
      <c r="V1504">
        <f t="shared" si="92"/>
        <v>0.29135711366292166</v>
      </c>
      <c r="W1504" s="1">
        <f t="shared" si="93"/>
        <v>19.700000000000003</v>
      </c>
      <c r="X1504">
        <f t="shared" si="94"/>
        <v>0.96867505599999992</v>
      </c>
      <c r="Y1504">
        <f t="shared" si="95"/>
        <v>66.400000000000006</v>
      </c>
      <c r="Z1504" s="1">
        <v>0</v>
      </c>
      <c r="AA1504">
        <v>100</v>
      </c>
      <c r="AB1504">
        <v>0</v>
      </c>
      <c r="AC1504">
        <v>0</v>
      </c>
      <c r="AD1504">
        <v>82</v>
      </c>
      <c r="AE1504">
        <v>0</v>
      </c>
      <c r="AF1504" t="s">
        <v>2593</v>
      </c>
      <c r="AG1504" t="s">
        <v>2590</v>
      </c>
    </row>
    <row r="1505" spans="1:33">
      <c r="A1505" s="2" t="s">
        <v>97</v>
      </c>
      <c r="B1505" s="2" t="s">
        <v>79</v>
      </c>
      <c r="C1505" s="1">
        <v>0.63674842300000001</v>
      </c>
      <c r="D1505">
        <v>0.68532635500000005</v>
      </c>
      <c r="E1505">
        <v>0.727031494</v>
      </c>
      <c r="F1505" s="1" t="s">
        <v>98</v>
      </c>
      <c r="G1505" s="1">
        <v>2.360103627</v>
      </c>
      <c r="H1505" s="1">
        <v>36.799999999999997</v>
      </c>
      <c r="I1505" s="1">
        <v>38.6</v>
      </c>
      <c r="J1505" s="1">
        <v>0.68303542400000017</v>
      </c>
      <c r="K1505" s="1">
        <v>0.63652882899999996</v>
      </c>
      <c r="L1505" s="1">
        <v>0.77536518600000004</v>
      </c>
      <c r="M1505" s="3">
        <v>0.610415606</v>
      </c>
      <c r="N1505" s="1" t="s">
        <v>80</v>
      </c>
      <c r="O1505" s="1">
        <v>0.95325542600000002</v>
      </c>
      <c r="P1505" s="1">
        <v>45.6</v>
      </c>
      <c r="Q1505" s="1">
        <v>119.8</v>
      </c>
      <c r="R1505" s="1">
        <v>0.67410320700000004</v>
      </c>
      <c r="S1505" s="1">
        <v>0.14733059642653978</v>
      </c>
      <c r="T1505" t="s">
        <v>1652</v>
      </c>
      <c r="U1505" s="1">
        <v>233</v>
      </c>
      <c r="V1505">
        <f t="shared" si="92"/>
        <v>0.26303954678066876</v>
      </c>
      <c r="W1505" s="1">
        <f t="shared" si="93"/>
        <v>8.8000000000000043</v>
      </c>
      <c r="X1505">
        <f t="shared" si="94"/>
        <v>1.4068482009999999</v>
      </c>
      <c r="Y1505">
        <f t="shared" si="95"/>
        <v>81.199999999999989</v>
      </c>
      <c r="Z1505" s="1">
        <v>0</v>
      </c>
      <c r="AA1505">
        <v>100</v>
      </c>
      <c r="AB1505">
        <v>0</v>
      </c>
      <c r="AC1505">
        <v>0</v>
      </c>
      <c r="AD1505">
        <v>73</v>
      </c>
      <c r="AE1505">
        <v>0</v>
      </c>
      <c r="AF1505" t="s">
        <v>2593</v>
      </c>
      <c r="AG1505" t="s">
        <v>2590</v>
      </c>
    </row>
    <row r="1506" spans="1:33">
      <c r="A1506" s="2" t="s">
        <v>97</v>
      </c>
      <c r="B1506" s="2" t="s">
        <v>81</v>
      </c>
      <c r="C1506" s="1">
        <v>0.63674842300000001</v>
      </c>
      <c r="D1506">
        <v>0.68532635500000005</v>
      </c>
      <c r="E1506">
        <v>0.727031494</v>
      </c>
      <c r="F1506" s="1" t="s">
        <v>98</v>
      </c>
      <c r="G1506" s="1">
        <v>2.360103627</v>
      </c>
      <c r="H1506" s="1">
        <v>36.799999999999997</v>
      </c>
      <c r="I1506" s="1">
        <v>38.6</v>
      </c>
      <c r="J1506" s="1">
        <v>0.68303542400000017</v>
      </c>
      <c r="K1506" s="1">
        <v>0.50183280699999999</v>
      </c>
      <c r="L1506" s="1">
        <v>0.68550824600000004</v>
      </c>
      <c r="M1506" s="3">
        <v>0.66941488999999998</v>
      </c>
      <c r="N1506" s="1" t="s">
        <v>82</v>
      </c>
      <c r="O1506" s="1">
        <v>1.4359576970000001</v>
      </c>
      <c r="P1506" s="1">
        <v>51</v>
      </c>
      <c r="Q1506" s="1">
        <v>85.1</v>
      </c>
      <c r="R1506" s="1">
        <v>0.61891864766666671</v>
      </c>
      <c r="S1506" s="1">
        <v>0.14670354317973427</v>
      </c>
      <c r="T1506" t="s">
        <v>1653</v>
      </c>
      <c r="U1506" s="1">
        <v>710</v>
      </c>
      <c r="V1506">
        <f t="shared" si="92"/>
        <v>0.3168064831910084</v>
      </c>
      <c r="W1506" s="1">
        <f t="shared" si="93"/>
        <v>14.200000000000003</v>
      </c>
      <c r="X1506">
        <f t="shared" si="94"/>
        <v>0.92414592999999989</v>
      </c>
      <c r="Y1506">
        <f t="shared" si="95"/>
        <v>46.499999999999993</v>
      </c>
      <c r="Z1506" s="1">
        <v>2</v>
      </c>
      <c r="AA1506">
        <v>98</v>
      </c>
      <c r="AB1506">
        <v>2.0400000000000001E-2</v>
      </c>
      <c r="AC1506">
        <v>3</v>
      </c>
      <c r="AD1506">
        <v>81</v>
      </c>
      <c r="AE1506">
        <v>3.6999999999999998E-2</v>
      </c>
      <c r="AF1506" t="s">
        <v>2593</v>
      </c>
      <c r="AG1506" t="s">
        <v>2589</v>
      </c>
    </row>
    <row r="1507" spans="1:33">
      <c r="A1507" s="2" t="s">
        <v>97</v>
      </c>
      <c r="B1507" s="2" t="s">
        <v>83</v>
      </c>
      <c r="C1507" s="1">
        <v>0.63674842300000001</v>
      </c>
      <c r="D1507">
        <v>0.68532635500000005</v>
      </c>
      <c r="E1507">
        <v>0.727031494</v>
      </c>
      <c r="F1507" s="1" t="s">
        <v>98</v>
      </c>
      <c r="G1507" s="1">
        <v>2.360103627</v>
      </c>
      <c r="H1507" s="1">
        <v>36.799999999999997</v>
      </c>
      <c r="I1507" s="1">
        <v>38.6</v>
      </c>
      <c r="J1507" s="1">
        <v>0.68303542400000017</v>
      </c>
      <c r="K1507" s="1">
        <v>0.51815179099999997</v>
      </c>
      <c r="L1507" s="1">
        <v>0.50115949400000004</v>
      </c>
      <c r="M1507" s="3">
        <v>0.68053170600000001</v>
      </c>
      <c r="N1507" s="1" t="s">
        <v>84</v>
      </c>
      <c r="O1507" s="1">
        <v>1.760323887</v>
      </c>
      <c r="P1507" s="1">
        <v>83.4</v>
      </c>
      <c r="Q1507" s="1">
        <v>123.5</v>
      </c>
      <c r="R1507" s="1">
        <v>0.56661433033333342</v>
      </c>
      <c r="S1507" s="1">
        <v>0.22393040011660253</v>
      </c>
      <c r="T1507" t="s">
        <v>1654</v>
      </c>
      <c r="U1507" s="1">
        <v>1146</v>
      </c>
      <c r="V1507">
        <f t="shared" si="92"/>
        <v>0.33990940195904124</v>
      </c>
      <c r="W1507" s="1">
        <f t="shared" si="93"/>
        <v>46.600000000000009</v>
      </c>
      <c r="X1507">
        <f t="shared" si="94"/>
        <v>0.59977974000000001</v>
      </c>
      <c r="Y1507">
        <f t="shared" si="95"/>
        <v>84.9</v>
      </c>
      <c r="Z1507" s="1">
        <v>0</v>
      </c>
      <c r="AA1507">
        <v>100</v>
      </c>
      <c r="AB1507">
        <v>0</v>
      </c>
      <c r="AC1507">
        <v>0</v>
      </c>
      <c r="AD1507">
        <v>79</v>
      </c>
      <c r="AE1507">
        <v>0</v>
      </c>
      <c r="AF1507" t="s">
        <v>2593</v>
      </c>
      <c r="AG1507" t="s">
        <v>2589</v>
      </c>
    </row>
    <row r="1508" spans="1:33">
      <c r="A1508" s="2" t="s">
        <v>97</v>
      </c>
      <c r="B1508" s="2" t="s">
        <v>85</v>
      </c>
      <c r="C1508" s="1">
        <v>0.63674842300000001</v>
      </c>
      <c r="D1508">
        <v>0.68532635500000005</v>
      </c>
      <c r="E1508">
        <v>0.727031494</v>
      </c>
      <c r="F1508" s="1" t="s">
        <v>98</v>
      </c>
      <c r="G1508" s="1">
        <v>2.360103627</v>
      </c>
      <c r="H1508" s="1">
        <v>36.799999999999997</v>
      </c>
      <c r="I1508" s="1">
        <v>38.6</v>
      </c>
      <c r="J1508" s="1">
        <v>0.68303542400000017</v>
      </c>
      <c r="K1508" s="1">
        <v>0.522280945</v>
      </c>
      <c r="L1508" s="1">
        <v>0.58016629799999997</v>
      </c>
      <c r="M1508" s="3">
        <v>0.62446713499999995</v>
      </c>
      <c r="N1508" s="1" t="s">
        <v>86</v>
      </c>
      <c r="O1508" s="1">
        <v>0.57177615599999998</v>
      </c>
      <c r="P1508" s="1">
        <v>19.5</v>
      </c>
      <c r="Q1508" s="1">
        <v>82.2</v>
      </c>
      <c r="R1508" s="1">
        <v>0.57563812599999997</v>
      </c>
      <c r="S1508" s="1">
        <v>0.18622805600930448</v>
      </c>
      <c r="T1508" t="s">
        <v>1655</v>
      </c>
      <c r="U1508" s="1">
        <v>212</v>
      </c>
      <c r="V1508">
        <f t="shared" si="92"/>
        <v>0.25848176232541681</v>
      </c>
      <c r="W1508" s="1">
        <f t="shared" si="93"/>
        <v>17.299999999999997</v>
      </c>
      <c r="X1508">
        <f t="shared" si="94"/>
        <v>1.7883274710000001</v>
      </c>
      <c r="Y1508">
        <f t="shared" si="95"/>
        <v>43.6</v>
      </c>
      <c r="Z1508" s="1">
        <v>0</v>
      </c>
      <c r="AA1508">
        <v>100</v>
      </c>
      <c r="AB1508">
        <v>0</v>
      </c>
      <c r="AC1508">
        <v>0</v>
      </c>
      <c r="AD1508">
        <v>144</v>
      </c>
      <c r="AE1508">
        <v>0</v>
      </c>
      <c r="AF1508" t="s">
        <v>2593</v>
      </c>
      <c r="AG1508" t="s">
        <v>2590</v>
      </c>
    </row>
    <row r="1509" spans="1:33">
      <c r="A1509" s="2" t="s">
        <v>97</v>
      </c>
      <c r="B1509" s="2" t="s">
        <v>87</v>
      </c>
      <c r="C1509" s="1">
        <v>0.63674842300000001</v>
      </c>
      <c r="D1509">
        <v>0.68532635500000005</v>
      </c>
      <c r="E1509">
        <v>0.727031494</v>
      </c>
      <c r="F1509" s="1" t="s">
        <v>98</v>
      </c>
      <c r="G1509" s="1">
        <v>2.360103627</v>
      </c>
      <c r="H1509" s="1">
        <v>36.799999999999997</v>
      </c>
      <c r="I1509" s="1">
        <v>38.6</v>
      </c>
      <c r="J1509" s="1">
        <v>0.68303542400000017</v>
      </c>
      <c r="K1509" s="1">
        <v>0.46780425199999998</v>
      </c>
      <c r="L1509" s="1">
        <v>0.54149707400000002</v>
      </c>
      <c r="M1509" s="3">
        <v>0.61626236400000001</v>
      </c>
      <c r="N1509" s="1" t="s">
        <v>88</v>
      </c>
      <c r="O1509" s="1">
        <v>1.395454545</v>
      </c>
      <c r="P1509" s="1">
        <v>65.2</v>
      </c>
      <c r="Q1509" s="1">
        <v>110</v>
      </c>
      <c r="R1509" s="1">
        <v>0.54185456333333337</v>
      </c>
      <c r="S1509" s="1">
        <v>0.24798950612639059</v>
      </c>
      <c r="T1509" t="s">
        <v>1656</v>
      </c>
      <c r="U1509" s="1">
        <v>908</v>
      </c>
      <c r="V1509">
        <f t="shared" si="92"/>
        <v>0.32867620539123166</v>
      </c>
      <c r="W1509" s="1">
        <f t="shared" si="93"/>
        <v>28.400000000000006</v>
      </c>
      <c r="X1509">
        <f t="shared" si="94"/>
        <v>0.96464908199999999</v>
      </c>
      <c r="Y1509">
        <f t="shared" si="95"/>
        <v>71.400000000000006</v>
      </c>
      <c r="Z1509" s="1">
        <v>0</v>
      </c>
      <c r="AA1509">
        <v>100</v>
      </c>
      <c r="AB1509">
        <v>0</v>
      </c>
      <c r="AC1509">
        <v>0</v>
      </c>
      <c r="AD1509">
        <v>77</v>
      </c>
      <c r="AE1509">
        <v>0</v>
      </c>
      <c r="AF1509" t="s">
        <v>2593</v>
      </c>
      <c r="AG1509" t="s">
        <v>2590</v>
      </c>
    </row>
    <row r="1510" spans="1:33">
      <c r="A1510" s="2" t="s">
        <v>97</v>
      </c>
      <c r="B1510" s="2" t="s">
        <v>89</v>
      </c>
      <c r="C1510" s="1">
        <v>0.63674842300000001</v>
      </c>
      <c r="D1510">
        <v>0.68532635500000005</v>
      </c>
      <c r="E1510">
        <v>0.727031494</v>
      </c>
      <c r="F1510" s="1" t="s">
        <v>98</v>
      </c>
      <c r="G1510" s="1">
        <v>2.360103627</v>
      </c>
      <c r="H1510" s="1">
        <v>36.799999999999997</v>
      </c>
      <c r="I1510" s="1">
        <v>38.6</v>
      </c>
      <c r="J1510" s="1">
        <v>0.68303542400000017</v>
      </c>
      <c r="K1510" s="1">
        <v>0.51097051500000001</v>
      </c>
      <c r="L1510" s="1">
        <v>0.61917891400000002</v>
      </c>
      <c r="M1510" s="3">
        <v>0.60984479800000002</v>
      </c>
      <c r="N1510" s="1" t="s">
        <v>90</v>
      </c>
      <c r="O1510" s="1">
        <v>1.429752066</v>
      </c>
      <c r="P1510" s="1">
        <v>59.8</v>
      </c>
      <c r="Q1510" s="1">
        <v>108.9</v>
      </c>
      <c r="R1510" s="1">
        <v>0.57999807566666661</v>
      </c>
      <c r="S1510" s="1">
        <v>0.18419632952668019</v>
      </c>
      <c r="T1510" t="s">
        <v>1657</v>
      </c>
      <c r="U1510" s="1">
        <v>1198</v>
      </c>
      <c r="V1510">
        <f t="shared" si="92"/>
        <v>0.34205075756147696</v>
      </c>
      <c r="W1510" s="1">
        <f t="shared" si="93"/>
        <v>23</v>
      </c>
      <c r="X1510">
        <f t="shared" si="94"/>
        <v>0.93035156099999994</v>
      </c>
      <c r="Y1510">
        <f t="shared" si="95"/>
        <v>70.300000000000011</v>
      </c>
      <c r="Z1510" s="1">
        <v>0</v>
      </c>
      <c r="AA1510">
        <v>100</v>
      </c>
      <c r="AB1510">
        <v>0</v>
      </c>
      <c r="AC1510">
        <v>0</v>
      </c>
      <c r="AD1510">
        <v>86</v>
      </c>
      <c r="AE1510">
        <v>0</v>
      </c>
      <c r="AF1510" t="s">
        <v>2593</v>
      </c>
      <c r="AG1510" t="s">
        <v>2589</v>
      </c>
    </row>
    <row r="1511" spans="1:33">
      <c r="A1511" s="2" t="s">
        <v>97</v>
      </c>
      <c r="B1511" s="2" t="s">
        <v>91</v>
      </c>
      <c r="C1511" s="1">
        <v>0.63674842300000001</v>
      </c>
      <c r="D1511">
        <v>0.68532635500000005</v>
      </c>
      <c r="E1511">
        <v>0.727031494</v>
      </c>
      <c r="F1511" s="1" t="s">
        <v>98</v>
      </c>
      <c r="G1511" s="1">
        <v>2.360103627</v>
      </c>
      <c r="H1511" s="1">
        <v>36.799999999999997</v>
      </c>
      <c r="I1511" s="1">
        <v>38.6</v>
      </c>
      <c r="J1511" s="1">
        <v>0.68303542400000017</v>
      </c>
      <c r="K1511" s="1">
        <v>0.37439919700000002</v>
      </c>
      <c r="L1511" s="1">
        <v>0.508839347</v>
      </c>
      <c r="M1511" s="3">
        <v>0.52701193599999996</v>
      </c>
      <c r="N1511" s="1" t="s">
        <v>92</v>
      </c>
      <c r="O1511" s="1">
        <v>1.911504425</v>
      </c>
      <c r="P1511" s="1">
        <v>24.6</v>
      </c>
      <c r="Q1511" s="1">
        <v>33.9</v>
      </c>
      <c r="R1511" s="1">
        <v>0.47008349333333332</v>
      </c>
      <c r="S1511" s="1">
        <v>0.37414249151640944</v>
      </c>
      <c r="T1511" t="s">
        <v>1658</v>
      </c>
      <c r="U1511" s="1">
        <v>709</v>
      </c>
      <c r="V1511">
        <f t="shared" si="92"/>
        <v>0.31673847057589627</v>
      </c>
      <c r="W1511" s="1">
        <f t="shared" si="93"/>
        <v>12.199999999999996</v>
      </c>
      <c r="X1511">
        <f t="shared" si="94"/>
        <v>0.44859920200000003</v>
      </c>
      <c r="Y1511">
        <f t="shared" si="95"/>
        <v>4.7000000000000028</v>
      </c>
      <c r="Z1511" s="1">
        <v>0</v>
      </c>
      <c r="AA1511">
        <v>100</v>
      </c>
      <c r="AB1511">
        <v>0</v>
      </c>
      <c r="AC1511">
        <v>0</v>
      </c>
      <c r="AD1511">
        <v>93</v>
      </c>
      <c r="AE1511">
        <v>0</v>
      </c>
      <c r="AF1511" t="s">
        <v>2593</v>
      </c>
      <c r="AG1511" t="s">
        <v>2590</v>
      </c>
    </row>
    <row r="1512" spans="1:33">
      <c r="A1512" s="2" t="s">
        <v>97</v>
      </c>
      <c r="B1512" s="2" t="s">
        <v>93</v>
      </c>
      <c r="C1512" s="1">
        <v>0.63674842300000001</v>
      </c>
      <c r="D1512">
        <v>0.68532635500000005</v>
      </c>
      <c r="E1512">
        <v>0.727031494</v>
      </c>
      <c r="F1512" s="1" t="s">
        <v>98</v>
      </c>
      <c r="G1512" s="1">
        <v>2.360103627</v>
      </c>
      <c r="H1512" s="1">
        <v>36.799999999999997</v>
      </c>
      <c r="I1512" s="1">
        <v>38.6</v>
      </c>
      <c r="J1512" s="1">
        <v>0.68303542400000017</v>
      </c>
      <c r="K1512" s="1">
        <v>0.54134617200000001</v>
      </c>
      <c r="L1512" s="1">
        <v>0.674899633</v>
      </c>
      <c r="M1512" s="3">
        <v>0.719840174</v>
      </c>
      <c r="N1512" s="1" t="s">
        <v>94</v>
      </c>
      <c r="O1512" s="1">
        <v>1.175388967</v>
      </c>
      <c r="P1512" s="1">
        <v>36.6</v>
      </c>
      <c r="Q1512" s="1">
        <v>70.7</v>
      </c>
      <c r="R1512" s="1">
        <v>0.64536199299999997</v>
      </c>
      <c r="S1512" s="1">
        <v>9.6239394796905728E-2</v>
      </c>
      <c r="T1512" t="s">
        <v>1659</v>
      </c>
      <c r="U1512" s="1">
        <v>136</v>
      </c>
      <c r="V1512">
        <f t="shared" si="92"/>
        <v>0.23705987870780193</v>
      </c>
      <c r="W1512" s="1">
        <f t="shared" si="93"/>
        <v>0.19999999999999574</v>
      </c>
      <c r="X1512">
        <f t="shared" si="94"/>
        <v>1.18471466</v>
      </c>
      <c r="Y1512">
        <f t="shared" si="95"/>
        <v>32.1</v>
      </c>
      <c r="Z1512" s="1">
        <v>0</v>
      </c>
      <c r="AA1512">
        <v>100</v>
      </c>
      <c r="AB1512">
        <v>0</v>
      </c>
      <c r="AC1512">
        <v>0</v>
      </c>
      <c r="AD1512">
        <v>84</v>
      </c>
      <c r="AE1512">
        <v>0</v>
      </c>
      <c r="AF1512" t="s">
        <v>2593</v>
      </c>
      <c r="AG1512" t="s">
        <v>2589</v>
      </c>
    </row>
    <row r="1513" spans="1:33">
      <c r="A1513" s="2" t="s">
        <v>97</v>
      </c>
      <c r="B1513" s="2" t="s">
        <v>95</v>
      </c>
      <c r="C1513" s="1">
        <v>0.63674842300000001</v>
      </c>
      <c r="D1513">
        <v>0.68532635500000005</v>
      </c>
      <c r="E1513">
        <v>0.727031494</v>
      </c>
      <c r="F1513" s="1" t="s">
        <v>98</v>
      </c>
      <c r="G1513" s="1">
        <v>2.360103627</v>
      </c>
      <c r="H1513" s="1">
        <v>36.799999999999997</v>
      </c>
      <c r="I1513" s="1">
        <v>38.6</v>
      </c>
      <c r="J1513" s="1">
        <v>0.68303542400000017</v>
      </c>
      <c r="K1513" s="1">
        <v>0.59462093100000002</v>
      </c>
      <c r="L1513" s="1">
        <v>0.68038960500000001</v>
      </c>
      <c r="M1513" s="3">
        <v>0.72533004899999998</v>
      </c>
      <c r="N1513" s="1" t="s">
        <v>96</v>
      </c>
      <c r="O1513" s="1">
        <v>1.9717647060000001</v>
      </c>
      <c r="P1513" s="1">
        <v>34.6</v>
      </c>
      <c r="Q1513" s="1">
        <v>42.5</v>
      </c>
      <c r="R1513" s="1">
        <v>0.66678019499999996</v>
      </c>
      <c r="S1513" s="1">
        <v>4.2449876299708915E-2</v>
      </c>
      <c r="T1513" t="s">
        <v>1660</v>
      </c>
      <c r="U1513" s="1">
        <v>67055</v>
      </c>
      <c r="V1513">
        <f t="shared" si="92"/>
        <v>0.53627012964972853</v>
      </c>
      <c r="W1513" s="1">
        <f t="shared" si="93"/>
        <v>2.1999999999999957</v>
      </c>
      <c r="X1513">
        <f t="shared" si="94"/>
        <v>0.38833892099999989</v>
      </c>
      <c r="Y1513">
        <f t="shared" si="95"/>
        <v>3.8999999999999986</v>
      </c>
      <c r="Z1513" s="1">
        <v>34</v>
      </c>
      <c r="AA1513">
        <v>66</v>
      </c>
      <c r="AB1513">
        <v>0.51519999999999999</v>
      </c>
      <c r="AC1513">
        <v>33</v>
      </c>
      <c r="AD1513">
        <v>57</v>
      </c>
      <c r="AE1513">
        <v>0.57889999999999997</v>
      </c>
      <c r="AF1513" t="s">
        <v>2593</v>
      </c>
      <c r="AG1513" t="s">
        <v>2593</v>
      </c>
    </row>
    <row r="1514" spans="1:33">
      <c r="A1514" s="2" t="s">
        <v>95</v>
      </c>
      <c r="B1514" s="2" t="s">
        <v>10</v>
      </c>
      <c r="C1514" s="1">
        <v>0.59462093100000002</v>
      </c>
      <c r="D1514">
        <v>0.68038960500000001</v>
      </c>
      <c r="E1514">
        <v>0.72533004899999998</v>
      </c>
      <c r="F1514" s="1" t="s">
        <v>96</v>
      </c>
      <c r="G1514" s="1">
        <v>1.9717647060000001</v>
      </c>
      <c r="H1514" s="1">
        <v>34.6</v>
      </c>
      <c r="I1514" s="1">
        <v>42.5</v>
      </c>
      <c r="J1514" s="1">
        <v>0.66678019499999996</v>
      </c>
      <c r="K1514" s="1">
        <v>0.52456325500000001</v>
      </c>
      <c r="L1514" s="1">
        <v>0.61925627999999999</v>
      </c>
      <c r="M1514" s="3">
        <v>0.72111139899999999</v>
      </c>
      <c r="N1514" s="1" t="s">
        <v>12</v>
      </c>
      <c r="O1514" s="1">
        <v>0.61690647499999995</v>
      </c>
      <c r="P1514" s="1">
        <v>30</v>
      </c>
      <c r="Q1514" s="1">
        <v>111.2</v>
      </c>
      <c r="R1514" s="1">
        <v>0.62164364466666666</v>
      </c>
      <c r="S1514" s="1">
        <v>9.3076089302780149E-2</v>
      </c>
      <c r="T1514" t="s">
        <v>1661</v>
      </c>
      <c r="U1514" s="1">
        <v>173</v>
      </c>
      <c r="V1514">
        <f t="shared" si="92"/>
        <v>0.24867178923653283</v>
      </c>
      <c r="W1514" s="1">
        <f t="shared" si="93"/>
        <v>4.6000000000000014</v>
      </c>
      <c r="X1514">
        <f t="shared" si="94"/>
        <v>1.3548582310000001</v>
      </c>
      <c r="Y1514">
        <f t="shared" si="95"/>
        <v>68.7</v>
      </c>
      <c r="Z1514" s="1">
        <v>0</v>
      </c>
      <c r="AA1514">
        <v>100</v>
      </c>
      <c r="AB1514">
        <v>0</v>
      </c>
      <c r="AC1514">
        <v>0</v>
      </c>
      <c r="AD1514">
        <v>152</v>
      </c>
      <c r="AE1514">
        <v>0</v>
      </c>
      <c r="AF1514" t="s">
        <v>2593</v>
      </c>
      <c r="AG1514" t="s">
        <v>2588</v>
      </c>
    </row>
    <row r="1515" spans="1:33">
      <c r="A1515" s="2" t="s">
        <v>95</v>
      </c>
      <c r="B1515" s="2" t="s">
        <v>13</v>
      </c>
      <c r="C1515" s="1">
        <v>0.59462093100000002</v>
      </c>
      <c r="D1515">
        <v>0.68038960500000001</v>
      </c>
      <c r="E1515">
        <v>0.72533004899999998</v>
      </c>
      <c r="F1515" s="1" t="s">
        <v>96</v>
      </c>
      <c r="G1515" s="1">
        <v>1.9717647060000001</v>
      </c>
      <c r="H1515" s="1">
        <v>34.6</v>
      </c>
      <c r="I1515" s="1">
        <v>42.5</v>
      </c>
      <c r="J1515" s="1">
        <v>0.66678019499999996</v>
      </c>
      <c r="K1515" s="1">
        <v>0.48695497399999998</v>
      </c>
      <c r="L1515" s="1">
        <v>0.54991327199999995</v>
      </c>
      <c r="M1515" s="3">
        <v>0.67282609299999996</v>
      </c>
      <c r="N1515" s="1" t="s">
        <v>14</v>
      </c>
      <c r="O1515" s="1">
        <v>1.6052009460000001</v>
      </c>
      <c r="P1515" s="1">
        <v>26.6</v>
      </c>
      <c r="Q1515" s="1">
        <v>42.3</v>
      </c>
      <c r="R1515" s="1">
        <v>0.56989811299999993</v>
      </c>
      <c r="S1515" s="1">
        <v>0.17712339530819382</v>
      </c>
      <c r="T1515" t="s">
        <v>1662</v>
      </c>
      <c r="U1515" s="1">
        <v>136</v>
      </c>
      <c r="V1515">
        <f t="shared" si="92"/>
        <v>0.23705987870780193</v>
      </c>
      <c r="W1515" s="1">
        <f t="shared" si="93"/>
        <v>8</v>
      </c>
      <c r="X1515">
        <f t="shared" si="94"/>
        <v>0.36656376000000002</v>
      </c>
      <c r="Y1515">
        <f t="shared" si="95"/>
        <v>0.20000000000000284</v>
      </c>
      <c r="Z1515" s="1">
        <v>1</v>
      </c>
      <c r="AA1515">
        <v>99</v>
      </c>
      <c r="AB1515">
        <v>1.01E-2</v>
      </c>
      <c r="AC1515">
        <v>1</v>
      </c>
      <c r="AD1515">
        <v>98</v>
      </c>
      <c r="AE1515">
        <v>1.0200000000000001E-2</v>
      </c>
      <c r="AF1515" t="s">
        <v>2593</v>
      </c>
      <c r="AG1515" t="s">
        <v>2590</v>
      </c>
    </row>
    <row r="1516" spans="1:33">
      <c r="A1516" s="2" t="s">
        <v>95</v>
      </c>
      <c r="B1516" s="2" t="s">
        <v>15</v>
      </c>
      <c r="C1516" s="1">
        <v>0.59462093100000002</v>
      </c>
      <c r="D1516">
        <v>0.68038960500000001</v>
      </c>
      <c r="E1516">
        <v>0.72533004899999998</v>
      </c>
      <c r="F1516" s="1" t="s">
        <v>96</v>
      </c>
      <c r="G1516" s="1">
        <v>1.9717647060000001</v>
      </c>
      <c r="H1516" s="1">
        <v>34.6</v>
      </c>
      <c r="I1516" s="1">
        <v>42.5</v>
      </c>
      <c r="J1516" s="1">
        <v>0.66678019499999996</v>
      </c>
      <c r="K1516" s="1">
        <v>0.54560998800000005</v>
      </c>
      <c r="L1516" s="1">
        <v>0.66721428400000005</v>
      </c>
      <c r="M1516" s="3">
        <v>0.72650398400000005</v>
      </c>
      <c r="N1516" s="1" t="s">
        <v>16</v>
      </c>
      <c r="O1516" s="1">
        <v>5.1392405060000002</v>
      </c>
      <c r="P1516" s="1">
        <v>35.9</v>
      </c>
      <c r="Q1516" s="1">
        <v>15.8</v>
      </c>
      <c r="R1516" s="1">
        <v>0.64644275200000012</v>
      </c>
      <c r="S1516" s="1">
        <v>5.0764552008133706E-2</v>
      </c>
      <c r="T1516" t="s">
        <v>1663</v>
      </c>
      <c r="U1516" s="1">
        <v>14690</v>
      </c>
      <c r="V1516">
        <f t="shared" si="92"/>
        <v>0.46300242175447298</v>
      </c>
      <c r="W1516" s="1">
        <f t="shared" si="93"/>
        <v>1.2999999999999972</v>
      </c>
      <c r="X1516">
        <f t="shared" si="94"/>
        <v>3.1674758000000001</v>
      </c>
      <c r="Y1516">
        <f t="shared" si="95"/>
        <v>26.7</v>
      </c>
      <c r="Z1516" s="1">
        <v>26</v>
      </c>
      <c r="AA1516">
        <v>74</v>
      </c>
      <c r="AB1516">
        <v>0.35139999999999999</v>
      </c>
      <c r="AC1516">
        <v>26</v>
      </c>
      <c r="AD1516">
        <v>69</v>
      </c>
      <c r="AE1516">
        <v>0.37680000000000002</v>
      </c>
      <c r="AF1516" t="s">
        <v>2593</v>
      </c>
      <c r="AG1516" t="s">
        <v>2591</v>
      </c>
    </row>
    <row r="1517" spans="1:33">
      <c r="A1517" s="2" t="s">
        <v>95</v>
      </c>
      <c r="B1517" s="2" t="s">
        <v>17</v>
      </c>
      <c r="C1517" s="1">
        <v>0.59462093100000002</v>
      </c>
      <c r="D1517">
        <v>0.68038960500000001</v>
      </c>
      <c r="E1517">
        <v>0.72533004899999998</v>
      </c>
      <c r="F1517" s="1" t="s">
        <v>96</v>
      </c>
      <c r="G1517" s="1">
        <v>1.9717647060000001</v>
      </c>
      <c r="H1517" s="1">
        <v>34.6</v>
      </c>
      <c r="I1517" s="1">
        <v>42.5</v>
      </c>
      <c r="J1517" s="1">
        <v>0.66678019499999996</v>
      </c>
      <c r="K1517" s="1">
        <v>0.659112378</v>
      </c>
      <c r="L1517" s="1">
        <v>0.68333493499999998</v>
      </c>
      <c r="M1517" s="3">
        <v>0.70345495199999997</v>
      </c>
      <c r="N1517" s="1" t="s">
        <v>18</v>
      </c>
      <c r="O1517" s="1">
        <v>1.9463955639999999</v>
      </c>
      <c r="P1517" s="1">
        <v>46.3</v>
      </c>
      <c r="Q1517" s="1">
        <v>54.1</v>
      </c>
      <c r="R1517" s="1">
        <v>0.68196742166666668</v>
      </c>
      <c r="S1517" s="1">
        <v>6.8164078323719124E-2</v>
      </c>
      <c r="T1517" t="s">
        <v>1664</v>
      </c>
      <c r="U1517" s="1">
        <v>3943</v>
      </c>
      <c r="V1517">
        <f t="shared" si="92"/>
        <v>0.39953630856369149</v>
      </c>
      <c r="W1517" s="1">
        <f t="shared" si="93"/>
        <v>11.699999999999996</v>
      </c>
      <c r="X1517">
        <f t="shared" si="94"/>
        <v>2.5369142000000178E-2</v>
      </c>
      <c r="Y1517">
        <f t="shared" si="95"/>
        <v>11.600000000000001</v>
      </c>
      <c r="Z1517" s="1">
        <v>18</v>
      </c>
      <c r="AA1517">
        <v>82</v>
      </c>
      <c r="AB1517">
        <v>0.2195</v>
      </c>
      <c r="AC1517">
        <v>19</v>
      </c>
      <c r="AD1517">
        <v>90</v>
      </c>
      <c r="AE1517">
        <v>0.21110000000000001</v>
      </c>
      <c r="AF1517" t="s">
        <v>2593</v>
      </c>
      <c r="AG1517" t="s">
        <v>2591</v>
      </c>
    </row>
    <row r="1518" spans="1:33">
      <c r="A1518" s="2" t="s">
        <v>95</v>
      </c>
      <c r="B1518" s="2" t="s">
        <v>19</v>
      </c>
      <c r="C1518" s="1">
        <v>0.59462093100000002</v>
      </c>
      <c r="D1518">
        <v>0.68038960500000001</v>
      </c>
      <c r="E1518">
        <v>0.72533004899999998</v>
      </c>
      <c r="F1518" s="1" t="s">
        <v>96</v>
      </c>
      <c r="G1518" s="1">
        <v>1.9717647060000001</v>
      </c>
      <c r="H1518" s="1">
        <v>34.6</v>
      </c>
      <c r="I1518" s="1">
        <v>42.5</v>
      </c>
      <c r="J1518" s="1">
        <v>0.66678019499999996</v>
      </c>
      <c r="K1518" s="1">
        <v>0.49391595300000002</v>
      </c>
      <c r="L1518" s="1">
        <v>0.603599314</v>
      </c>
      <c r="M1518" s="3">
        <v>0.63481471599999995</v>
      </c>
      <c r="N1518" s="1" t="s">
        <v>20</v>
      </c>
      <c r="O1518" s="1">
        <v>1.2140902870000001</v>
      </c>
      <c r="P1518" s="1">
        <v>64.900000000000006</v>
      </c>
      <c r="Q1518" s="1">
        <v>146.19999999999999</v>
      </c>
      <c r="R1518" s="1">
        <v>0.57744332766666662</v>
      </c>
      <c r="S1518" s="1">
        <v>0.15566395502474573</v>
      </c>
      <c r="T1518" t="s">
        <v>1665</v>
      </c>
      <c r="U1518" s="1">
        <v>55580</v>
      </c>
      <c r="V1518">
        <f t="shared" si="92"/>
        <v>0.52721317138237256</v>
      </c>
      <c r="W1518" s="1">
        <f t="shared" si="93"/>
        <v>30.300000000000004</v>
      </c>
      <c r="X1518">
        <f t="shared" si="94"/>
        <v>0.75767441899999999</v>
      </c>
      <c r="Y1518">
        <f t="shared" si="95"/>
        <v>103.69999999999999</v>
      </c>
      <c r="Z1518" s="1">
        <v>3</v>
      </c>
      <c r="AA1518">
        <v>97</v>
      </c>
      <c r="AB1518">
        <v>3.09E-2</v>
      </c>
      <c r="AC1518">
        <v>3</v>
      </c>
      <c r="AD1518">
        <v>86</v>
      </c>
      <c r="AE1518">
        <v>3.49E-2</v>
      </c>
      <c r="AF1518" t="s">
        <v>2593</v>
      </c>
      <c r="AG1518" t="s">
        <v>2593</v>
      </c>
    </row>
    <row r="1519" spans="1:33">
      <c r="A1519" s="2" t="s">
        <v>95</v>
      </c>
      <c r="B1519" s="2" t="s">
        <v>21</v>
      </c>
      <c r="C1519" s="1">
        <v>0.59462093100000002</v>
      </c>
      <c r="D1519">
        <v>0.68038960500000001</v>
      </c>
      <c r="E1519">
        <v>0.72533004899999998</v>
      </c>
      <c r="F1519" s="1" t="s">
        <v>96</v>
      </c>
      <c r="G1519" s="1">
        <v>1.9717647060000001</v>
      </c>
      <c r="H1519" s="1">
        <v>34.6</v>
      </c>
      <c r="I1519" s="1">
        <v>42.5</v>
      </c>
      <c r="J1519" s="1">
        <v>0.66678019499999996</v>
      </c>
      <c r="K1519" s="1">
        <v>0.53276376800000003</v>
      </c>
      <c r="L1519" s="1">
        <v>0.65428149899999999</v>
      </c>
      <c r="M1519" s="3">
        <v>0.70160154799999996</v>
      </c>
      <c r="N1519" s="1" t="s">
        <v>22</v>
      </c>
      <c r="O1519" s="1">
        <v>1.2440604749999999</v>
      </c>
      <c r="P1519" s="1">
        <v>24.6</v>
      </c>
      <c r="Q1519" s="1">
        <v>46.3</v>
      </c>
      <c r="R1519" s="1">
        <v>0.62954893833333336</v>
      </c>
      <c r="S1519" s="1">
        <v>7.1210838873185633E-2</v>
      </c>
      <c r="T1519" t="s">
        <v>1666</v>
      </c>
      <c r="U1519" s="1">
        <v>414</v>
      </c>
      <c r="V1519">
        <f t="shared" si="92"/>
        <v>0.29077781568009992</v>
      </c>
      <c r="W1519" s="1">
        <f t="shared" si="93"/>
        <v>10</v>
      </c>
      <c r="X1519">
        <f t="shared" si="94"/>
        <v>0.72770423100000015</v>
      </c>
      <c r="Y1519">
        <f t="shared" si="95"/>
        <v>3.7999999999999972</v>
      </c>
      <c r="Z1519" s="1">
        <v>0</v>
      </c>
      <c r="AA1519">
        <v>100</v>
      </c>
      <c r="AB1519">
        <v>0</v>
      </c>
      <c r="AC1519">
        <v>0</v>
      </c>
      <c r="AD1519">
        <v>95</v>
      </c>
      <c r="AE1519">
        <v>0</v>
      </c>
      <c r="AF1519" t="s">
        <v>2593</v>
      </c>
      <c r="AG1519" t="s">
        <v>2589</v>
      </c>
    </row>
    <row r="1520" spans="1:33">
      <c r="A1520" s="2" t="s">
        <v>95</v>
      </c>
      <c r="B1520" s="2" t="s">
        <v>23</v>
      </c>
      <c r="C1520" s="1">
        <v>0.59462093100000002</v>
      </c>
      <c r="D1520">
        <v>0.68038960500000001</v>
      </c>
      <c r="E1520">
        <v>0.72533004899999998</v>
      </c>
      <c r="F1520" s="1" t="s">
        <v>96</v>
      </c>
      <c r="G1520" s="1">
        <v>1.9717647060000001</v>
      </c>
      <c r="H1520" s="1">
        <v>34.6</v>
      </c>
      <c r="I1520" s="1">
        <v>42.5</v>
      </c>
      <c r="J1520" s="1">
        <v>0.66678019499999996</v>
      </c>
      <c r="K1520" s="1">
        <v>0.49415677200000002</v>
      </c>
      <c r="L1520" s="1">
        <v>0.62090818999999997</v>
      </c>
      <c r="M1520" s="3">
        <v>0.63381026900000004</v>
      </c>
      <c r="N1520" s="1" t="s">
        <v>24</v>
      </c>
      <c r="O1520" s="1">
        <v>1.141304348</v>
      </c>
      <c r="P1520" s="1">
        <v>44.4</v>
      </c>
      <c r="Q1520" s="1">
        <v>101.2</v>
      </c>
      <c r="R1520" s="1">
        <v>0.58295841033333329</v>
      </c>
      <c r="S1520" s="1">
        <v>0.14834741691457892</v>
      </c>
      <c r="T1520" t="s">
        <v>1667</v>
      </c>
      <c r="U1520" s="1">
        <v>268</v>
      </c>
      <c r="V1520">
        <f t="shared" si="92"/>
        <v>0.26979275489208765</v>
      </c>
      <c r="W1520" s="1">
        <f t="shared" si="93"/>
        <v>9.7999999999999972</v>
      </c>
      <c r="X1520">
        <f t="shared" si="94"/>
        <v>0.83046035800000007</v>
      </c>
      <c r="Y1520">
        <f t="shared" si="95"/>
        <v>58.7</v>
      </c>
      <c r="Z1520" s="1">
        <v>1</v>
      </c>
      <c r="AA1520">
        <v>99</v>
      </c>
      <c r="AB1520">
        <v>1.01E-2</v>
      </c>
      <c r="AC1520">
        <v>1</v>
      </c>
      <c r="AD1520">
        <v>90</v>
      </c>
      <c r="AE1520">
        <v>1.11E-2</v>
      </c>
      <c r="AF1520" t="s">
        <v>2593</v>
      </c>
      <c r="AG1520" t="s">
        <v>2590</v>
      </c>
    </row>
    <row r="1521" spans="1:33">
      <c r="A1521" s="2" t="s">
        <v>95</v>
      </c>
      <c r="B1521" s="2" t="s">
        <v>25</v>
      </c>
      <c r="C1521" s="1">
        <v>0.59462093100000002</v>
      </c>
      <c r="D1521">
        <v>0.68038960500000001</v>
      </c>
      <c r="E1521">
        <v>0.72533004899999998</v>
      </c>
      <c r="F1521" s="1" t="s">
        <v>96</v>
      </c>
      <c r="G1521" s="1">
        <v>1.9717647060000001</v>
      </c>
      <c r="H1521" s="1">
        <v>34.6</v>
      </c>
      <c r="I1521" s="1">
        <v>42.5</v>
      </c>
      <c r="J1521" s="1">
        <v>0.66678019499999996</v>
      </c>
      <c r="K1521" s="1">
        <v>0.53959274199999996</v>
      </c>
      <c r="L1521" s="1">
        <v>0.64971567399999997</v>
      </c>
      <c r="M1521" s="3">
        <v>0.65028459999999999</v>
      </c>
      <c r="N1521" s="1" t="s">
        <v>26</v>
      </c>
      <c r="O1521" s="1">
        <v>1.623046875</v>
      </c>
      <c r="P1521" s="1">
        <v>34.700000000000003</v>
      </c>
      <c r="Q1521" s="1">
        <v>51.2</v>
      </c>
      <c r="R1521" s="1">
        <v>0.61319767199999997</v>
      </c>
      <c r="S1521" s="1">
        <v>9.7983728461536357E-2</v>
      </c>
      <c r="T1521" t="s">
        <v>1668</v>
      </c>
      <c r="U1521" s="1">
        <v>177</v>
      </c>
      <c r="V1521">
        <f t="shared" si="92"/>
        <v>0.24977480737353408</v>
      </c>
      <c r="W1521" s="1">
        <f t="shared" si="93"/>
        <v>0.10000000000000142</v>
      </c>
      <c r="X1521">
        <f t="shared" si="94"/>
        <v>0.34871783100000009</v>
      </c>
      <c r="Y1521">
        <f t="shared" si="95"/>
        <v>8.7000000000000028</v>
      </c>
      <c r="Z1521" s="1">
        <v>0</v>
      </c>
      <c r="AA1521">
        <v>100</v>
      </c>
      <c r="AB1521">
        <v>0</v>
      </c>
      <c r="AC1521">
        <v>0</v>
      </c>
      <c r="AD1521">
        <v>93</v>
      </c>
      <c r="AE1521">
        <v>0</v>
      </c>
      <c r="AF1521" t="s">
        <v>2593</v>
      </c>
      <c r="AG1521" t="s">
        <v>2594</v>
      </c>
    </row>
    <row r="1522" spans="1:33">
      <c r="A1522" s="2" t="s">
        <v>95</v>
      </c>
      <c r="B1522" s="2" t="s">
        <v>27</v>
      </c>
      <c r="C1522" s="1">
        <v>0.59462093100000002</v>
      </c>
      <c r="D1522">
        <v>0.68038960500000001</v>
      </c>
      <c r="E1522">
        <v>0.72533004899999998</v>
      </c>
      <c r="F1522" s="1" t="s">
        <v>96</v>
      </c>
      <c r="G1522" s="1">
        <v>1.9717647060000001</v>
      </c>
      <c r="H1522" s="1">
        <v>34.6</v>
      </c>
      <c r="I1522" s="1">
        <v>42.5</v>
      </c>
      <c r="J1522" s="1">
        <v>0.66678019499999996</v>
      </c>
      <c r="K1522" s="1">
        <v>0.518608662</v>
      </c>
      <c r="L1522" s="1">
        <v>0.64320369700000002</v>
      </c>
      <c r="M1522" s="3">
        <v>0.62228994199999998</v>
      </c>
      <c r="N1522" s="1" t="s">
        <v>28</v>
      </c>
      <c r="O1522" s="1">
        <v>1.8717391299999999</v>
      </c>
      <c r="P1522" s="1">
        <v>33.700000000000003</v>
      </c>
      <c r="Q1522" s="1">
        <v>46</v>
      </c>
      <c r="R1522" s="1">
        <v>0.59470076699999996</v>
      </c>
      <c r="S1522" s="1">
        <v>0.13333386832640937</v>
      </c>
      <c r="T1522" t="s">
        <v>1669</v>
      </c>
      <c r="U1522" s="1">
        <v>141</v>
      </c>
      <c r="V1522">
        <f t="shared" si="92"/>
        <v>0.23880212362837552</v>
      </c>
      <c r="W1522" s="1">
        <f t="shared" si="93"/>
        <v>0.89999999999999858</v>
      </c>
      <c r="X1522">
        <f t="shared" si="94"/>
        <v>0.10002557600000017</v>
      </c>
      <c r="Y1522">
        <f t="shared" si="95"/>
        <v>3.5</v>
      </c>
      <c r="Z1522" s="1">
        <v>1</v>
      </c>
      <c r="AA1522">
        <v>99</v>
      </c>
      <c r="AB1522">
        <v>1.01E-2</v>
      </c>
      <c r="AC1522">
        <v>1</v>
      </c>
      <c r="AD1522">
        <v>99</v>
      </c>
      <c r="AE1522">
        <v>1.01E-2</v>
      </c>
      <c r="AF1522" t="s">
        <v>2593</v>
      </c>
      <c r="AG1522" t="s">
        <v>2590</v>
      </c>
    </row>
    <row r="1523" spans="1:33">
      <c r="A1523" s="2" t="s">
        <v>95</v>
      </c>
      <c r="B1523" s="2" t="s">
        <v>29</v>
      </c>
      <c r="C1523" s="1">
        <v>0.59462093100000002</v>
      </c>
      <c r="D1523">
        <v>0.68038960500000001</v>
      </c>
      <c r="E1523">
        <v>0.72533004899999998</v>
      </c>
      <c r="F1523" s="1" t="s">
        <v>96</v>
      </c>
      <c r="G1523" s="1">
        <v>1.9717647060000001</v>
      </c>
      <c r="H1523" s="1">
        <v>34.6</v>
      </c>
      <c r="I1523" s="1">
        <v>42.5</v>
      </c>
      <c r="J1523" s="1">
        <v>0.66678019499999996</v>
      </c>
      <c r="K1523" s="1">
        <v>0.59351545100000003</v>
      </c>
      <c r="L1523" s="1">
        <v>0.68136602400000001</v>
      </c>
      <c r="M1523" s="3">
        <v>0.73518087600000004</v>
      </c>
      <c r="N1523" s="1" t="s">
        <v>30</v>
      </c>
      <c r="O1523" s="1">
        <v>2.849112426</v>
      </c>
      <c r="P1523" s="1">
        <v>37.9</v>
      </c>
      <c r="Q1523" s="1">
        <v>33.799999999999997</v>
      </c>
      <c r="R1523" s="1">
        <v>0.67002078366666673</v>
      </c>
      <c r="S1523" s="1">
        <v>9.9606361582928633E-3</v>
      </c>
      <c r="T1523" t="s">
        <v>1670</v>
      </c>
      <c r="U1523" s="1">
        <v>119324</v>
      </c>
      <c r="V1523">
        <f t="shared" si="92"/>
        <v>0.5640808670477373</v>
      </c>
      <c r="W1523" s="1">
        <f t="shared" si="93"/>
        <v>3.2999999999999972</v>
      </c>
      <c r="X1523">
        <f t="shared" si="94"/>
        <v>0.87734771999999994</v>
      </c>
      <c r="Y1523">
        <f t="shared" si="95"/>
        <v>8.7000000000000028</v>
      </c>
      <c r="Z1523" s="1">
        <v>43</v>
      </c>
      <c r="AA1523">
        <v>57</v>
      </c>
      <c r="AB1523">
        <v>0.75439999999999996</v>
      </c>
      <c r="AC1523">
        <v>41</v>
      </c>
      <c r="AD1523">
        <v>48</v>
      </c>
      <c r="AE1523">
        <v>0.85419999999999996</v>
      </c>
      <c r="AF1523" t="s">
        <v>2593</v>
      </c>
      <c r="AG1523" t="s">
        <v>2593</v>
      </c>
    </row>
    <row r="1524" spans="1:33">
      <c r="A1524" s="2" t="s">
        <v>95</v>
      </c>
      <c r="B1524" s="2" t="s">
        <v>31</v>
      </c>
      <c r="C1524" s="1">
        <v>0.59462093100000002</v>
      </c>
      <c r="D1524">
        <v>0.68038960500000001</v>
      </c>
      <c r="E1524">
        <v>0.72533004899999998</v>
      </c>
      <c r="F1524" s="1" t="s">
        <v>96</v>
      </c>
      <c r="G1524" s="1">
        <v>1.9717647060000001</v>
      </c>
      <c r="H1524" s="1">
        <v>34.6</v>
      </c>
      <c r="I1524" s="1">
        <v>42.5</v>
      </c>
      <c r="J1524" s="1">
        <v>0.66678019499999996</v>
      </c>
      <c r="K1524" s="1">
        <v>0.47727961800000002</v>
      </c>
      <c r="L1524" s="1">
        <v>0.66941086400000005</v>
      </c>
      <c r="M1524" s="3">
        <v>0.69294815300000001</v>
      </c>
      <c r="N1524" s="1" t="s">
        <v>32</v>
      </c>
      <c r="O1524" s="1">
        <v>1.341891892</v>
      </c>
      <c r="P1524" s="1">
        <v>42.1</v>
      </c>
      <c r="Q1524" s="1">
        <v>74</v>
      </c>
      <c r="R1524" s="1">
        <v>0.61321287833333338</v>
      </c>
      <c r="S1524" s="1">
        <v>0.12222153525080538</v>
      </c>
      <c r="T1524" t="s">
        <v>1671</v>
      </c>
      <c r="U1524" s="1">
        <v>233</v>
      </c>
      <c r="V1524">
        <f t="shared" si="92"/>
        <v>0.26303954678066876</v>
      </c>
      <c r="W1524" s="1">
        <f t="shared" si="93"/>
        <v>7.5</v>
      </c>
      <c r="X1524">
        <f t="shared" si="94"/>
        <v>0.62987281400000006</v>
      </c>
      <c r="Y1524">
        <f t="shared" si="95"/>
        <v>31.5</v>
      </c>
      <c r="Z1524" s="1">
        <v>0</v>
      </c>
      <c r="AA1524">
        <v>100</v>
      </c>
      <c r="AB1524">
        <v>0</v>
      </c>
      <c r="AC1524">
        <v>0</v>
      </c>
      <c r="AD1524">
        <v>97</v>
      </c>
      <c r="AE1524">
        <v>0</v>
      </c>
      <c r="AF1524" t="s">
        <v>2593</v>
      </c>
      <c r="AG1524" t="s">
        <v>2589</v>
      </c>
    </row>
    <row r="1525" spans="1:33">
      <c r="A1525" s="2" t="s">
        <v>95</v>
      </c>
      <c r="B1525" s="2" t="s">
        <v>33</v>
      </c>
      <c r="C1525" s="1">
        <v>0.59462093100000002</v>
      </c>
      <c r="D1525">
        <v>0.68038960500000001</v>
      </c>
      <c r="E1525">
        <v>0.72533004899999998</v>
      </c>
      <c r="F1525" s="1" t="s">
        <v>96</v>
      </c>
      <c r="G1525" s="1">
        <v>1.9717647060000001</v>
      </c>
      <c r="H1525" s="1">
        <v>34.6</v>
      </c>
      <c r="I1525" s="1">
        <v>42.5</v>
      </c>
      <c r="J1525" s="1">
        <v>0.66678019499999996</v>
      </c>
      <c r="K1525" s="1">
        <v>0.51347926600000005</v>
      </c>
      <c r="L1525" s="1">
        <v>0.63144379399999995</v>
      </c>
      <c r="M1525" s="3">
        <v>0.64189093500000005</v>
      </c>
      <c r="N1525" s="1" t="s">
        <v>34</v>
      </c>
      <c r="O1525" s="1">
        <v>2.3123667380000001</v>
      </c>
      <c r="P1525" s="1">
        <v>79.099999999999994</v>
      </c>
      <c r="Q1525" s="1">
        <v>93.8</v>
      </c>
      <c r="R1525" s="1">
        <v>0.59560466500000009</v>
      </c>
      <c r="S1525" s="1">
        <v>0.12626063503137044</v>
      </c>
      <c r="T1525" t="s">
        <v>1672</v>
      </c>
      <c r="U1525" s="1">
        <v>306</v>
      </c>
      <c r="V1525">
        <f t="shared" si="92"/>
        <v>0.27619126960906448</v>
      </c>
      <c r="W1525" s="1">
        <f t="shared" si="93"/>
        <v>44.499999999999993</v>
      </c>
      <c r="X1525">
        <f t="shared" si="94"/>
        <v>0.34060203200000005</v>
      </c>
      <c r="Y1525">
        <f t="shared" si="95"/>
        <v>51.3</v>
      </c>
      <c r="Z1525" s="1">
        <v>1</v>
      </c>
      <c r="AA1525">
        <v>99</v>
      </c>
      <c r="AB1525">
        <v>1.01E-2</v>
      </c>
      <c r="AC1525">
        <v>1</v>
      </c>
      <c r="AD1525">
        <v>90</v>
      </c>
      <c r="AE1525">
        <v>1.11E-2</v>
      </c>
      <c r="AF1525" t="s">
        <v>2593</v>
      </c>
      <c r="AG1525" t="s">
        <v>2590</v>
      </c>
    </row>
    <row r="1526" spans="1:33">
      <c r="A1526" s="2" t="s">
        <v>95</v>
      </c>
      <c r="B1526" s="2" t="s">
        <v>35</v>
      </c>
      <c r="C1526" s="1">
        <v>0.59462093100000002</v>
      </c>
      <c r="D1526">
        <v>0.68038960500000001</v>
      </c>
      <c r="E1526">
        <v>0.72533004899999998</v>
      </c>
      <c r="F1526" s="1" t="s">
        <v>96</v>
      </c>
      <c r="G1526" s="1">
        <v>1.9717647060000001</v>
      </c>
      <c r="H1526" s="1">
        <v>34.6</v>
      </c>
      <c r="I1526" s="1">
        <v>42.5</v>
      </c>
      <c r="J1526" s="1">
        <v>0.66678019499999996</v>
      </c>
      <c r="K1526" s="1">
        <v>0.52542897600000005</v>
      </c>
      <c r="L1526" s="1">
        <v>0.60774736299999998</v>
      </c>
      <c r="M1526" s="3">
        <v>0.62585751700000003</v>
      </c>
      <c r="N1526" s="1" t="s">
        <v>36</v>
      </c>
      <c r="O1526" s="1">
        <v>0.98848810399999998</v>
      </c>
      <c r="P1526" s="1">
        <v>54.2</v>
      </c>
      <c r="Q1526" s="1">
        <v>130.30000000000001</v>
      </c>
      <c r="R1526" s="1">
        <v>0.58634461866666665</v>
      </c>
      <c r="S1526" s="1">
        <v>0.14127705610607691</v>
      </c>
      <c r="T1526" t="s">
        <v>1673</v>
      </c>
      <c r="U1526" s="1">
        <v>560</v>
      </c>
      <c r="V1526">
        <f t="shared" si="92"/>
        <v>0.30535422522291111</v>
      </c>
      <c r="W1526" s="1">
        <f t="shared" si="93"/>
        <v>19.600000000000001</v>
      </c>
      <c r="X1526">
        <f t="shared" si="94"/>
        <v>0.98327660200000011</v>
      </c>
      <c r="Y1526">
        <f t="shared" si="95"/>
        <v>87.800000000000011</v>
      </c>
      <c r="Z1526" s="1">
        <v>0</v>
      </c>
      <c r="AA1526">
        <v>100</v>
      </c>
      <c r="AB1526">
        <v>0</v>
      </c>
      <c r="AC1526">
        <v>0</v>
      </c>
      <c r="AD1526">
        <v>90</v>
      </c>
      <c r="AE1526">
        <v>0</v>
      </c>
      <c r="AF1526" t="s">
        <v>2593</v>
      </c>
      <c r="AG1526" t="s">
        <v>2589</v>
      </c>
    </row>
    <row r="1527" spans="1:33">
      <c r="A1527" s="2" t="s">
        <v>95</v>
      </c>
      <c r="B1527" s="2" t="s">
        <v>37</v>
      </c>
      <c r="C1527" s="1">
        <v>0.59462093100000002</v>
      </c>
      <c r="D1527">
        <v>0.68038960500000001</v>
      </c>
      <c r="E1527">
        <v>0.72533004899999998</v>
      </c>
      <c r="F1527" s="1" t="s">
        <v>96</v>
      </c>
      <c r="G1527" s="1">
        <v>1.9717647060000001</v>
      </c>
      <c r="H1527" s="1">
        <v>34.6</v>
      </c>
      <c r="I1527" s="1">
        <v>42.5</v>
      </c>
      <c r="J1527" s="1">
        <v>0.66678019499999996</v>
      </c>
      <c r="K1527" s="1">
        <v>0.50856695500000004</v>
      </c>
      <c r="L1527" s="1">
        <v>0.654733224</v>
      </c>
      <c r="M1527" s="3">
        <v>0.61418267199999999</v>
      </c>
      <c r="N1527" s="1" t="s">
        <v>38</v>
      </c>
      <c r="O1527" s="1">
        <v>0.64065708399999999</v>
      </c>
      <c r="P1527" s="1">
        <v>41.9</v>
      </c>
      <c r="Q1527" s="1">
        <v>146.1</v>
      </c>
      <c r="R1527" s="1">
        <v>0.59249428366666679</v>
      </c>
      <c r="S1527" s="1">
        <v>0.142889034167797</v>
      </c>
      <c r="T1527" t="s">
        <v>1674</v>
      </c>
      <c r="U1527" s="1">
        <v>743</v>
      </c>
      <c r="V1527">
        <f t="shared" si="92"/>
        <v>0.31899875708450837</v>
      </c>
      <c r="W1527" s="1">
        <f t="shared" si="93"/>
        <v>7.2999999999999972</v>
      </c>
      <c r="X1527">
        <f t="shared" si="94"/>
        <v>1.3311076220000002</v>
      </c>
      <c r="Y1527">
        <f t="shared" si="95"/>
        <v>103.6</v>
      </c>
      <c r="Z1527" s="1">
        <v>0</v>
      </c>
      <c r="AA1527">
        <v>100</v>
      </c>
      <c r="AB1527">
        <v>0</v>
      </c>
      <c r="AC1527">
        <v>0</v>
      </c>
      <c r="AD1527">
        <v>89</v>
      </c>
      <c r="AE1527">
        <v>0</v>
      </c>
      <c r="AF1527" t="s">
        <v>2593</v>
      </c>
      <c r="AG1527" t="s">
        <v>2590</v>
      </c>
    </row>
    <row r="1528" spans="1:33">
      <c r="A1528" s="2" t="s">
        <v>95</v>
      </c>
      <c r="B1528" s="2" t="s">
        <v>39</v>
      </c>
      <c r="C1528" s="1">
        <v>0.59462093100000002</v>
      </c>
      <c r="D1528">
        <v>0.68038960500000001</v>
      </c>
      <c r="E1528">
        <v>0.72533004899999998</v>
      </c>
      <c r="F1528" s="1" t="s">
        <v>96</v>
      </c>
      <c r="G1528" s="1">
        <v>1.9717647060000001</v>
      </c>
      <c r="H1528" s="1">
        <v>34.6</v>
      </c>
      <c r="I1528" s="1">
        <v>42.5</v>
      </c>
      <c r="J1528" s="1">
        <v>0.66678019499999996</v>
      </c>
      <c r="K1528" s="1">
        <v>0.60811616199999996</v>
      </c>
      <c r="L1528" s="1">
        <v>0.721105683</v>
      </c>
      <c r="M1528" s="3">
        <v>0.741016169</v>
      </c>
      <c r="N1528" s="1" t="s">
        <v>40</v>
      </c>
      <c r="O1528" s="1">
        <v>1.0601915180000001</v>
      </c>
      <c r="P1528" s="1">
        <v>34</v>
      </c>
      <c r="Q1528" s="1">
        <v>73.099999999999994</v>
      </c>
      <c r="R1528" s="1">
        <v>0.69007933799999999</v>
      </c>
      <c r="S1528" s="1">
        <v>4.5672471228299476E-2</v>
      </c>
      <c r="T1528" t="s">
        <v>1675</v>
      </c>
      <c r="U1528" s="1">
        <v>327</v>
      </c>
      <c r="V1528">
        <f t="shared" si="92"/>
        <v>0.2793941947400318</v>
      </c>
      <c r="W1528" s="1">
        <f t="shared" si="93"/>
        <v>0.60000000000000142</v>
      </c>
      <c r="X1528">
        <f t="shared" si="94"/>
        <v>0.91157318799999998</v>
      </c>
      <c r="Y1528">
        <f t="shared" si="95"/>
        <v>30.599999999999994</v>
      </c>
      <c r="Z1528" s="1">
        <v>1</v>
      </c>
      <c r="AA1528">
        <v>99</v>
      </c>
      <c r="AB1528">
        <v>1.01E-2</v>
      </c>
      <c r="AC1528">
        <v>1</v>
      </c>
      <c r="AD1528">
        <v>91</v>
      </c>
      <c r="AE1528">
        <v>1.0999999999999999E-2</v>
      </c>
      <c r="AF1528" t="s">
        <v>2593</v>
      </c>
      <c r="AG1528" t="s">
        <v>2589</v>
      </c>
    </row>
    <row r="1529" spans="1:33">
      <c r="A1529" s="2" t="s">
        <v>95</v>
      </c>
      <c r="B1529" s="2" t="s">
        <v>41</v>
      </c>
      <c r="C1529" s="1">
        <v>0.59462093100000002</v>
      </c>
      <c r="D1529">
        <v>0.68038960500000001</v>
      </c>
      <c r="E1529">
        <v>0.72533004899999998</v>
      </c>
      <c r="F1529" s="1" t="s">
        <v>96</v>
      </c>
      <c r="G1529" s="1">
        <v>1.9717647060000001</v>
      </c>
      <c r="H1529" s="1">
        <v>34.6</v>
      </c>
      <c r="I1529" s="1">
        <v>42.5</v>
      </c>
      <c r="J1529" s="1">
        <v>0.66678019499999996</v>
      </c>
      <c r="K1529" s="1">
        <v>0.60402244999999999</v>
      </c>
      <c r="L1529" s="1">
        <v>0.669189213</v>
      </c>
      <c r="M1529" s="3">
        <v>0.69821693799999995</v>
      </c>
      <c r="N1529" s="1" t="s">
        <v>42</v>
      </c>
      <c r="O1529" s="1">
        <v>1.3243902439999999</v>
      </c>
      <c r="P1529" s="1">
        <v>23</v>
      </c>
      <c r="Q1529" s="1">
        <v>41</v>
      </c>
      <c r="R1529" s="1">
        <v>0.65714286700000002</v>
      </c>
      <c r="S1529" s="1">
        <v>3.0805163991761947E-2</v>
      </c>
      <c r="T1529" t="s">
        <v>1676</v>
      </c>
      <c r="U1529" s="1">
        <v>13540</v>
      </c>
      <c r="V1529">
        <f t="shared" si="92"/>
        <v>0.45906874048323615</v>
      </c>
      <c r="W1529" s="1">
        <f t="shared" si="93"/>
        <v>11.600000000000001</v>
      </c>
      <c r="X1529">
        <f t="shared" si="94"/>
        <v>0.64737446200000015</v>
      </c>
      <c r="Y1529">
        <f t="shared" si="95"/>
        <v>1.5</v>
      </c>
      <c r="Z1529" s="1">
        <v>27</v>
      </c>
      <c r="AA1529">
        <v>73</v>
      </c>
      <c r="AB1529">
        <v>0.36990000000000001</v>
      </c>
      <c r="AC1529">
        <v>32</v>
      </c>
      <c r="AD1529">
        <v>74</v>
      </c>
      <c r="AE1529">
        <v>0.43240000000000001</v>
      </c>
      <c r="AF1529" t="s">
        <v>2593</v>
      </c>
      <c r="AG1529" t="s">
        <v>2591</v>
      </c>
    </row>
    <row r="1530" spans="1:33">
      <c r="A1530" s="2" t="s">
        <v>95</v>
      </c>
      <c r="B1530" s="2" t="s">
        <v>43</v>
      </c>
      <c r="C1530" s="1">
        <v>0.59462093100000002</v>
      </c>
      <c r="D1530">
        <v>0.68038960500000001</v>
      </c>
      <c r="E1530">
        <v>0.72533004899999998</v>
      </c>
      <c r="F1530" s="1" t="s">
        <v>96</v>
      </c>
      <c r="G1530" s="1">
        <v>1.9717647060000001</v>
      </c>
      <c r="H1530" s="1">
        <v>34.6</v>
      </c>
      <c r="I1530" s="1">
        <v>42.5</v>
      </c>
      <c r="J1530" s="1">
        <v>0.66678019499999996</v>
      </c>
      <c r="K1530" s="1">
        <v>0.54180634699999997</v>
      </c>
      <c r="L1530" s="1">
        <v>0.59470779900000004</v>
      </c>
      <c r="M1530" s="3">
        <v>0.69518155599999998</v>
      </c>
      <c r="N1530" s="1" t="s">
        <v>44</v>
      </c>
      <c r="O1530" s="1">
        <v>1.7403685090000001</v>
      </c>
      <c r="P1530" s="1">
        <v>41.2</v>
      </c>
      <c r="Q1530" s="1">
        <v>59.7</v>
      </c>
      <c r="R1530" s="1">
        <v>0.61056523400000007</v>
      </c>
      <c r="S1530" s="1">
        <v>0.10506989955589442</v>
      </c>
      <c r="T1530" t="s">
        <v>1677</v>
      </c>
      <c r="U1530" s="1">
        <v>765</v>
      </c>
      <c r="V1530">
        <f t="shared" si="92"/>
        <v>0.32040682612817972</v>
      </c>
      <c r="W1530" s="1">
        <f t="shared" si="93"/>
        <v>6.6000000000000014</v>
      </c>
      <c r="X1530">
        <f t="shared" si="94"/>
        <v>0.23139619700000003</v>
      </c>
      <c r="Y1530">
        <f t="shared" si="95"/>
        <v>17.200000000000003</v>
      </c>
      <c r="Z1530" s="1">
        <v>3</v>
      </c>
      <c r="AA1530">
        <v>97</v>
      </c>
      <c r="AB1530">
        <v>3.09E-2</v>
      </c>
      <c r="AC1530">
        <v>2</v>
      </c>
      <c r="AD1530">
        <v>126</v>
      </c>
      <c r="AE1530">
        <v>1.5900000000000001E-2</v>
      </c>
      <c r="AF1530" t="s">
        <v>2593</v>
      </c>
      <c r="AG1530" t="s">
        <v>2589</v>
      </c>
    </row>
    <row r="1531" spans="1:33">
      <c r="A1531" s="2" t="s">
        <v>95</v>
      </c>
      <c r="B1531" s="2" t="s">
        <v>45</v>
      </c>
      <c r="C1531" s="1">
        <v>0.59462093100000002</v>
      </c>
      <c r="D1531">
        <v>0.68038960500000001</v>
      </c>
      <c r="E1531">
        <v>0.72533004899999998</v>
      </c>
      <c r="F1531" s="1" t="s">
        <v>96</v>
      </c>
      <c r="G1531" s="1">
        <v>1.9717647060000001</v>
      </c>
      <c r="H1531" s="1">
        <v>34.6</v>
      </c>
      <c r="I1531" s="1">
        <v>42.5</v>
      </c>
      <c r="J1531" s="1">
        <v>0.66678019499999996</v>
      </c>
      <c r="K1531" s="1">
        <v>0.50907007599999998</v>
      </c>
      <c r="L1531" s="1">
        <v>0.68428041399999995</v>
      </c>
      <c r="M1531" s="3">
        <v>0.67454742099999998</v>
      </c>
      <c r="N1531" s="1" t="s">
        <v>46</v>
      </c>
      <c r="O1531" s="1">
        <v>0.98140043799999999</v>
      </c>
      <c r="P1531" s="1">
        <v>38.9</v>
      </c>
      <c r="Q1531" s="1">
        <v>91.4</v>
      </c>
      <c r="R1531" s="1">
        <v>0.62263263699999993</v>
      </c>
      <c r="S1531" s="1">
        <v>9.9563861377971352E-2</v>
      </c>
      <c r="T1531" t="s">
        <v>1678</v>
      </c>
      <c r="U1531" s="1">
        <v>298</v>
      </c>
      <c r="V1531">
        <f t="shared" si="92"/>
        <v>0.27491291823069502</v>
      </c>
      <c r="W1531" s="1">
        <f t="shared" si="93"/>
        <v>4.2999999999999972</v>
      </c>
      <c r="X1531">
        <f t="shared" si="94"/>
        <v>0.9903642680000001</v>
      </c>
      <c r="Y1531">
        <f t="shared" si="95"/>
        <v>48.900000000000006</v>
      </c>
      <c r="Z1531" s="1">
        <v>0</v>
      </c>
      <c r="AA1531">
        <v>100</v>
      </c>
      <c r="AB1531">
        <v>0</v>
      </c>
      <c r="AC1531">
        <v>0</v>
      </c>
      <c r="AD1531">
        <v>108</v>
      </c>
      <c r="AE1531">
        <v>0</v>
      </c>
      <c r="AF1531" t="s">
        <v>2593</v>
      </c>
      <c r="AG1531" t="s">
        <v>2589</v>
      </c>
    </row>
    <row r="1532" spans="1:33">
      <c r="A1532" s="2" t="s">
        <v>95</v>
      </c>
      <c r="B1532" s="2" t="s">
        <v>47</v>
      </c>
      <c r="C1532" s="1">
        <v>0.59462093100000002</v>
      </c>
      <c r="D1532">
        <v>0.68038960500000001</v>
      </c>
      <c r="E1532">
        <v>0.72533004899999998</v>
      </c>
      <c r="F1532" s="1" t="s">
        <v>96</v>
      </c>
      <c r="G1532" s="1">
        <v>1.9717647060000001</v>
      </c>
      <c r="H1532" s="1">
        <v>34.6</v>
      </c>
      <c r="I1532" s="1">
        <v>42.5</v>
      </c>
      <c r="J1532" s="1">
        <v>0.66678019499999996</v>
      </c>
      <c r="K1532" s="1">
        <v>0.50612154099999995</v>
      </c>
      <c r="L1532" s="1">
        <v>0.55940039100000005</v>
      </c>
      <c r="M1532" s="3">
        <v>0.66789001699999995</v>
      </c>
      <c r="N1532" s="1" t="s">
        <v>48</v>
      </c>
      <c r="O1532" s="1">
        <v>1.242622951</v>
      </c>
      <c r="P1532" s="1">
        <v>17.8</v>
      </c>
      <c r="Q1532" s="1">
        <v>30.5</v>
      </c>
      <c r="R1532" s="1">
        <v>0.57780398300000002</v>
      </c>
      <c r="S1532" s="1">
        <v>0.16053002588572307</v>
      </c>
      <c r="T1532" t="s">
        <v>1679</v>
      </c>
      <c r="U1532" s="1">
        <v>911</v>
      </c>
      <c r="V1532">
        <f t="shared" si="92"/>
        <v>0.32883537521922201</v>
      </c>
      <c r="W1532" s="1">
        <f t="shared" si="93"/>
        <v>16.8</v>
      </c>
      <c r="X1532">
        <f t="shared" si="94"/>
        <v>0.72914175500000011</v>
      </c>
      <c r="Y1532">
        <f t="shared" si="95"/>
        <v>12</v>
      </c>
      <c r="Z1532" s="1">
        <v>0</v>
      </c>
      <c r="AA1532">
        <v>100</v>
      </c>
      <c r="AB1532">
        <v>0</v>
      </c>
      <c r="AC1532">
        <v>0</v>
      </c>
      <c r="AD1532">
        <v>115</v>
      </c>
      <c r="AE1532">
        <v>0</v>
      </c>
      <c r="AF1532" t="s">
        <v>2593</v>
      </c>
      <c r="AG1532" t="s">
        <v>2590</v>
      </c>
    </row>
    <row r="1533" spans="1:33">
      <c r="A1533" s="2" t="s">
        <v>95</v>
      </c>
      <c r="B1533" s="2" t="s">
        <v>49</v>
      </c>
      <c r="C1533" s="1">
        <v>0.59462093100000002</v>
      </c>
      <c r="D1533">
        <v>0.68038960500000001</v>
      </c>
      <c r="E1533">
        <v>0.72533004899999998</v>
      </c>
      <c r="F1533" s="1" t="s">
        <v>96</v>
      </c>
      <c r="G1533" s="1">
        <v>1.9717647060000001</v>
      </c>
      <c r="H1533" s="1">
        <v>34.6</v>
      </c>
      <c r="I1533" s="1">
        <v>42.5</v>
      </c>
      <c r="J1533" s="1">
        <v>0.66678019499999996</v>
      </c>
      <c r="K1533" s="1">
        <v>0.50647110500000003</v>
      </c>
      <c r="L1533" s="1">
        <v>0.55713136799999996</v>
      </c>
      <c r="M1533" s="3">
        <v>0.63402682300000002</v>
      </c>
      <c r="N1533" s="1" t="s">
        <v>50</v>
      </c>
      <c r="O1533" s="1">
        <v>1.876675603</v>
      </c>
      <c r="P1533" s="1">
        <v>28.8</v>
      </c>
      <c r="Q1533" s="1">
        <v>37.299999999999997</v>
      </c>
      <c r="R1533" s="1">
        <v>0.56587643200000004</v>
      </c>
      <c r="S1533" s="1">
        <v>0.17691597974797393</v>
      </c>
      <c r="T1533" t="s">
        <v>1680</v>
      </c>
      <c r="U1533" s="1">
        <v>1391</v>
      </c>
      <c r="V1533">
        <f t="shared" si="92"/>
        <v>0.34925856999911625</v>
      </c>
      <c r="W1533" s="1">
        <f t="shared" si="93"/>
        <v>5.8000000000000007</v>
      </c>
      <c r="X1533">
        <f t="shared" si="94"/>
        <v>9.5089103000000064E-2</v>
      </c>
      <c r="Y1533">
        <f t="shared" si="95"/>
        <v>5.2000000000000028</v>
      </c>
      <c r="Z1533" s="1">
        <v>0</v>
      </c>
      <c r="AA1533">
        <v>100</v>
      </c>
      <c r="AB1533">
        <v>0</v>
      </c>
      <c r="AC1533">
        <v>0</v>
      </c>
      <c r="AD1533">
        <v>89</v>
      </c>
      <c r="AE1533">
        <v>0</v>
      </c>
      <c r="AF1533" t="s">
        <v>2593</v>
      </c>
      <c r="AG1533" t="s">
        <v>2590</v>
      </c>
    </row>
    <row r="1534" spans="1:33">
      <c r="A1534" s="2" t="s">
        <v>95</v>
      </c>
      <c r="B1534" s="2" t="s">
        <v>51</v>
      </c>
      <c r="C1534" s="1">
        <v>0.59462093100000002</v>
      </c>
      <c r="D1534">
        <v>0.68038960500000001</v>
      </c>
      <c r="E1534">
        <v>0.72533004899999998</v>
      </c>
      <c r="F1534" s="1" t="s">
        <v>96</v>
      </c>
      <c r="G1534" s="1">
        <v>1.9717647060000001</v>
      </c>
      <c r="H1534" s="1">
        <v>34.6</v>
      </c>
      <c r="I1534" s="1">
        <v>42.5</v>
      </c>
      <c r="J1534" s="1">
        <v>0.66678019499999996</v>
      </c>
      <c r="K1534" s="1">
        <v>0.60067161999999996</v>
      </c>
      <c r="L1534" s="1">
        <v>0.68094129999999997</v>
      </c>
      <c r="M1534" s="3">
        <v>0.73595931299999995</v>
      </c>
      <c r="N1534" s="1" t="s">
        <v>52</v>
      </c>
      <c r="O1534" s="1">
        <v>1.858638743</v>
      </c>
      <c r="P1534" s="1">
        <v>29.4</v>
      </c>
      <c r="Q1534" s="1">
        <v>38.200000000000003</v>
      </c>
      <c r="R1534" s="1">
        <v>0.67252407766666666</v>
      </c>
      <c r="S1534" s="1">
        <v>1.2243220896865361E-2</v>
      </c>
      <c r="T1534" t="s">
        <v>1681</v>
      </c>
      <c r="U1534" s="1">
        <v>9203</v>
      </c>
      <c r="V1534">
        <f t="shared" si="92"/>
        <v>0.44043660244739535</v>
      </c>
      <c r="W1534" s="1">
        <f t="shared" si="93"/>
        <v>5.2000000000000028</v>
      </c>
      <c r="X1534">
        <f t="shared" si="94"/>
        <v>0.11312596300000011</v>
      </c>
      <c r="Y1534">
        <f t="shared" si="95"/>
        <v>4.2999999999999972</v>
      </c>
      <c r="Z1534" s="1">
        <v>29</v>
      </c>
      <c r="AA1534">
        <v>71</v>
      </c>
      <c r="AB1534">
        <v>0.40849999999999997</v>
      </c>
      <c r="AC1534">
        <v>30</v>
      </c>
      <c r="AD1534">
        <v>68</v>
      </c>
      <c r="AE1534">
        <v>0.44119999999999998</v>
      </c>
      <c r="AF1534" t="s">
        <v>2593</v>
      </c>
      <c r="AG1534" t="s">
        <v>2591</v>
      </c>
    </row>
    <row r="1535" spans="1:33">
      <c r="A1535" s="2" t="s">
        <v>95</v>
      </c>
      <c r="B1535" s="2" t="s">
        <v>53</v>
      </c>
      <c r="C1535" s="1">
        <v>0.59462093100000002</v>
      </c>
      <c r="D1535">
        <v>0.68038960500000001</v>
      </c>
      <c r="E1535">
        <v>0.72533004899999998</v>
      </c>
      <c r="F1535" s="1" t="s">
        <v>96</v>
      </c>
      <c r="G1535" s="1">
        <v>1.9717647060000001</v>
      </c>
      <c r="H1535" s="1">
        <v>34.6</v>
      </c>
      <c r="I1535" s="1">
        <v>42.5</v>
      </c>
      <c r="J1535" s="1">
        <v>0.66678019499999996</v>
      </c>
      <c r="K1535" s="1">
        <v>0.54695832700000002</v>
      </c>
      <c r="L1535" s="1">
        <v>0.659790137</v>
      </c>
      <c r="M1535" s="3">
        <v>0.70662085500000005</v>
      </c>
      <c r="N1535" s="1" t="s">
        <v>54</v>
      </c>
      <c r="O1535" s="1">
        <v>2.5053995680000001</v>
      </c>
      <c r="P1535" s="1">
        <v>43.9</v>
      </c>
      <c r="Q1535" s="1">
        <v>46.3</v>
      </c>
      <c r="R1535" s="1">
        <v>0.63778977300000006</v>
      </c>
      <c r="S1535" s="1">
        <v>5.5191447182271584E-2</v>
      </c>
      <c r="T1535" t="s">
        <v>1682</v>
      </c>
      <c r="U1535" s="1">
        <v>31257</v>
      </c>
      <c r="V1535">
        <f t="shared" si="92"/>
        <v>0.49943858808334302</v>
      </c>
      <c r="W1535" s="1">
        <f t="shared" si="93"/>
        <v>9.2999999999999972</v>
      </c>
      <c r="X1535">
        <f t="shared" si="94"/>
        <v>0.53363486199999999</v>
      </c>
      <c r="Y1535">
        <f t="shared" si="95"/>
        <v>3.7999999999999972</v>
      </c>
      <c r="Z1535" s="1">
        <v>25</v>
      </c>
      <c r="AA1535">
        <v>75</v>
      </c>
      <c r="AB1535">
        <v>0.33329999999999999</v>
      </c>
      <c r="AC1535">
        <v>25</v>
      </c>
      <c r="AD1535">
        <v>73</v>
      </c>
      <c r="AE1535">
        <v>0.34250000000000003</v>
      </c>
      <c r="AF1535" t="s">
        <v>2593</v>
      </c>
      <c r="AG1535" t="s">
        <v>2593</v>
      </c>
    </row>
    <row r="1536" spans="1:33">
      <c r="A1536" s="2" t="s">
        <v>95</v>
      </c>
      <c r="B1536" s="2" t="s">
        <v>55</v>
      </c>
      <c r="C1536" s="1">
        <v>0.59462093100000002</v>
      </c>
      <c r="D1536">
        <v>0.68038960500000001</v>
      </c>
      <c r="E1536">
        <v>0.72533004899999998</v>
      </c>
      <c r="F1536" s="1" t="s">
        <v>96</v>
      </c>
      <c r="G1536" s="1">
        <v>1.9717647060000001</v>
      </c>
      <c r="H1536" s="1">
        <v>34.6</v>
      </c>
      <c r="I1536" s="1">
        <v>42.5</v>
      </c>
      <c r="J1536" s="1">
        <v>0.66678019499999996</v>
      </c>
      <c r="K1536" s="1">
        <v>0.52971861799999997</v>
      </c>
      <c r="L1536" s="1">
        <v>0.62258244500000004</v>
      </c>
      <c r="M1536" s="3">
        <v>0.63939760400000001</v>
      </c>
      <c r="N1536" s="1" t="s">
        <v>56</v>
      </c>
      <c r="O1536" s="1">
        <v>1.0796934869999999</v>
      </c>
      <c r="P1536" s="1">
        <v>55.3</v>
      </c>
      <c r="Q1536" s="1">
        <v>130.5</v>
      </c>
      <c r="R1536" s="1">
        <v>0.59723288899999993</v>
      </c>
      <c r="S1536" s="1">
        <v>0.12222259645292105</v>
      </c>
      <c r="T1536" t="s">
        <v>1683</v>
      </c>
      <c r="U1536" s="1">
        <v>261</v>
      </c>
      <c r="V1536">
        <f t="shared" si="92"/>
        <v>0.26851561192647566</v>
      </c>
      <c r="W1536" s="1">
        <f t="shared" si="93"/>
        <v>20.699999999999996</v>
      </c>
      <c r="X1536">
        <f t="shared" si="94"/>
        <v>0.89207121900000019</v>
      </c>
      <c r="Y1536">
        <f t="shared" si="95"/>
        <v>88</v>
      </c>
      <c r="Z1536" s="1">
        <v>0</v>
      </c>
      <c r="AA1536">
        <v>100</v>
      </c>
      <c r="AB1536">
        <v>0</v>
      </c>
      <c r="AC1536">
        <v>0</v>
      </c>
      <c r="AD1536">
        <v>90</v>
      </c>
      <c r="AE1536">
        <v>0</v>
      </c>
      <c r="AF1536" t="s">
        <v>2593</v>
      </c>
      <c r="AG1536" t="s">
        <v>2592</v>
      </c>
    </row>
    <row r="1537" spans="1:33">
      <c r="A1537" s="2" t="s">
        <v>95</v>
      </c>
      <c r="B1537" s="2" t="s">
        <v>57</v>
      </c>
      <c r="C1537" s="1">
        <v>0.59462093100000002</v>
      </c>
      <c r="D1537">
        <v>0.68038960500000001</v>
      </c>
      <c r="E1537">
        <v>0.72533004899999998</v>
      </c>
      <c r="F1537" s="1" t="s">
        <v>96</v>
      </c>
      <c r="G1537" s="1">
        <v>1.9717647060000001</v>
      </c>
      <c r="H1537" s="1">
        <v>34.6</v>
      </c>
      <c r="I1537" s="1">
        <v>42.5</v>
      </c>
      <c r="J1537" s="1">
        <v>0.66678019499999996</v>
      </c>
      <c r="K1537" s="1">
        <v>0.528732855</v>
      </c>
      <c r="L1537" s="1">
        <v>0.63387497599999998</v>
      </c>
      <c r="M1537" s="3">
        <v>0.63337360200000004</v>
      </c>
      <c r="N1537" s="1" t="s">
        <v>58</v>
      </c>
      <c r="O1537" s="1">
        <v>1.386610879</v>
      </c>
      <c r="P1537" s="1">
        <v>69</v>
      </c>
      <c r="Q1537" s="1">
        <v>119.5</v>
      </c>
      <c r="R1537" s="1">
        <v>0.59866047766666663</v>
      </c>
      <c r="S1537" s="1">
        <v>0.12231450206272852</v>
      </c>
      <c r="T1537" t="s">
        <v>1684</v>
      </c>
      <c r="U1537" s="1">
        <v>449</v>
      </c>
      <c r="V1537">
        <f t="shared" si="92"/>
        <v>0.29469403788925813</v>
      </c>
      <c r="W1537" s="1">
        <f t="shared" si="93"/>
        <v>34.4</v>
      </c>
      <c r="X1537">
        <f t="shared" si="94"/>
        <v>0.58515382700000007</v>
      </c>
      <c r="Y1537">
        <f t="shared" si="95"/>
        <v>77</v>
      </c>
      <c r="Z1537" s="1">
        <v>0</v>
      </c>
      <c r="AA1537">
        <v>100</v>
      </c>
      <c r="AB1537">
        <v>0</v>
      </c>
      <c r="AC1537">
        <v>0</v>
      </c>
      <c r="AD1537">
        <v>96</v>
      </c>
      <c r="AE1537">
        <v>0</v>
      </c>
      <c r="AF1537" t="s">
        <v>2593</v>
      </c>
      <c r="AG1537" t="s">
        <v>2589</v>
      </c>
    </row>
    <row r="1538" spans="1:33">
      <c r="A1538" s="2" t="s">
        <v>95</v>
      </c>
      <c r="B1538" s="2" t="s">
        <v>59</v>
      </c>
      <c r="C1538" s="1">
        <v>0.59462093100000002</v>
      </c>
      <c r="D1538">
        <v>0.68038960500000001</v>
      </c>
      <c r="E1538">
        <v>0.72533004899999998</v>
      </c>
      <c r="F1538" s="1" t="s">
        <v>96</v>
      </c>
      <c r="G1538" s="1">
        <v>1.9717647060000001</v>
      </c>
      <c r="H1538" s="1">
        <v>34.6</v>
      </c>
      <c r="I1538" s="1">
        <v>42.5</v>
      </c>
      <c r="J1538" s="1">
        <v>0.66678019499999996</v>
      </c>
      <c r="K1538" s="1">
        <v>0.56225432799999997</v>
      </c>
      <c r="L1538" s="1">
        <v>0.68100706499999997</v>
      </c>
      <c r="M1538" s="3">
        <v>0.67505263699999996</v>
      </c>
      <c r="N1538" s="1" t="s">
        <v>60</v>
      </c>
      <c r="O1538" s="1">
        <v>1.1501154730000001</v>
      </c>
      <c r="P1538" s="1">
        <v>60.5</v>
      </c>
      <c r="Q1538" s="1">
        <v>129.9</v>
      </c>
      <c r="R1538" s="1">
        <v>0.63943801</v>
      </c>
      <c r="S1538" s="1">
        <v>5.9797963209702702E-2</v>
      </c>
      <c r="T1538" t="s">
        <v>1685</v>
      </c>
      <c r="U1538" s="1">
        <v>719</v>
      </c>
      <c r="V1538">
        <f t="shared" ref="V1538:V1601" si="96">LOG10(U1538) / 9</f>
        <v>0.31741432115365359</v>
      </c>
      <c r="W1538" s="1">
        <f t="shared" ref="W1538:W1601" si="97">ABS(H1538-P1538)</f>
        <v>25.9</v>
      </c>
      <c r="X1538">
        <f t="shared" ref="X1538:X1601" si="98">ABS(G1538-O1538)</f>
        <v>0.82164923300000003</v>
      </c>
      <c r="Y1538">
        <f t="shared" ref="Y1538:Y1601" si="99">ABS(I1538-Q1538)</f>
        <v>87.4</v>
      </c>
      <c r="Z1538" s="1">
        <v>0</v>
      </c>
      <c r="AA1538">
        <v>100</v>
      </c>
      <c r="AB1538">
        <v>0</v>
      </c>
      <c r="AC1538">
        <v>0</v>
      </c>
      <c r="AD1538">
        <v>115</v>
      </c>
      <c r="AE1538">
        <v>0</v>
      </c>
      <c r="AF1538" t="s">
        <v>2593</v>
      </c>
      <c r="AG1538" t="s">
        <v>2589</v>
      </c>
    </row>
    <row r="1539" spans="1:33">
      <c r="A1539" s="2" t="s">
        <v>95</v>
      </c>
      <c r="B1539" s="2" t="s">
        <v>61</v>
      </c>
      <c r="C1539" s="1">
        <v>0.59462093100000002</v>
      </c>
      <c r="D1539">
        <v>0.68038960500000001</v>
      </c>
      <c r="E1539">
        <v>0.72533004899999998</v>
      </c>
      <c r="F1539" s="1" t="s">
        <v>96</v>
      </c>
      <c r="G1539" s="1">
        <v>1.9717647060000001</v>
      </c>
      <c r="H1539" s="1">
        <v>34.6</v>
      </c>
      <c r="I1539" s="1">
        <v>42.5</v>
      </c>
      <c r="J1539" s="1">
        <v>0.66678019499999996</v>
      </c>
      <c r="K1539" s="1">
        <v>0.62063455999999995</v>
      </c>
      <c r="L1539" s="1">
        <v>0.67798104299999995</v>
      </c>
      <c r="M1539" s="3">
        <v>0.72175371600000005</v>
      </c>
      <c r="N1539" s="1" t="s">
        <v>62</v>
      </c>
      <c r="O1539" s="1">
        <v>7.5471698109999998</v>
      </c>
      <c r="P1539" s="1">
        <v>26.4</v>
      </c>
      <c r="Q1539" s="1">
        <v>10.6</v>
      </c>
      <c r="R1539" s="1">
        <v>0.6734564396666668</v>
      </c>
      <c r="S1539" s="1">
        <v>2.6368546080214016E-2</v>
      </c>
      <c r="T1539" t="s">
        <v>1686</v>
      </c>
      <c r="U1539" s="1">
        <v>1442</v>
      </c>
      <c r="V1539">
        <f t="shared" si="96"/>
        <v>0.35099614004260116</v>
      </c>
      <c r="W1539" s="1">
        <f t="shared" si="97"/>
        <v>8.2000000000000028</v>
      </c>
      <c r="X1539">
        <f t="shared" si="98"/>
        <v>5.5754051049999998</v>
      </c>
      <c r="Y1539">
        <f t="shared" si="99"/>
        <v>31.9</v>
      </c>
      <c r="Z1539" s="1">
        <v>0</v>
      </c>
      <c r="AA1539">
        <v>100</v>
      </c>
      <c r="AB1539">
        <v>0</v>
      </c>
      <c r="AC1539">
        <v>0</v>
      </c>
      <c r="AD1539">
        <v>90</v>
      </c>
      <c r="AE1539">
        <v>0</v>
      </c>
      <c r="AF1539" t="s">
        <v>2593</v>
      </c>
      <c r="AG1539" t="s">
        <v>2588</v>
      </c>
    </row>
    <row r="1540" spans="1:33">
      <c r="A1540" s="2" t="s">
        <v>95</v>
      </c>
      <c r="B1540" s="2" t="s">
        <v>63</v>
      </c>
      <c r="C1540" s="1">
        <v>0.59462093100000002</v>
      </c>
      <c r="D1540">
        <v>0.68038960500000001</v>
      </c>
      <c r="E1540">
        <v>0.72533004899999998</v>
      </c>
      <c r="F1540" s="1" t="s">
        <v>96</v>
      </c>
      <c r="G1540" s="1">
        <v>1.9717647060000001</v>
      </c>
      <c r="H1540" s="1">
        <v>34.6</v>
      </c>
      <c r="I1540" s="1">
        <v>42.5</v>
      </c>
      <c r="J1540" s="1">
        <v>0.66678019499999996</v>
      </c>
      <c r="K1540" s="1">
        <v>0.44311141399999998</v>
      </c>
      <c r="L1540" s="1">
        <v>0.57053969199999999</v>
      </c>
      <c r="M1540" s="3">
        <v>0.59266330599999995</v>
      </c>
      <c r="N1540" s="1" t="s">
        <v>64</v>
      </c>
      <c r="O1540" s="1">
        <v>0.89618138400000003</v>
      </c>
      <c r="P1540" s="1">
        <v>29.7</v>
      </c>
      <c r="Q1540" s="1">
        <v>83.8</v>
      </c>
      <c r="R1540" s="1">
        <v>0.53543813733333334</v>
      </c>
      <c r="S1540" s="1">
        <v>0.22939616785358236</v>
      </c>
      <c r="T1540" t="s">
        <v>1687</v>
      </c>
      <c r="U1540" s="1">
        <v>220</v>
      </c>
      <c r="V1540">
        <f t="shared" si="96"/>
        <v>0.26026918675802291</v>
      </c>
      <c r="W1540" s="1">
        <f t="shared" si="97"/>
        <v>4.9000000000000021</v>
      </c>
      <c r="X1540">
        <f t="shared" si="98"/>
        <v>1.075583322</v>
      </c>
      <c r="Y1540">
        <f t="shared" si="99"/>
        <v>41.3</v>
      </c>
      <c r="Z1540" s="1">
        <v>0</v>
      </c>
      <c r="AA1540">
        <v>100</v>
      </c>
      <c r="AB1540">
        <v>0</v>
      </c>
      <c r="AC1540">
        <v>0</v>
      </c>
      <c r="AD1540">
        <v>97</v>
      </c>
      <c r="AE1540">
        <v>0</v>
      </c>
      <c r="AF1540" t="s">
        <v>2593</v>
      </c>
      <c r="AG1540" t="s">
        <v>2590</v>
      </c>
    </row>
    <row r="1541" spans="1:33">
      <c r="A1541" s="2" t="s">
        <v>95</v>
      </c>
      <c r="B1541" s="2" t="s">
        <v>65</v>
      </c>
      <c r="C1541" s="1">
        <v>0.59462093100000002</v>
      </c>
      <c r="D1541">
        <v>0.68038960500000001</v>
      </c>
      <c r="E1541">
        <v>0.72533004899999998</v>
      </c>
      <c r="F1541" s="1" t="s">
        <v>96</v>
      </c>
      <c r="G1541" s="1">
        <v>1.9717647060000001</v>
      </c>
      <c r="H1541" s="1">
        <v>34.6</v>
      </c>
      <c r="I1541" s="1">
        <v>42.5</v>
      </c>
      <c r="J1541" s="1">
        <v>0.66678019499999996</v>
      </c>
      <c r="K1541" s="1">
        <v>0.67377447499999998</v>
      </c>
      <c r="L1541" s="1">
        <v>0.69144672900000004</v>
      </c>
      <c r="M1541" s="3">
        <v>0.73046409700000003</v>
      </c>
      <c r="N1541" s="1" t="s">
        <v>66</v>
      </c>
      <c r="O1541" s="1">
        <v>1.8507462690000001</v>
      </c>
      <c r="P1541" s="1">
        <v>34.5</v>
      </c>
      <c r="Q1541" s="1">
        <v>46.9</v>
      </c>
      <c r="R1541" s="1">
        <v>0.69856176700000006</v>
      </c>
      <c r="S1541" s="1">
        <v>8.0086840166019857E-2</v>
      </c>
      <c r="T1541" t="s">
        <v>1688</v>
      </c>
      <c r="U1541" s="1">
        <v>14673</v>
      </c>
      <c r="V1541">
        <f t="shared" si="96"/>
        <v>0.4629465463934383</v>
      </c>
      <c r="W1541" s="1">
        <f t="shared" si="97"/>
        <v>0.10000000000000142</v>
      </c>
      <c r="X1541">
        <f t="shared" si="98"/>
        <v>0.12101843700000003</v>
      </c>
      <c r="Y1541">
        <f t="shared" si="99"/>
        <v>4.3999999999999986</v>
      </c>
      <c r="Z1541" s="1">
        <v>24</v>
      </c>
      <c r="AA1541">
        <v>76</v>
      </c>
      <c r="AB1541">
        <v>0.31580000000000003</v>
      </c>
      <c r="AC1541">
        <v>20</v>
      </c>
      <c r="AD1541">
        <v>59</v>
      </c>
      <c r="AE1541">
        <v>0.33900000000000002</v>
      </c>
      <c r="AF1541" t="s">
        <v>2593</v>
      </c>
      <c r="AG1541" t="s">
        <v>2593</v>
      </c>
    </row>
    <row r="1542" spans="1:33">
      <c r="A1542" s="2" t="s">
        <v>95</v>
      </c>
      <c r="B1542" s="2" t="s">
        <v>67</v>
      </c>
      <c r="C1542" s="1">
        <v>0.59462093100000002</v>
      </c>
      <c r="D1542">
        <v>0.68038960500000001</v>
      </c>
      <c r="E1542">
        <v>0.72533004899999998</v>
      </c>
      <c r="F1542" s="1" t="s">
        <v>96</v>
      </c>
      <c r="G1542" s="1">
        <v>1.9717647060000001</v>
      </c>
      <c r="H1542" s="1">
        <v>34.6</v>
      </c>
      <c r="I1542" s="1">
        <v>42.5</v>
      </c>
      <c r="J1542" s="1">
        <v>0.66678019499999996</v>
      </c>
      <c r="K1542" s="1">
        <v>0.53971122199999999</v>
      </c>
      <c r="L1542" s="1">
        <v>0.621203065</v>
      </c>
      <c r="M1542" s="3">
        <v>0.67806811499999997</v>
      </c>
      <c r="N1542" s="1" t="s">
        <v>68</v>
      </c>
      <c r="O1542" s="1">
        <v>1.5131894480000001</v>
      </c>
      <c r="P1542" s="1">
        <v>27.2</v>
      </c>
      <c r="Q1542" s="1">
        <v>41.7</v>
      </c>
      <c r="R1542" s="1">
        <v>0.61299413400000002</v>
      </c>
      <c r="S1542" s="1">
        <v>9.3551125407750402E-2</v>
      </c>
      <c r="T1542" t="s">
        <v>1689</v>
      </c>
      <c r="U1542" s="1">
        <v>3506</v>
      </c>
      <c r="V1542">
        <f t="shared" si="96"/>
        <v>0.39386799019530844</v>
      </c>
      <c r="W1542" s="1">
        <f t="shared" si="97"/>
        <v>7.4000000000000021</v>
      </c>
      <c r="X1542">
        <f t="shared" si="98"/>
        <v>0.45857525799999999</v>
      </c>
      <c r="Y1542">
        <f t="shared" si="99"/>
        <v>0.79999999999999716</v>
      </c>
      <c r="Z1542" s="1">
        <v>1</v>
      </c>
      <c r="AA1542">
        <v>99</v>
      </c>
      <c r="AB1542">
        <v>1.01E-2</v>
      </c>
      <c r="AC1542">
        <v>1</v>
      </c>
      <c r="AD1542">
        <v>89</v>
      </c>
      <c r="AE1542">
        <v>1.12E-2</v>
      </c>
      <c r="AF1542" t="s">
        <v>2593</v>
      </c>
      <c r="AG1542" t="s">
        <v>2588</v>
      </c>
    </row>
    <row r="1543" spans="1:33">
      <c r="A1543" s="2" t="s">
        <v>95</v>
      </c>
      <c r="B1543" s="2" t="s">
        <v>69</v>
      </c>
      <c r="C1543" s="1">
        <v>0.59462093100000002</v>
      </c>
      <c r="D1543">
        <v>0.68038960500000001</v>
      </c>
      <c r="E1543">
        <v>0.72533004899999998</v>
      </c>
      <c r="F1543" s="1" t="s">
        <v>96</v>
      </c>
      <c r="G1543" s="1">
        <v>1.9717647060000001</v>
      </c>
      <c r="H1543" s="1">
        <v>34.6</v>
      </c>
      <c r="I1543" s="1">
        <v>42.5</v>
      </c>
      <c r="J1543" s="1">
        <v>0.66678019499999996</v>
      </c>
      <c r="K1543" s="1">
        <v>0.50188385300000005</v>
      </c>
      <c r="L1543" s="1">
        <v>0.64580031500000001</v>
      </c>
      <c r="M1543" s="3">
        <v>0.66006355800000005</v>
      </c>
      <c r="N1543" s="1" t="s">
        <v>70</v>
      </c>
      <c r="O1543" s="1">
        <v>1.2401055409999999</v>
      </c>
      <c r="P1543" s="1">
        <v>43.4</v>
      </c>
      <c r="Q1543" s="1">
        <v>75.8</v>
      </c>
      <c r="R1543" s="1">
        <v>0.60258257533333337</v>
      </c>
      <c r="S1543" s="1">
        <v>0.11855926562751327</v>
      </c>
      <c r="T1543" t="s">
        <v>1690</v>
      </c>
      <c r="U1543" s="1">
        <v>148</v>
      </c>
      <c r="V1543">
        <f t="shared" si="96"/>
        <v>0.24114019059943972</v>
      </c>
      <c r="W1543" s="1">
        <f t="shared" si="97"/>
        <v>8.7999999999999972</v>
      </c>
      <c r="X1543">
        <f t="shared" si="98"/>
        <v>0.73165916500000017</v>
      </c>
      <c r="Y1543">
        <f t="shared" si="99"/>
        <v>33.299999999999997</v>
      </c>
      <c r="Z1543" s="1">
        <v>1</v>
      </c>
      <c r="AA1543">
        <v>99</v>
      </c>
      <c r="AB1543">
        <v>1.01E-2</v>
      </c>
      <c r="AC1543">
        <v>1</v>
      </c>
      <c r="AD1543">
        <v>96</v>
      </c>
      <c r="AE1543">
        <v>1.04E-2</v>
      </c>
      <c r="AF1543" t="s">
        <v>2593</v>
      </c>
      <c r="AG1543" t="s">
        <v>2589</v>
      </c>
    </row>
    <row r="1544" spans="1:33">
      <c r="A1544" s="2" t="s">
        <v>95</v>
      </c>
      <c r="B1544" s="2" t="s">
        <v>71</v>
      </c>
      <c r="C1544" s="1">
        <v>0.59462093100000002</v>
      </c>
      <c r="D1544">
        <v>0.68038960500000001</v>
      </c>
      <c r="E1544">
        <v>0.72533004899999998</v>
      </c>
      <c r="F1544" s="1" t="s">
        <v>96</v>
      </c>
      <c r="G1544" s="1">
        <v>1.9717647060000001</v>
      </c>
      <c r="H1544" s="1">
        <v>34.6</v>
      </c>
      <c r="I1544" s="1">
        <v>42.5</v>
      </c>
      <c r="J1544" s="1">
        <v>0.66678019499999996</v>
      </c>
      <c r="K1544" s="1">
        <v>0.53267569100000001</v>
      </c>
      <c r="L1544" s="1">
        <v>0.64507433599999997</v>
      </c>
      <c r="M1544" s="3">
        <v>0.66598465100000004</v>
      </c>
      <c r="N1544" s="1" t="s">
        <v>72</v>
      </c>
      <c r="O1544" s="1">
        <v>0.97289666900000005</v>
      </c>
      <c r="P1544" s="1">
        <v>64.8</v>
      </c>
      <c r="Q1544" s="1">
        <v>177.1</v>
      </c>
      <c r="R1544" s="1">
        <v>0.61457822600000001</v>
      </c>
      <c r="S1544" s="1">
        <v>9.2769915635287512E-2</v>
      </c>
      <c r="T1544" t="s">
        <v>1691</v>
      </c>
      <c r="U1544" s="1">
        <v>1316</v>
      </c>
      <c r="V1544">
        <f t="shared" si="96"/>
        <v>0.3465839876975485</v>
      </c>
      <c r="W1544" s="1">
        <f t="shared" si="97"/>
        <v>30.199999999999996</v>
      </c>
      <c r="X1544">
        <f t="shared" si="98"/>
        <v>0.99886803700000004</v>
      </c>
      <c r="Y1544">
        <f t="shared" si="99"/>
        <v>134.6</v>
      </c>
      <c r="Z1544" s="1">
        <v>3</v>
      </c>
      <c r="AA1544">
        <v>97</v>
      </c>
      <c r="AB1544">
        <v>3.09E-2</v>
      </c>
      <c r="AC1544">
        <v>2</v>
      </c>
      <c r="AD1544">
        <v>106</v>
      </c>
      <c r="AE1544">
        <v>1.89E-2</v>
      </c>
      <c r="AF1544" t="s">
        <v>2593</v>
      </c>
      <c r="AG1544" t="s">
        <v>2589</v>
      </c>
    </row>
    <row r="1545" spans="1:33">
      <c r="A1545" s="2" t="s">
        <v>95</v>
      </c>
      <c r="B1545" s="2" t="s">
        <v>73</v>
      </c>
      <c r="C1545" s="1">
        <v>0.59462093100000002</v>
      </c>
      <c r="D1545">
        <v>0.68038960500000001</v>
      </c>
      <c r="E1545">
        <v>0.72533004899999998</v>
      </c>
      <c r="F1545" s="1" t="s">
        <v>96</v>
      </c>
      <c r="G1545" s="1">
        <v>1.9717647060000001</v>
      </c>
      <c r="H1545" s="1">
        <v>34.6</v>
      </c>
      <c r="I1545" s="1">
        <v>42.5</v>
      </c>
      <c r="J1545" s="1">
        <v>0.66678019499999996</v>
      </c>
      <c r="K1545" s="1">
        <v>0.55697925299999995</v>
      </c>
      <c r="L1545" s="1">
        <v>0.64461978399999997</v>
      </c>
      <c r="M1545" s="3">
        <v>0.69570690000000002</v>
      </c>
      <c r="N1545" s="1" t="s">
        <v>74</v>
      </c>
      <c r="O1545" s="1">
        <v>1.23433584</v>
      </c>
      <c r="P1545" s="1">
        <v>44</v>
      </c>
      <c r="Q1545" s="1">
        <v>79.8</v>
      </c>
      <c r="R1545" s="1">
        <v>0.63243531233333328</v>
      </c>
      <c r="S1545" s="1">
        <v>5.978216267168604E-2</v>
      </c>
      <c r="T1545" t="s">
        <v>1692</v>
      </c>
      <c r="U1545" s="1">
        <v>157</v>
      </c>
      <c r="V1545">
        <f t="shared" si="96"/>
        <v>0.24398885026769263</v>
      </c>
      <c r="W1545" s="1">
        <f t="shared" si="97"/>
        <v>9.3999999999999986</v>
      </c>
      <c r="X1545">
        <f t="shared" si="98"/>
        <v>0.73742886600000013</v>
      </c>
      <c r="Y1545">
        <f t="shared" si="99"/>
        <v>37.299999999999997</v>
      </c>
      <c r="Z1545" s="1">
        <v>0</v>
      </c>
      <c r="AA1545">
        <v>100</v>
      </c>
      <c r="AB1545">
        <v>0</v>
      </c>
      <c r="AC1545">
        <v>0</v>
      </c>
      <c r="AD1545">
        <v>93</v>
      </c>
      <c r="AE1545">
        <v>0</v>
      </c>
      <c r="AF1545" t="s">
        <v>2593</v>
      </c>
      <c r="AG1545" t="s">
        <v>2589</v>
      </c>
    </row>
    <row r="1546" spans="1:33">
      <c r="A1546" s="2" t="s">
        <v>95</v>
      </c>
      <c r="B1546" s="2" t="s">
        <v>75</v>
      </c>
      <c r="C1546" s="1">
        <v>0.59462093100000002</v>
      </c>
      <c r="D1546">
        <v>0.68038960500000001</v>
      </c>
      <c r="E1546">
        <v>0.72533004899999998</v>
      </c>
      <c r="F1546" s="1" t="s">
        <v>96</v>
      </c>
      <c r="G1546" s="1">
        <v>1.9717647060000001</v>
      </c>
      <c r="H1546" s="1">
        <v>34.6</v>
      </c>
      <c r="I1546" s="1">
        <v>42.5</v>
      </c>
      <c r="J1546" s="1">
        <v>0.66678019499999996</v>
      </c>
      <c r="K1546" s="1">
        <v>0.50354843500000002</v>
      </c>
      <c r="L1546" s="1">
        <v>0.59724402499999996</v>
      </c>
      <c r="M1546" s="3">
        <v>0.70308254199999998</v>
      </c>
      <c r="N1546" s="1" t="s">
        <v>76</v>
      </c>
      <c r="O1546" s="1">
        <v>1.2696850390000001</v>
      </c>
      <c r="P1546" s="1">
        <v>26.6</v>
      </c>
      <c r="Q1546" s="1">
        <v>50.8</v>
      </c>
      <c r="R1546" s="1">
        <v>0.60129166733333339</v>
      </c>
      <c r="S1546" s="1">
        <v>0.12530897241986094</v>
      </c>
      <c r="T1546" t="s">
        <v>1693</v>
      </c>
      <c r="U1546" s="1">
        <v>818</v>
      </c>
      <c r="V1546">
        <f t="shared" si="96"/>
        <v>0.32363925596348037</v>
      </c>
      <c r="W1546" s="1">
        <f t="shared" si="97"/>
        <v>8</v>
      </c>
      <c r="X1546">
        <f t="shared" si="98"/>
        <v>0.70207966700000002</v>
      </c>
      <c r="Y1546">
        <f t="shared" si="99"/>
        <v>8.2999999999999972</v>
      </c>
      <c r="Z1546" s="1">
        <v>1</v>
      </c>
      <c r="AA1546">
        <v>99</v>
      </c>
      <c r="AB1546">
        <v>1.01E-2</v>
      </c>
      <c r="AC1546">
        <v>1</v>
      </c>
      <c r="AD1546">
        <v>92</v>
      </c>
      <c r="AE1546">
        <v>1.09E-2</v>
      </c>
      <c r="AF1546" t="s">
        <v>2593</v>
      </c>
      <c r="AG1546" t="s">
        <v>2594</v>
      </c>
    </row>
    <row r="1547" spans="1:33">
      <c r="A1547" s="2" t="s">
        <v>95</v>
      </c>
      <c r="B1547" s="2" t="s">
        <v>77</v>
      </c>
      <c r="C1547" s="1">
        <v>0.59462093100000002</v>
      </c>
      <c r="D1547">
        <v>0.68038960500000001</v>
      </c>
      <c r="E1547">
        <v>0.72533004899999998</v>
      </c>
      <c r="F1547" s="1" t="s">
        <v>96</v>
      </c>
      <c r="G1547" s="1">
        <v>1.9717647060000001</v>
      </c>
      <c r="H1547" s="1">
        <v>34.6</v>
      </c>
      <c r="I1547" s="1">
        <v>42.5</v>
      </c>
      <c r="J1547" s="1">
        <v>0.66678019499999996</v>
      </c>
      <c r="K1547" s="1">
        <v>0.54630843299999998</v>
      </c>
      <c r="L1547" s="1">
        <v>0.68935555900000001</v>
      </c>
      <c r="M1547" s="3">
        <v>0.65478744899999997</v>
      </c>
      <c r="N1547" s="1" t="s">
        <v>78</v>
      </c>
      <c r="O1547" s="1">
        <v>1.3914285710000001</v>
      </c>
      <c r="P1547" s="1">
        <v>56.5</v>
      </c>
      <c r="Q1547" s="1">
        <v>105</v>
      </c>
      <c r="R1547" s="1">
        <v>0.63015048033333343</v>
      </c>
      <c r="S1547" s="1">
        <v>8.5969437644375257E-2</v>
      </c>
      <c r="T1547" t="s">
        <v>1694</v>
      </c>
      <c r="U1547" s="1">
        <v>313</v>
      </c>
      <c r="V1547">
        <f t="shared" si="96"/>
        <v>0.2772827041718276</v>
      </c>
      <c r="W1547" s="1">
        <f t="shared" si="97"/>
        <v>21.9</v>
      </c>
      <c r="X1547">
        <f t="shared" si="98"/>
        <v>0.58033613500000003</v>
      </c>
      <c r="Y1547">
        <f t="shared" si="99"/>
        <v>62.5</v>
      </c>
      <c r="Z1547" s="1">
        <v>1</v>
      </c>
      <c r="AA1547">
        <v>99</v>
      </c>
      <c r="AB1547">
        <v>1.01E-2</v>
      </c>
      <c r="AC1547">
        <v>1</v>
      </c>
      <c r="AD1547">
        <v>81</v>
      </c>
      <c r="AE1547">
        <v>1.23E-2</v>
      </c>
      <c r="AF1547" t="s">
        <v>2593</v>
      </c>
      <c r="AG1547" t="s">
        <v>2590</v>
      </c>
    </row>
    <row r="1548" spans="1:33">
      <c r="A1548" s="2" t="s">
        <v>95</v>
      </c>
      <c r="B1548" s="2" t="s">
        <v>79</v>
      </c>
      <c r="C1548" s="1">
        <v>0.59462093100000002</v>
      </c>
      <c r="D1548">
        <v>0.68038960500000001</v>
      </c>
      <c r="E1548">
        <v>0.72533004899999998</v>
      </c>
      <c r="F1548" s="1" t="s">
        <v>96</v>
      </c>
      <c r="G1548" s="1">
        <v>1.9717647060000001</v>
      </c>
      <c r="H1548" s="1">
        <v>34.6</v>
      </c>
      <c r="I1548" s="1">
        <v>42.5</v>
      </c>
      <c r="J1548" s="1">
        <v>0.66678019499999996</v>
      </c>
      <c r="K1548" s="1">
        <v>0.63652882899999996</v>
      </c>
      <c r="L1548" s="1">
        <v>0.77536518600000004</v>
      </c>
      <c r="M1548" s="3">
        <v>0.610415606</v>
      </c>
      <c r="N1548" s="1" t="s">
        <v>80</v>
      </c>
      <c r="O1548" s="1">
        <v>0.95325542600000002</v>
      </c>
      <c r="P1548" s="1">
        <v>45.6</v>
      </c>
      <c r="Q1548" s="1">
        <v>119.8</v>
      </c>
      <c r="R1548" s="1">
        <v>0.67410320700000004</v>
      </c>
      <c r="S1548" s="1">
        <v>0.15486110586931184</v>
      </c>
      <c r="T1548" t="s">
        <v>1695</v>
      </c>
      <c r="U1548" s="1">
        <v>250</v>
      </c>
      <c r="V1548">
        <f t="shared" si="96"/>
        <v>0.26643777874133751</v>
      </c>
      <c r="W1548" s="1">
        <f t="shared" si="97"/>
        <v>11</v>
      </c>
      <c r="X1548">
        <f t="shared" si="98"/>
        <v>1.01850928</v>
      </c>
      <c r="Y1548">
        <f t="shared" si="99"/>
        <v>77.3</v>
      </c>
      <c r="Z1548" s="1">
        <v>1</v>
      </c>
      <c r="AA1548">
        <v>99</v>
      </c>
      <c r="AB1548">
        <v>1.01E-2</v>
      </c>
      <c r="AC1548">
        <v>1</v>
      </c>
      <c r="AD1548">
        <v>72</v>
      </c>
      <c r="AE1548">
        <v>1.3899999999999999E-2</v>
      </c>
      <c r="AF1548" t="s">
        <v>2593</v>
      </c>
      <c r="AG1548" t="s">
        <v>2590</v>
      </c>
    </row>
    <row r="1549" spans="1:33">
      <c r="A1549" s="2" t="s">
        <v>95</v>
      </c>
      <c r="B1549" s="2" t="s">
        <v>81</v>
      </c>
      <c r="C1549" s="1">
        <v>0.59462093100000002</v>
      </c>
      <c r="D1549">
        <v>0.68038960500000001</v>
      </c>
      <c r="E1549">
        <v>0.72533004899999998</v>
      </c>
      <c r="F1549" s="1" t="s">
        <v>96</v>
      </c>
      <c r="G1549" s="1">
        <v>1.9717647060000001</v>
      </c>
      <c r="H1549" s="1">
        <v>34.6</v>
      </c>
      <c r="I1549" s="1">
        <v>42.5</v>
      </c>
      <c r="J1549" s="1">
        <v>0.66678019499999996</v>
      </c>
      <c r="K1549" s="1">
        <v>0.50183280699999999</v>
      </c>
      <c r="L1549" s="1">
        <v>0.68550824600000004</v>
      </c>
      <c r="M1549" s="3">
        <v>0.66941488999999998</v>
      </c>
      <c r="N1549" s="1" t="s">
        <v>82</v>
      </c>
      <c r="O1549" s="1">
        <v>1.4359576970000001</v>
      </c>
      <c r="P1549" s="1">
        <v>51</v>
      </c>
      <c r="Q1549" s="1">
        <v>85.1</v>
      </c>
      <c r="R1549" s="1">
        <v>0.61891864766666671</v>
      </c>
      <c r="S1549" s="1">
        <v>0.10845432885376934</v>
      </c>
      <c r="T1549" t="s">
        <v>1696</v>
      </c>
      <c r="U1549" s="1">
        <v>1926</v>
      </c>
      <c r="V1549">
        <f t="shared" si="96"/>
        <v>0.36496180919872395</v>
      </c>
      <c r="W1549" s="1">
        <f t="shared" si="97"/>
        <v>16.399999999999999</v>
      </c>
      <c r="X1549">
        <f t="shared" si="98"/>
        <v>0.535807009</v>
      </c>
      <c r="Y1549">
        <f t="shared" si="99"/>
        <v>42.599999999999994</v>
      </c>
      <c r="Z1549" s="1">
        <v>3</v>
      </c>
      <c r="AA1549">
        <v>97</v>
      </c>
      <c r="AB1549">
        <v>3.09E-2</v>
      </c>
      <c r="AC1549">
        <v>3</v>
      </c>
      <c r="AD1549">
        <v>81</v>
      </c>
      <c r="AE1549">
        <v>3.6999999999999998E-2</v>
      </c>
      <c r="AF1549" t="s">
        <v>2593</v>
      </c>
      <c r="AG1549" t="s">
        <v>2589</v>
      </c>
    </row>
    <row r="1550" spans="1:33">
      <c r="A1550" s="2" t="s">
        <v>95</v>
      </c>
      <c r="B1550" s="2" t="s">
        <v>83</v>
      </c>
      <c r="C1550" s="1">
        <v>0.59462093100000002</v>
      </c>
      <c r="D1550">
        <v>0.68038960500000001</v>
      </c>
      <c r="E1550">
        <v>0.72533004899999998</v>
      </c>
      <c r="F1550" s="1" t="s">
        <v>96</v>
      </c>
      <c r="G1550" s="1">
        <v>1.9717647060000001</v>
      </c>
      <c r="H1550" s="1">
        <v>34.6</v>
      </c>
      <c r="I1550" s="1">
        <v>42.5</v>
      </c>
      <c r="J1550" s="1">
        <v>0.66678019499999996</v>
      </c>
      <c r="K1550" s="1">
        <v>0.51815179099999997</v>
      </c>
      <c r="L1550" s="1">
        <v>0.50115949400000004</v>
      </c>
      <c r="M1550" s="3">
        <v>0.68053170600000001</v>
      </c>
      <c r="N1550" s="1" t="s">
        <v>84</v>
      </c>
      <c r="O1550" s="1">
        <v>1.760323887</v>
      </c>
      <c r="P1550" s="1">
        <v>83.4</v>
      </c>
      <c r="Q1550" s="1">
        <v>123.5</v>
      </c>
      <c r="R1550" s="1">
        <v>0.56661433033333342</v>
      </c>
      <c r="S1550" s="1">
        <v>0.1999446263267847</v>
      </c>
      <c r="T1550" t="s">
        <v>1697</v>
      </c>
      <c r="U1550" s="1">
        <v>2143</v>
      </c>
      <c r="V1550">
        <f t="shared" si="96"/>
        <v>0.37011357456020316</v>
      </c>
      <c r="W1550" s="1">
        <f t="shared" si="97"/>
        <v>48.800000000000004</v>
      </c>
      <c r="X1550">
        <f t="shared" si="98"/>
        <v>0.21144081900000011</v>
      </c>
      <c r="Y1550">
        <f t="shared" si="99"/>
        <v>81</v>
      </c>
      <c r="Z1550" s="1">
        <v>0</v>
      </c>
      <c r="AA1550">
        <v>100</v>
      </c>
      <c r="AB1550">
        <v>0</v>
      </c>
      <c r="AC1550">
        <v>0</v>
      </c>
      <c r="AD1550">
        <v>79</v>
      </c>
      <c r="AE1550">
        <v>0</v>
      </c>
      <c r="AF1550" t="s">
        <v>2593</v>
      </c>
      <c r="AG1550" t="s">
        <v>2589</v>
      </c>
    </row>
    <row r="1551" spans="1:33">
      <c r="A1551" s="2" t="s">
        <v>95</v>
      </c>
      <c r="B1551" s="2" t="s">
        <v>85</v>
      </c>
      <c r="C1551" s="1">
        <v>0.59462093100000002</v>
      </c>
      <c r="D1551">
        <v>0.68038960500000001</v>
      </c>
      <c r="E1551">
        <v>0.72533004899999998</v>
      </c>
      <c r="F1551" s="1" t="s">
        <v>96</v>
      </c>
      <c r="G1551" s="1">
        <v>1.9717647060000001</v>
      </c>
      <c r="H1551" s="1">
        <v>34.6</v>
      </c>
      <c r="I1551" s="1">
        <v>42.5</v>
      </c>
      <c r="J1551" s="1">
        <v>0.66678019499999996</v>
      </c>
      <c r="K1551" s="1">
        <v>0.522280945</v>
      </c>
      <c r="L1551" s="1">
        <v>0.58016629799999997</v>
      </c>
      <c r="M1551" s="3">
        <v>0.62446713499999995</v>
      </c>
      <c r="N1551" s="1" t="s">
        <v>86</v>
      </c>
      <c r="O1551" s="1">
        <v>0.57177615599999998</v>
      </c>
      <c r="P1551" s="1">
        <v>19.5</v>
      </c>
      <c r="Q1551" s="1">
        <v>82.2</v>
      </c>
      <c r="R1551" s="1">
        <v>0.57563812599999997</v>
      </c>
      <c r="S1551" s="1">
        <v>0.15953404734121135</v>
      </c>
      <c r="T1551" t="s">
        <v>1698</v>
      </c>
      <c r="U1551" s="1">
        <v>320</v>
      </c>
      <c r="V1551">
        <f t="shared" si="96"/>
        <v>0.27834999759110063</v>
      </c>
      <c r="W1551" s="1">
        <f t="shared" si="97"/>
        <v>15.100000000000001</v>
      </c>
      <c r="X1551">
        <f t="shared" si="98"/>
        <v>1.3999885500000002</v>
      </c>
      <c r="Y1551">
        <f t="shared" si="99"/>
        <v>39.700000000000003</v>
      </c>
      <c r="Z1551" s="1">
        <v>0</v>
      </c>
      <c r="AA1551">
        <v>100</v>
      </c>
      <c r="AB1551">
        <v>0</v>
      </c>
      <c r="AC1551">
        <v>0</v>
      </c>
      <c r="AD1551">
        <v>144</v>
      </c>
      <c r="AE1551">
        <v>0</v>
      </c>
      <c r="AF1551" t="s">
        <v>2593</v>
      </c>
      <c r="AG1551" t="s">
        <v>2590</v>
      </c>
    </row>
    <row r="1552" spans="1:33">
      <c r="A1552" s="2" t="s">
        <v>95</v>
      </c>
      <c r="B1552" s="2" t="s">
        <v>87</v>
      </c>
      <c r="C1552" s="1">
        <v>0.59462093100000002</v>
      </c>
      <c r="D1552">
        <v>0.68038960500000001</v>
      </c>
      <c r="E1552">
        <v>0.72533004899999998</v>
      </c>
      <c r="F1552" s="1" t="s">
        <v>96</v>
      </c>
      <c r="G1552" s="1">
        <v>1.9717647060000001</v>
      </c>
      <c r="H1552" s="1">
        <v>34.6</v>
      </c>
      <c r="I1552" s="1">
        <v>42.5</v>
      </c>
      <c r="J1552" s="1">
        <v>0.66678019499999996</v>
      </c>
      <c r="K1552" s="1">
        <v>0.46780425199999998</v>
      </c>
      <c r="L1552" s="1">
        <v>0.54149707400000002</v>
      </c>
      <c r="M1552" s="3">
        <v>0.61626236400000001</v>
      </c>
      <c r="N1552" s="1" t="s">
        <v>88</v>
      </c>
      <c r="O1552" s="1">
        <v>1.395454545</v>
      </c>
      <c r="P1552" s="1">
        <v>65.2</v>
      </c>
      <c r="Q1552" s="1">
        <v>110</v>
      </c>
      <c r="R1552" s="1">
        <v>0.54185456333333337</v>
      </c>
      <c r="S1552" s="1">
        <v>0.21741519070992768</v>
      </c>
      <c r="T1552" t="s">
        <v>1699</v>
      </c>
      <c r="U1552" s="1">
        <v>545</v>
      </c>
      <c r="V1552">
        <f t="shared" si="96"/>
        <v>0.30404405580851585</v>
      </c>
      <c r="W1552" s="1">
        <f t="shared" si="97"/>
        <v>30.6</v>
      </c>
      <c r="X1552">
        <f t="shared" si="98"/>
        <v>0.5763101610000001</v>
      </c>
      <c r="Y1552">
        <f t="shared" si="99"/>
        <v>67.5</v>
      </c>
      <c r="Z1552" s="1">
        <v>0</v>
      </c>
      <c r="AA1552">
        <v>100</v>
      </c>
      <c r="AB1552">
        <v>0</v>
      </c>
      <c r="AC1552">
        <v>0</v>
      </c>
      <c r="AD1552">
        <v>77</v>
      </c>
      <c r="AE1552">
        <v>0</v>
      </c>
      <c r="AF1552" t="s">
        <v>2593</v>
      </c>
      <c r="AG1552" t="s">
        <v>2590</v>
      </c>
    </row>
    <row r="1553" spans="1:33">
      <c r="A1553" s="2" t="s">
        <v>95</v>
      </c>
      <c r="B1553" s="2" t="s">
        <v>89</v>
      </c>
      <c r="C1553" s="1">
        <v>0.59462093100000002</v>
      </c>
      <c r="D1553">
        <v>0.68038960500000001</v>
      </c>
      <c r="E1553">
        <v>0.72533004899999998</v>
      </c>
      <c r="F1553" s="1" t="s">
        <v>96</v>
      </c>
      <c r="G1553" s="1">
        <v>1.9717647060000001</v>
      </c>
      <c r="H1553" s="1">
        <v>34.6</v>
      </c>
      <c r="I1553" s="1">
        <v>42.5</v>
      </c>
      <c r="J1553" s="1">
        <v>0.66678019499999996</v>
      </c>
      <c r="K1553" s="1">
        <v>0.51097051500000001</v>
      </c>
      <c r="L1553" s="1">
        <v>0.61917891400000002</v>
      </c>
      <c r="M1553" s="3">
        <v>0.60984479800000002</v>
      </c>
      <c r="N1553" s="1" t="s">
        <v>90</v>
      </c>
      <c r="O1553" s="1">
        <v>1.429752066</v>
      </c>
      <c r="P1553" s="1">
        <v>59.8</v>
      </c>
      <c r="Q1553" s="1">
        <v>108.9</v>
      </c>
      <c r="R1553" s="1">
        <v>0.57999807566666661</v>
      </c>
      <c r="S1553" s="1">
        <v>0.15518048842623072</v>
      </c>
      <c r="T1553" t="s">
        <v>1700</v>
      </c>
      <c r="U1553" s="1">
        <v>1444</v>
      </c>
      <c r="V1553">
        <f t="shared" si="96"/>
        <v>0.35106302147040225</v>
      </c>
      <c r="W1553" s="1">
        <f t="shared" si="97"/>
        <v>25.199999999999996</v>
      </c>
      <c r="X1553">
        <f t="shared" si="98"/>
        <v>0.54201264000000005</v>
      </c>
      <c r="Y1553">
        <f t="shared" si="99"/>
        <v>66.400000000000006</v>
      </c>
      <c r="Z1553" s="1">
        <v>0</v>
      </c>
      <c r="AA1553">
        <v>100</v>
      </c>
      <c r="AB1553">
        <v>0</v>
      </c>
      <c r="AC1553">
        <v>0</v>
      </c>
      <c r="AD1553">
        <v>86</v>
      </c>
      <c r="AE1553">
        <v>0</v>
      </c>
      <c r="AF1553" t="s">
        <v>2593</v>
      </c>
      <c r="AG1553" t="s">
        <v>2589</v>
      </c>
    </row>
    <row r="1554" spans="1:33">
      <c r="A1554" s="2" t="s">
        <v>95</v>
      </c>
      <c r="B1554" s="2" t="s">
        <v>91</v>
      </c>
      <c r="C1554" s="1">
        <v>0.59462093100000002</v>
      </c>
      <c r="D1554">
        <v>0.68038960500000001</v>
      </c>
      <c r="E1554">
        <v>0.72533004899999998</v>
      </c>
      <c r="F1554" s="1" t="s">
        <v>96</v>
      </c>
      <c r="G1554" s="1">
        <v>1.9717647060000001</v>
      </c>
      <c r="H1554" s="1">
        <v>34.6</v>
      </c>
      <c r="I1554" s="1">
        <v>42.5</v>
      </c>
      <c r="J1554" s="1">
        <v>0.66678019499999996</v>
      </c>
      <c r="K1554" s="1">
        <v>0.37439919700000002</v>
      </c>
      <c r="L1554" s="1">
        <v>0.508839347</v>
      </c>
      <c r="M1554" s="3">
        <v>0.52701193599999996</v>
      </c>
      <c r="N1554" s="1" t="s">
        <v>92</v>
      </c>
      <c r="O1554" s="1">
        <v>1.911504425</v>
      </c>
      <c r="P1554" s="1">
        <v>24.6</v>
      </c>
      <c r="Q1554" s="1">
        <v>33.9</v>
      </c>
      <c r="R1554" s="1">
        <v>0.47008349333333332</v>
      </c>
      <c r="S1554" s="1">
        <v>0.34242835322109955</v>
      </c>
      <c r="T1554" t="s">
        <v>1701</v>
      </c>
      <c r="U1554" s="1">
        <v>1461</v>
      </c>
      <c r="V1554">
        <f t="shared" si="96"/>
        <v>0.35162780177047742</v>
      </c>
      <c r="W1554" s="1">
        <f t="shared" si="97"/>
        <v>10</v>
      </c>
      <c r="X1554">
        <f t="shared" si="98"/>
        <v>6.0260281000000138E-2</v>
      </c>
      <c r="Y1554">
        <f t="shared" si="99"/>
        <v>8.6000000000000014</v>
      </c>
      <c r="Z1554" s="1">
        <v>0</v>
      </c>
      <c r="AA1554">
        <v>100</v>
      </c>
      <c r="AB1554">
        <v>0</v>
      </c>
      <c r="AC1554">
        <v>0</v>
      </c>
      <c r="AD1554">
        <v>93</v>
      </c>
      <c r="AE1554">
        <v>0</v>
      </c>
      <c r="AF1554" t="s">
        <v>2593</v>
      </c>
      <c r="AG1554" t="s">
        <v>2590</v>
      </c>
    </row>
    <row r="1555" spans="1:33">
      <c r="A1555" s="2" t="s">
        <v>95</v>
      </c>
      <c r="B1555" s="2" t="s">
        <v>93</v>
      </c>
      <c r="C1555" s="1">
        <v>0.59462093100000002</v>
      </c>
      <c r="D1555">
        <v>0.68038960500000001</v>
      </c>
      <c r="E1555">
        <v>0.72533004899999998</v>
      </c>
      <c r="F1555" s="1" t="s">
        <v>96</v>
      </c>
      <c r="G1555" s="1">
        <v>1.9717647060000001</v>
      </c>
      <c r="H1555" s="1">
        <v>34.6</v>
      </c>
      <c r="I1555" s="1">
        <v>42.5</v>
      </c>
      <c r="J1555" s="1">
        <v>0.66678019499999996</v>
      </c>
      <c r="K1555" s="1">
        <v>0.54134617200000001</v>
      </c>
      <c r="L1555" s="1">
        <v>0.674899633</v>
      </c>
      <c r="M1555" s="3">
        <v>0.719840174</v>
      </c>
      <c r="N1555" s="1" t="s">
        <v>94</v>
      </c>
      <c r="O1555" s="1">
        <v>1.175388967</v>
      </c>
      <c r="P1555" s="1">
        <v>36.6</v>
      </c>
      <c r="Q1555" s="1">
        <v>70.7</v>
      </c>
      <c r="R1555" s="1">
        <v>0.64536199299999997</v>
      </c>
      <c r="S1555" s="1">
        <v>5.383751913474924E-2</v>
      </c>
      <c r="T1555" t="s">
        <v>1702</v>
      </c>
      <c r="U1555" s="1">
        <v>122</v>
      </c>
      <c r="V1555">
        <f t="shared" si="96"/>
        <v>0.23181775896386092</v>
      </c>
      <c r="W1555" s="1">
        <f t="shared" si="97"/>
        <v>2</v>
      </c>
      <c r="X1555">
        <f t="shared" si="98"/>
        <v>0.79637573900000014</v>
      </c>
      <c r="Y1555">
        <f t="shared" si="99"/>
        <v>28.200000000000003</v>
      </c>
      <c r="Z1555" s="1">
        <v>0</v>
      </c>
      <c r="AA1555">
        <v>100</v>
      </c>
      <c r="AB1555">
        <v>0</v>
      </c>
      <c r="AC1555">
        <v>0</v>
      </c>
      <c r="AD1555">
        <v>84</v>
      </c>
      <c r="AE1555">
        <v>0</v>
      </c>
      <c r="AF1555" t="s">
        <v>2593</v>
      </c>
      <c r="AG1555" t="s">
        <v>2589</v>
      </c>
    </row>
    <row r="1556" spans="1:33">
      <c r="A1556" s="2" t="s">
        <v>93</v>
      </c>
      <c r="B1556" s="2" t="s">
        <v>10</v>
      </c>
      <c r="C1556" s="1">
        <v>0.54134617200000001</v>
      </c>
      <c r="D1556">
        <v>0.674899633</v>
      </c>
      <c r="E1556">
        <v>0.719840174</v>
      </c>
      <c r="F1556" s="1" t="s">
        <v>94</v>
      </c>
      <c r="G1556" s="1">
        <v>1.175388967</v>
      </c>
      <c r="H1556" s="1">
        <v>36.6</v>
      </c>
      <c r="I1556" s="1">
        <v>70.7</v>
      </c>
      <c r="J1556" s="1">
        <v>0.64536199299999997</v>
      </c>
      <c r="K1556" s="1">
        <v>0.52456325500000001</v>
      </c>
      <c r="L1556" s="1">
        <v>0.61925627999999999</v>
      </c>
      <c r="M1556" s="3">
        <v>0.72111139899999999</v>
      </c>
      <c r="N1556" s="1" t="s">
        <v>12</v>
      </c>
      <c r="O1556" s="1">
        <v>0.61690647499999995</v>
      </c>
      <c r="P1556" s="1">
        <v>30</v>
      </c>
      <c r="Q1556" s="1">
        <v>111.2</v>
      </c>
      <c r="R1556" s="1">
        <v>0.62164364466666666</v>
      </c>
      <c r="S1556" s="1">
        <v>5.8133166515442147E-2</v>
      </c>
      <c r="T1556" t="s">
        <v>1703</v>
      </c>
      <c r="U1556" s="1">
        <v>351</v>
      </c>
      <c r="V1556">
        <f t="shared" si="96"/>
        <v>0.28281190182953597</v>
      </c>
      <c r="W1556" s="1">
        <f t="shared" si="97"/>
        <v>6.6000000000000014</v>
      </c>
      <c r="X1556">
        <f t="shared" si="98"/>
        <v>0.558482492</v>
      </c>
      <c r="Y1556">
        <f t="shared" si="99"/>
        <v>40.5</v>
      </c>
      <c r="Z1556" s="1">
        <v>4</v>
      </c>
      <c r="AA1556">
        <v>96</v>
      </c>
      <c r="AB1556">
        <v>4.1700000000000001E-2</v>
      </c>
      <c r="AC1556">
        <v>5</v>
      </c>
      <c r="AD1556">
        <v>141</v>
      </c>
      <c r="AE1556">
        <v>3.5499999999999997E-2</v>
      </c>
      <c r="AF1556" t="s">
        <v>2589</v>
      </c>
      <c r="AG1556" t="s">
        <v>2588</v>
      </c>
    </row>
    <row r="1557" spans="1:33">
      <c r="A1557" s="2" t="s">
        <v>93</v>
      </c>
      <c r="B1557" s="2" t="s">
        <v>13</v>
      </c>
      <c r="C1557" s="1">
        <v>0.54134617200000001</v>
      </c>
      <c r="D1557">
        <v>0.674899633</v>
      </c>
      <c r="E1557">
        <v>0.719840174</v>
      </c>
      <c r="F1557" s="1" t="s">
        <v>94</v>
      </c>
      <c r="G1557" s="1">
        <v>1.175388967</v>
      </c>
      <c r="H1557" s="1">
        <v>36.6</v>
      </c>
      <c r="I1557" s="1">
        <v>70.7</v>
      </c>
      <c r="J1557" s="1">
        <v>0.64536199299999997</v>
      </c>
      <c r="K1557" s="1">
        <v>0.48695497399999998</v>
      </c>
      <c r="L1557" s="1">
        <v>0.54991327199999995</v>
      </c>
      <c r="M1557" s="3">
        <v>0.67282609299999996</v>
      </c>
      <c r="N1557" s="1" t="s">
        <v>14</v>
      </c>
      <c r="O1557" s="1">
        <v>1.6052009460000001</v>
      </c>
      <c r="P1557" s="1">
        <v>26.6</v>
      </c>
      <c r="Q1557" s="1">
        <v>42.3</v>
      </c>
      <c r="R1557" s="1">
        <v>0.56989811299999993</v>
      </c>
      <c r="S1557" s="1">
        <v>0.14418847619755229</v>
      </c>
      <c r="T1557" t="s">
        <v>1704</v>
      </c>
      <c r="U1557" s="1">
        <v>1424</v>
      </c>
      <c r="V1557">
        <f t="shared" si="96"/>
        <v>0.35038999881120414</v>
      </c>
      <c r="W1557" s="1">
        <f t="shared" si="97"/>
        <v>10</v>
      </c>
      <c r="X1557">
        <f t="shared" si="98"/>
        <v>0.42981197900000012</v>
      </c>
      <c r="Y1557">
        <f t="shared" si="99"/>
        <v>28.400000000000006</v>
      </c>
      <c r="Z1557" s="1">
        <v>1</v>
      </c>
      <c r="AA1557">
        <v>99</v>
      </c>
      <c r="AB1557">
        <v>1.01E-2</v>
      </c>
      <c r="AC1557">
        <v>2</v>
      </c>
      <c r="AD1557">
        <v>91</v>
      </c>
      <c r="AE1557">
        <v>2.1999999999999999E-2</v>
      </c>
      <c r="AF1557" t="s">
        <v>2589</v>
      </c>
      <c r="AG1557" t="s">
        <v>2590</v>
      </c>
    </row>
    <row r="1558" spans="1:33">
      <c r="A1558" s="2" t="s">
        <v>93</v>
      </c>
      <c r="B1558" s="2" t="s">
        <v>15</v>
      </c>
      <c r="C1558" s="1">
        <v>0.54134617200000001</v>
      </c>
      <c r="D1558">
        <v>0.674899633</v>
      </c>
      <c r="E1558">
        <v>0.719840174</v>
      </c>
      <c r="F1558" s="1" t="s">
        <v>94</v>
      </c>
      <c r="G1558" s="1">
        <v>1.175388967</v>
      </c>
      <c r="H1558" s="1">
        <v>36.6</v>
      </c>
      <c r="I1558" s="1">
        <v>70.7</v>
      </c>
      <c r="J1558" s="1">
        <v>0.64536199299999997</v>
      </c>
      <c r="K1558" s="1">
        <v>0.54560998800000005</v>
      </c>
      <c r="L1558" s="1">
        <v>0.66721428400000005</v>
      </c>
      <c r="M1558" s="3">
        <v>0.72650398400000005</v>
      </c>
      <c r="N1558" s="1" t="s">
        <v>16</v>
      </c>
      <c r="O1558" s="1">
        <v>5.1392405060000002</v>
      </c>
      <c r="P1558" s="1">
        <v>35.9</v>
      </c>
      <c r="Q1558" s="1">
        <v>15.8</v>
      </c>
      <c r="R1558" s="1">
        <v>0.64644275200000012</v>
      </c>
      <c r="S1558" s="1">
        <v>1.1029554834614005E-2</v>
      </c>
      <c r="T1558" t="s">
        <v>1705</v>
      </c>
      <c r="U1558" s="1">
        <v>611</v>
      </c>
      <c r="V1558">
        <f t="shared" si="96"/>
        <v>0.30956013447139491</v>
      </c>
      <c r="W1558" s="1">
        <f t="shared" si="97"/>
        <v>0.70000000000000284</v>
      </c>
      <c r="X1558">
        <f t="shared" si="98"/>
        <v>3.9638515390000002</v>
      </c>
      <c r="Y1558">
        <f t="shared" si="99"/>
        <v>54.900000000000006</v>
      </c>
      <c r="Z1558" s="1">
        <v>0</v>
      </c>
      <c r="AA1558">
        <v>100</v>
      </c>
      <c r="AB1558">
        <v>0</v>
      </c>
      <c r="AC1558">
        <v>0</v>
      </c>
      <c r="AD1558">
        <v>89</v>
      </c>
      <c r="AE1558">
        <v>0</v>
      </c>
      <c r="AF1558" t="s">
        <v>2589</v>
      </c>
      <c r="AG1558" t="s">
        <v>2591</v>
      </c>
    </row>
    <row r="1559" spans="1:33">
      <c r="A1559" s="2" t="s">
        <v>93</v>
      </c>
      <c r="B1559" s="2" t="s">
        <v>17</v>
      </c>
      <c r="C1559" s="1">
        <v>0.54134617200000001</v>
      </c>
      <c r="D1559">
        <v>0.674899633</v>
      </c>
      <c r="E1559">
        <v>0.719840174</v>
      </c>
      <c r="F1559" s="1" t="s">
        <v>94</v>
      </c>
      <c r="G1559" s="1">
        <v>1.175388967</v>
      </c>
      <c r="H1559" s="1">
        <v>36.6</v>
      </c>
      <c r="I1559" s="1">
        <v>70.7</v>
      </c>
      <c r="J1559" s="1">
        <v>0.64536199299999997</v>
      </c>
      <c r="K1559" s="1">
        <v>0.659112378</v>
      </c>
      <c r="L1559" s="1">
        <v>0.68333493499999998</v>
      </c>
      <c r="M1559" s="3">
        <v>0.70345495199999997</v>
      </c>
      <c r="N1559" s="1" t="s">
        <v>18</v>
      </c>
      <c r="O1559" s="1">
        <v>1.9463955639999999</v>
      </c>
      <c r="P1559" s="1">
        <v>46.3</v>
      </c>
      <c r="Q1559" s="1">
        <v>54.1</v>
      </c>
      <c r="R1559" s="1">
        <v>0.68196742166666668</v>
      </c>
      <c r="S1559" s="1">
        <v>0.11919945090248915</v>
      </c>
      <c r="T1559" t="s">
        <v>1706</v>
      </c>
      <c r="U1559" s="1">
        <v>745</v>
      </c>
      <c r="V1559">
        <f t="shared" si="96"/>
        <v>0.31912847474981032</v>
      </c>
      <c r="W1559" s="1">
        <f t="shared" si="97"/>
        <v>9.6999999999999957</v>
      </c>
      <c r="X1559">
        <f t="shared" si="98"/>
        <v>0.77100659699999996</v>
      </c>
      <c r="Y1559">
        <f t="shared" si="99"/>
        <v>16.600000000000001</v>
      </c>
      <c r="Z1559" s="1">
        <v>0</v>
      </c>
      <c r="AA1559">
        <v>100</v>
      </c>
      <c r="AB1559">
        <v>0</v>
      </c>
      <c r="AC1559">
        <v>0</v>
      </c>
      <c r="AD1559">
        <v>103</v>
      </c>
      <c r="AE1559">
        <v>0</v>
      </c>
      <c r="AF1559" t="s">
        <v>2589</v>
      </c>
      <c r="AG1559" t="s">
        <v>2591</v>
      </c>
    </row>
    <row r="1560" spans="1:33">
      <c r="A1560" s="2" t="s">
        <v>93</v>
      </c>
      <c r="B1560" s="2" t="s">
        <v>19</v>
      </c>
      <c r="C1560" s="1">
        <v>0.54134617200000001</v>
      </c>
      <c r="D1560">
        <v>0.674899633</v>
      </c>
      <c r="E1560">
        <v>0.719840174</v>
      </c>
      <c r="F1560" s="1" t="s">
        <v>94</v>
      </c>
      <c r="G1560" s="1">
        <v>1.175388967</v>
      </c>
      <c r="H1560" s="1">
        <v>36.6</v>
      </c>
      <c r="I1560" s="1">
        <v>70.7</v>
      </c>
      <c r="J1560" s="1">
        <v>0.64536199299999997</v>
      </c>
      <c r="K1560" s="1">
        <v>0.49391595300000002</v>
      </c>
      <c r="L1560" s="1">
        <v>0.603599314</v>
      </c>
      <c r="M1560" s="3">
        <v>0.63481471599999995</v>
      </c>
      <c r="N1560" s="1" t="s">
        <v>20</v>
      </c>
      <c r="O1560" s="1">
        <v>1.2140902870000001</v>
      </c>
      <c r="P1560" s="1">
        <v>64.900000000000006</v>
      </c>
      <c r="Q1560" s="1">
        <v>146.19999999999999</v>
      </c>
      <c r="R1560" s="1">
        <v>0.57744332766666662</v>
      </c>
      <c r="S1560" s="1">
        <v>0.12067596973714151</v>
      </c>
      <c r="T1560" t="s">
        <v>1707</v>
      </c>
      <c r="U1560" s="1">
        <v>1898</v>
      </c>
      <c r="V1560">
        <f t="shared" si="96"/>
        <v>0.36425513423236372</v>
      </c>
      <c r="W1560" s="1">
        <f t="shared" si="97"/>
        <v>28.300000000000004</v>
      </c>
      <c r="X1560">
        <f t="shared" si="98"/>
        <v>3.870132000000015E-2</v>
      </c>
      <c r="Y1560">
        <f t="shared" si="99"/>
        <v>75.499999999999986</v>
      </c>
      <c r="Z1560" s="1">
        <v>11</v>
      </c>
      <c r="AA1560">
        <v>89</v>
      </c>
      <c r="AB1560">
        <v>0.1236</v>
      </c>
      <c r="AC1560">
        <v>13</v>
      </c>
      <c r="AD1560">
        <v>70</v>
      </c>
      <c r="AE1560">
        <v>0.1857</v>
      </c>
      <c r="AF1560" t="s">
        <v>2589</v>
      </c>
      <c r="AG1560" t="s">
        <v>2593</v>
      </c>
    </row>
    <row r="1561" spans="1:33">
      <c r="A1561" s="2" t="s">
        <v>93</v>
      </c>
      <c r="B1561" s="2" t="s">
        <v>21</v>
      </c>
      <c r="C1561" s="1">
        <v>0.54134617200000001</v>
      </c>
      <c r="D1561">
        <v>0.674899633</v>
      </c>
      <c r="E1561">
        <v>0.719840174</v>
      </c>
      <c r="F1561" s="1" t="s">
        <v>94</v>
      </c>
      <c r="G1561" s="1">
        <v>1.175388967</v>
      </c>
      <c r="H1561" s="1">
        <v>36.6</v>
      </c>
      <c r="I1561" s="1">
        <v>70.7</v>
      </c>
      <c r="J1561" s="1">
        <v>0.64536199299999997</v>
      </c>
      <c r="K1561" s="1">
        <v>0.53276376800000003</v>
      </c>
      <c r="L1561" s="1">
        <v>0.65428149899999999</v>
      </c>
      <c r="M1561" s="3">
        <v>0.70160154799999996</v>
      </c>
      <c r="N1561" s="1" t="s">
        <v>22</v>
      </c>
      <c r="O1561" s="1">
        <v>1.2440604749999999</v>
      </c>
      <c r="P1561" s="1">
        <v>24.6</v>
      </c>
      <c r="Q1561" s="1">
        <v>46.3</v>
      </c>
      <c r="R1561" s="1">
        <v>0.62954893833333336</v>
      </c>
      <c r="S1561" s="1">
        <v>2.8834225955087636E-2</v>
      </c>
      <c r="T1561" t="s">
        <v>1708</v>
      </c>
      <c r="U1561" s="1">
        <v>28857</v>
      </c>
      <c r="V1561">
        <f t="shared" si="96"/>
        <v>0.49558346438381812</v>
      </c>
      <c r="W1561" s="1">
        <f t="shared" si="97"/>
        <v>12</v>
      </c>
      <c r="X1561">
        <f t="shared" si="98"/>
        <v>6.8671507999999992E-2</v>
      </c>
      <c r="Y1561">
        <f t="shared" si="99"/>
        <v>24.400000000000006</v>
      </c>
      <c r="Z1561" s="1">
        <v>4</v>
      </c>
      <c r="AA1561">
        <v>96</v>
      </c>
      <c r="AB1561">
        <v>4.1700000000000001E-2</v>
      </c>
      <c r="AC1561">
        <v>5</v>
      </c>
      <c r="AD1561">
        <v>84</v>
      </c>
      <c r="AE1561">
        <v>5.9499999999999997E-2</v>
      </c>
      <c r="AF1561" t="s">
        <v>2589</v>
      </c>
      <c r="AG1561" t="s">
        <v>2589</v>
      </c>
    </row>
    <row r="1562" spans="1:33">
      <c r="A1562" s="2" t="s">
        <v>93</v>
      </c>
      <c r="B1562" s="2" t="s">
        <v>23</v>
      </c>
      <c r="C1562" s="1">
        <v>0.54134617200000001</v>
      </c>
      <c r="D1562">
        <v>0.674899633</v>
      </c>
      <c r="E1562">
        <v>0.719840174</v>
      </c>
      <c r="F1562" s="1" t="s">
        <v>94</v>
      </c>
      <c r="G1562" s="1">
        <v>1.175388967</v>
      </c>
      <c r="H1562" s="1">
        <v>36.6</v>
      </c>
      <c r="I1562" s="1">
        <v>70.7</v>
      </c>
      <c r="J1562" s="1">
        <v>0.64536199299999997</v>
      </c>
      <c r="K1562" s="1">
        <v>0.49415677200000002</v>
      </c>
      <c r="L1562" s="1">
        <v>0.62090818999999997</v>
      </c>
      <c r="M1562" s="3">
        <v>0.63381026900000004</v>
      </c>
      <c r="N1562" s="1" t="s">
        <v>24</v>
      </c>
      <c r="O1562" s="1">
        <v>1.141304348</v>
      </c>
      <c r="P1562" s="1">
        <v>44.4</v>
      </c>
      <c r="Q1562" s="1">
        <v>101.2</v>
      </c>
      <c r="R1562" s="1">
        <v>0.58295841033333329</v>
      </c>
      <c r="S1562" s="1">
        <v>0.1119958032423147</v>
      </c>
      <c r="T1562" t="s">
        <v>1709</v>
      </c>
      <c r="U1562" s="1">
        <v>1139</v>
      </c>
      <c r="V1562">
        <f t="shared" si="96"/>
        <v>0.33961374711990006</v>
      </c>
      <c r="W1562" s="1">
        <f t="shared" si="97"/>
        <v>7.7999999999999972</v>
      </c>
      <c r="X1562">
        <f t="shared" si="98"/>
        <v>3.4084618999999927E-2</v>
      </c>
      <c r="Y1562">
        <f t="shared" si="99"/>
        <v>30.5</v>
      </c>
      <c r="Z1562" s="1">
        <v>3</v>
      </c>
      <c r="AA1562">
        <v>97</v>
      </c>
      <c r="AB1562">
        <v>3.09E-2</v>
      </c>
      <c r="AC1562">
        <v>5</v>
      </c>
      <c r="AD1562">
        <v>80</v>
      </c>
      <c r="AE1562">
        <v>6.25E-2</v>
      </c>
      <c r="AF1562" t="s">
        <v>2589</v>
      </c>
      <c r="AG1562" t="s">
        <v>2590</v>
      </c>
    </row>
    <row r="1563" spans="1:33">
      <c r="A1563" s="2" t="s">
        <v>93</v>
      </c>
      <c r="B1563" s="2" t="s">
        <v>25</v>
      </c>
      <c r="C1563" s="1">
        <v>0.54134617200000001</v>
      </c>
      <c r="D1563">
        <v>0.674899633</v>
      </c>
      <c r="E1563">
        <v>0.719840174</v>
      </c>
      <c r="F1563" s="1" t="s">
        <v>94</v>
      </c>
      <c r="G1563" s="1">
        <v>1.175388967</v>
      </c>
      <c r="H1563" s="1">
        <v>36.6</v>
      </c>
      <c r="I1563" s="1">
        <v>70.7</v>
      </c>
      <c r="J1563" s="1">
        <v>0.64536199299999997</v>
      </c>
      <c r="K1563" s="1">
        <v>0.53959274199999996</v>
      </c>
      <c r="L1563" s="1">
        <v>0.64971567399999997</v>
      </c>
      <c r="M1563" s="3">
        <v>0.65028459999999999</v>
      </c>
      <c r="N1563" s="1" t="s">
        <v>26</v>
      </c>
      <c r="O1563" s="1">
        <v>1.623046875</v>
      </c>
      <c r="P1563" s="1">
        <v>34.700000000000003</v>
      </c>
      <c r="Q1563" s="1">
        <v>51.2</v>
      </c>
      <c r="R1563" s="1">
        <v>0.61319767199999997</v>
      </c>
      <c r="S1563" s="1">
        <v>7.399516323482272E-2</v>
      </c>
      <c r="T1563" t="s">
        <v>1710</v>
      </c>
      <c r="U1563" s="1">
        <v>1418</v>
      </c>
      <c r="V1563">
        <f t="shared" si="96"/>
        <v>0.35018624787189423</v>
      </c>
      <c r="W1563" s="1">
        <f t="shared" si="97"/>
        <v>1.8999999999999986</v>
      </c>
      <c r="X1563">
        <f t="shared" si="98"/>
        <v>0.44765790800000005</v>
      </c>
      <c r="Y1563">
        <f t="shared" si="99"/>
        <v>19.5</v>
      </c>
      <c r="Z1563" s="1">
        <v>0</v>
      </c>
      <c r="AA1563">
        <v>100</v>
      </c>
      <c r="AB1563">
        <v>0</v>
      </c>
      <c r="AC1563">
        <v>0</v>
      </c>
      <c r="AD1563">
        <v>87</v>
      </c>
      <c r="AE1563">
        <v>0</v>
      </c>
      <c r="AF1563" t="s">
        <v>2589</v>
      </c>
      <c r="AG1563" t="s">
        <v>2594</v>
      </c>
    </row>
    <row r="1564" spans="1:33">
      <c r="A1564" s="2" t="s">
        <v>93</v>
      </c>
      <c r="B1564" s="2" t="s">
        <v>27</v>
      </c>
      <c r="C1564" s="1">
        <v>0.54134617200000001</v>
      </c>
      <c r="D1564">
        <v>0.674899633</v>
      </c>
      <c r="E1564">
        <v>0.719840174</v>
      </c>
      <c r="F1564" s="1" t="s">
        <v>94</v>
      </c>
      <c r="G1564" s="1">
        <v>1.175388967</v>
      </c>
      <c r="H1564" s="1">
        <v>36.6</v>
      </c>
      <c r="I1564" s="1">
        <v>70.7</v>
      </c>
      <c r="J1564" s="1">
        <v>0.64536199299999997</v>
      </c>
      <c r="K1564" s="1">
        <v>0.518608662</v>
      </c>
      <c r="L1564" s="1">
        <v>0.64320369700000002</v>
      </c>
      <c r="M1564" s="3">
        <v>0.62228994199999998</v>
      </c>
      <c r="N1564" s="1" t="s">
        <v>28</v>
      </c>
      <c r="O1564" s="1">
        <v>1.8717391299999999</v>
      </c>
      <c r="P1564" s="1">
        <v>33.700000000000003</v>
      </c>
      <c r="Q1564" s="1">
        <v>46</v>
      </c>
      <c r="R1564" s="1">
        <v>0.59470076699999996</v>
      </c>
      <c r="S1564" s="1">
        <v>0.10506033734559404</v>
      </c>
      <c r="T1564" t="s">
        <v>1711</v>
      </c>
      <c r="U1564" s="1">
        <v>785</v>
      </c>
      <c r="V1564">
        <f t="shared" si="96"/>
        <v>0.32165218408280588</v>
      </c>
      <c r="W1564" s="1">
        <f t="shared" si="97"/>
        <v>2.8999999999999986</v>
      </c>
      <c r="X1564">
        <f t="shared" si="98"/>
        <v>0.69635016299999997</v>
      </c>
      <c r="Y1564">
        <f t="shared" si="99"/>
        <v>24.700000000000003</v>
      </c>
      <c r="Z1564" s="1">
        <v>2</v>
      </c>
      <c r="AA1564">
        <v>98</v>
      </c>
      <c r="AB1564">
        <v>2.0400000000000001E-2</v>
      </c>
      <c r="AC1564">
        <v>4</v>
      </c>
      <c r="AD1564">
        <v>90</v>
      </c>
      <c r="AE1564">
        <v>4.4400000000000002E-2</v>
      </c>
      <c r="AF1564" t="s">
        <v>2589</v>
      </c>
      <c r="AG1564" t="s">
        <v>2590</v>
      </c>
    </row>
    <row r="1565" spans="1:33">
      <c r="A1565" s="2" t="s">
        <v>93</v>
      </c>
      <c r="B1565" s="2" t="s">
        <v>29</v>
      </c>
      <c r="C1565" s="1">
        <v>0.54134617200000001</v>
      </c>
      <c r="D1565">
        <v>0.674899633</v>
      </c>
      <c r="E1565">
        <v>0.719840174</v>
      </c>
      <c r="F1565" s="1" t="s">
        <v>94</v>
      </c>
      <c r="G1565" s="1">
        <v>1.175388967</v>
      </c>
      <c r="H1565" s="1">
        <v>36.6</v>
      </c>
      <c r="I1565" s="1">
        <v>70.7</v>
      </c>
      <c r="J1565" s="1">
        <v>0.64536199299999997</v>
      </c>
      <c r="K1565" s="1">
        <v>0.59351545100000003</v>
      </c>
      <c r="L1565" s="1">
        <v>0.68136602400000001</v>
      </c>
      <c r="M1565" s="3">
        <v>0.73518087600000004</v>
      </c>
      <c r="N1565" s="1" t="s">
        <v>30</v>
      </c>
      <c r="O1565" s="1">
        <v>2.849112426</v>
      </c>
      <c r="P1565" s="1">
        <v>37.9</v>
      </c>
      <c r="Q1565" s="1">
        <v>33.799999999999997</v>
      </c>
      <c r="R1565" s="1">
        <v>0.67002078366666673</v>
      </c>
      <c r="S1565" s="1">
        <v>5.4761163444520866E-2</v>
      </c>
      <c r="T1565" t="s">
        <v>1712</v>
      </c>
      <c r="U1565" s="1">
        <v>171</v>
      </c>
      <c r="V1565">
        <f t="shared" si="96"/>
        <v>0.24811067893246153</v>
      </c>
      <c r="W1565" s="1">
        <f t="shared" si="97"/>
        <v>1.2999999999999972</v>
      </c>
      <c r="X1565">
        <f t="shared" si="98"/>
        <v>1.6737234590000001</v>
      </c>
      <c r="Y1565">
        <f t="shared" si="99"/>
        <v>36.900000000000006</v>
      </c>
      <c r="Z1565" s="1">
        <v>0</v>
      </c>
      <c r="AA1565">
        <v>100</v>
      </c>
      <c r="AB1565">
        <v>0</v>
      </c>
      <c r="AC1565">
        <v>0</v>
      </c>
      <c r="AD1565">
        <v>83</v>
      </c>
      <c r="AE1565">
        <v>0</v>
      </c>
      <c r="AF1565" t="s">
        <v>2589</v>
      </c>
      <c r="AG1565" t="s">
        <v>2593</v>
      </c>
    </row>
    <row r="1566" spans="1:33">
      <c r="A1566" s="2" t="s">
        <v>93</v>
      </c>
      <c r="B1566" s="2" t="s">
        <v>31</v>
      </c>
      <c r="C1566" s="1">
        <v>0.54134617200000001</v>
      </c>
      <c r="D1566">
        <v>0.674899633</v>
      </c>
      <c r="E1566">
        <v>0.719840174</v>
      </c>
      <c r="F1566" s="1" t="s">
        <v>94</v>
      </c>
      <c r="G1566" s="1">
        <v>1.175388967</v>
      </c>
      <c r="H1566" s="1">
        <v>36.6</v>
      </c>
      <c r="I1566" s="1">
        <v>70.7</v>
      </c>
      <c r="J1566" s="1">
        <v>0.64536199299999997</v>
      </c>
      <c r="K1566" s="1">
        <v>0.47727961800000002</v>
      </c>
      <c r="L1566" s="1">
        <v>0.66941086400000005</v>
      </c>
      <c r="M1566" s="3">
        <v>0.69294815300000001</v>
      </c>
      <c r="N1566" s="1" t="s">
        <v>32</v>
      </c>
      <c r="O1566" s="1">
        <v>1.341891892</v>
      </c>
      <c r="P1566" s="1">
        <v>42.1</v>
      </c>
      <c r="Q1566" s="1">
        <v>74</v>
      </c>
      <c r="R1566" s="1">
        <v>0.61321287833333338</v>
      </c>
      <c r="S1566" s="1">
        <v>6.9698140004125761E-2</v>
      </c>
      <c r="T1566" t="s">
        <v>1713</v>
      </c>
      <c r="U1566" s="1">
        <v>105823</v>
      </c>
      <c r="V1566">
        <f t="shared" si="96"/>
        <v>0.55828667436470991</v>
      </c>
      <c r="W1566" s="1">
        <f t="shared" si="97"/>
        <v>5.5</v>
      </c>
      <c r="X1566">
        <f t="shared" si="98"/>
        <v>0.16650292500000008</v>
      </c>
      <c r="Y1566">
        <f t="shared" si="99"/>
        <v>3.2999999999999972</v>
      </c>
      <c r="Z1566" s="1">
        <v>9</v>
      </c>
      <c r="AA1566">
        <v>91</v>
      </c>
      <c r="AB1566">
        <v>9.8900000000000002E-2</v>
      </c>
      <c r="AC1566">
        <v>10</v>
      </c>
      <c r="AD1566">
        <v>81</v>
      </c>
      <c r="AE1566">
        <v>0.1235</v>
      </c>
      <c r="AF1566" t="s">
        <v>2589</v>
      </c>
      <c r="AG1566" t="s">
        <v>2589</v>
      </c>
    </row>
    <row r="1567" spans="1:33">
      <c r="A1567" s="2" t="s">
        <v>93</v>
      </c>
      <c r="B1567" s="2" t="s">
        <v>33</v>
      </c>
      <c r="C1567" s="1">
        <v>0.54134617200000001</v>
      </c>
      <c r="D1567">
        <v>0.674899633</v>
      </c>
      <c r="E1567">
        <v>0.719840174</v>
      </c>
      <c r="F1567" s="1" t="s">
        <v>94</v>
      </c>
      <c r="G1567" s="1">
        <v>1.175388967</v>
      </c>
      <c r="H1567" s="1">
        <v>36.6</v>
      </c>
      <c r="I1567" s="1">
        <v>70.7</v>
      </c>
      <c r="J1567" s="1">
        <v>0.64536199299999997</v>
      </c>
      <c r="K1567" s="1">
        <v>0.51347926600000005</v>
      </c>
      <c r="L1567" s="1">
        <v>0.63144379399999995</v>
      </c>
      <c r="M1567" s="3">
        <v>0.64189093500000005</v>
      </c>
      <c r="N1567" s="1" t="s">
        <v>34</v>
      </c>
      <c r="O1567" s="1">
        <v>2.3123667380000001</v>
      </c>
      <c r="P1567" s="1">
        <v>79.099999999999994</v>
      </c>
      <c r="Q1567" s="1">
        <v>93.8</v>
      </c>
      <c r="R1567" s="1">
        <v>0.59560466500000009</v>
      </c>
      <c r="S1567" s="1">
        <v>9.3493626808921426E-2</v>
      </c>
      <c r="T1567" t="s">
        <v>1714</v>
      </c>
      <c r="U1567" s="1">
        <v>1909</v>
      </c>
      <c r="V1567">
        <f t="shared" si="96"/>
        <v>0.36453399204374076</v>
      </c>
      <c r="W1567" s="1">
        <f t="shared" si="97"/>
        <v>42.499999999999993</v>
      </c>
      <c r="X1567">
        <f t="shared" si="98"/>
        <v>1.1369777710000002</v>
      </c>
      <c r="Y1567">
        <f t="shared" si="99"/>
        <v>23.099999999999994</v>
      </c>
      <c r="Z1567" s="1">
        <v>10</v>
      </c>
      <c r="AA1567">
        <v>90</v>
      </c>
      <c r="AB1567">
        <v>0.1111</v>
      </c>
      <c r="AC1567">
        <v>12</v>
      </c>
      <c r="AD1567">
        <v>73</v>
      </c>
      <c r="AE1567">
        <v>0.16439999999999999</v>
      </c>
      <c r="AF1567" t="s">
        <v>2589</v>
      </c>
      <c r="AG1567" t="s">
        <v>2590</v>
      </c>
    </row>
    <row r="1568" spans="1:33">
      <c r="A1568" s="2" t="s">
        <v>93</v>
      </c>
      <c r="B1568" s="2" t="s">
        <v>35</v>
      </c>
      <c r="C1568" s="1">
        <v>0.54134617200000001</v>
      </c>
      <c r="D1568">
        <v>0.674899633</v>
      </c>
      <c r="E1568">
        <v>0.719840174</v>
      </c>
      <c r="F1568" s="1" t="s">
        <v>94</v>
      </c>
      <c r="G1568" s="1">
        <v>1.175388967</v>
      </c>
      <c r="H1568" s="1">
        <v>36.6</v>
      </c>
      <c r="I1568" s="1">
        <v>70.7</v>
      </c>
      <c r="J1568" s="1">
        <v>0.64536199299999997</v>
      </c>
      <c r="K1568" s="1">
        <v>0.52542897600000005</v>
      </c>
      <c r="L1568" s="1">
        <v>0.60774736299999998</v>
      </c>
      <c r="M1568" s="3">
        <v>0.62585751700000003</v>
      </c>
      <c r="N1568" s="1" t="s">
        <v>36</v>
      </c>
      <c r="O1568" s="1">
        <v>0.98848810399999998</v>
      </c>
      <c r="P1568" s="1">
        <v>54.2</v>
      </c>
      <c r="Q1568" s="1">
        <v>130.30000000000001</v>
      </c>
      <c r="R1568" s="1">
        <v>0.58634461866666665</v>
      </c>
      <c r="S1568" s="1">
        <v>0.11659984696145601</v>
      </c>
      <c r="T1568" t="s">
        <v>1715</v>
      </c>
      <c r="U1568" s="1">
        <v>12497</v>
      </c>
      <c r="V1568">
        <f t="shared" si="96"/>
        <v>0.45520064109141306</v>
      </c>
      <c r="W1568" s="1">
        <f t="shared" si="97"/>
        <v>17.600000000000001</v>
      </c>
      <c r="X1568">
        <f t="shared" si="98"/>
        <v>0.18690086299999997</v>
      </c>
      <c r="Y1568">
        <f t="shared" si="99"/>
        <v>59.600000000000009</v>
      </c>
      <c r="Z1568" s="1">
        <v>10</v>
      </c>
      <c r="AA1568">
        <v>90</v>
      </c>
      <c r="AB1568">
        <v>0.1111</v>
      </c>
      <c r="AC1568">
        <v>11</v>
      </c>
      <c r="AD1568">
        <v>73</v>
      </c>
      <c r="AE1568">
        <v>0.1507</v>
      </c>
      <c r="AF1568" t="s">
        <v>2589</v>
      </c>
      <c r="AG1568" t="s">
        <v>2589</v>
      </c>
    </row>
    <row r="1569" spans="1:33">
      <c r="A1569" s="2" t="s">
        <v>93</v>
      </c>
      <c r="B1569" s="2" t="s">
        <v>37</v>
      </c>
      <c r="C1569" s="1">
        <v>0.54134617200000001</v>
      </c>
      <c r="D1569">
        <v>0.674899633</v>
      </c>
      <c r="E1569">
        <v>0.719840174</v>
      </c>
      <c r="F1569" s="1" t="s">
        <v>94</v>
      </c>
      <c r="G1569" s="1">
        <v>1.175388967</v>
      </c>
      <c r="H1569" s="1">
        <v>36.6</v>
      </c>
      <c r="I1569" s="1">
        <v>70.7</v>
      </c>
      <c r="J1569" s="1">
        <v>0.64536199299999997</v>
      </c>
      <c r="K1569" s="1">
        <v>0.50856695500000004</v>
      </c>
      <c r="L1569" s="1">
        <v>0.654733224</v>
      </c>
      <c r="M1569" s="3">
        <v>0.61418267199999999</v>
      </c>
      <c r="N1569" s="1" t="s">
        <v>38</v>
      </c>
      <c r="O1569" s="1">
        <v>0.64065708399999999</v>
      </c>
      <c r="P1569" s="1">
        <v>41.9</v>
      </c>
      <c r="Q1569" s="1">
        <v>146.1</v>
      </c>
      <c r="R1569" s="1">
        <v>0.59249428366666679</v>
      </c>
      <c r="S1569" s="1">
        <v>0.11244851643293642</v>
      </c>
      <c r="T1569" t="s">
        <v>1716</v>
      </c>
      <c r="U1569" s="1">
        <v>779</v>
      </c>
      <c r="V1569">
        <f t="shared" si="96"/>
        <v>0.32128193974139602</v>
      </c>
      <c r="W1569" s="1">
        <f t="shared" si="97"/>
        <v>5.2999999999999972</v>
      </c>
      <c r="X1569">
        <f t="shared" si="98"/>
        <v>0.53473188299999996</v>
      </c>
      <c r="Y1569">
        <f t="shared" si="99"/>
        <v>75.399999999999991</v>
      </c>
      <c r="Z1569" s="1">
        <v>8</v>
      </c>
      <c r="AA1569">
        <v>92</v>
      </c>
      <c r="AB1569">
        <v>8.6999999999999994E-2</v>
      </c>
      <c r="AC1569">
        <v>10</v>
      </c>
      <c r="AD1569">
        <v>73</v>
      </c>
      <c r="AE1569">
        <v>0.13700000000000001</v>
      </c>
      <c r="AF1569" t="s">
        <v>2589</v>
      </c>
      <c r="AG1569" t="s">
        <v>2590</v>
      </c>
    </row>
    <row r="1570" spans="1:33">
      <c r="A1570" s="2" t="s">
        <v>93</v>
      </c>
      <c r="B1570" s="2" t="s">
        <v>39</v>
      </c>
      <c r="C1570" s="1">
        <v>0.54134617200000001</v>
      </c>
      <c r="D1570">
        <v>0.674899633</v>
      </c>
      <c r="E1570">
        <v>0.719840174</v>
      </c>
      <c r="F1570" s="1" t="s">
        <v>94</v>
      </c>
      <c r="G1570" s="1">
        <v>1.175388967</v>
      </c>
      <c r="H1570" s="1">
        <v>36.6</v>
      </c>
      <c r="I1570" s="1">
        <v>70.7</v>
      </c>
      <c r="J1570" s="1">
        <v>0.64536199299999997</v>
      </c>
      <c r="K1570" s="1">
        <v>0.60811616199999996</v>
      </c>
      <c r="L1570" s="1">
        <v>0.721105683</v>
      </c>
      <c r="M1570" s="3">
        <v>0.741016169</v>
      </c>
      <c r="N1570" s="1" t="s">
        <v>40</v>
      </c>
      <c r="O1570" s="1">
        <v>1.0601915180000001</v>
      </c>
      <c r="P1570" s="1">
        <v>34</v>
      </c>
      <c r="Q1570" s="1">
        <v>73.099999999999994</v>
      </c>
      <c r="R1570" s="1">
        <v>0.69007933799999999</v>
      </c>
      <c r="S1570" s="1">
        <v>8.3914560032467653E-2</v>
      </c>
      <c r="T1570" t="s">
        <v>1717</v>
      </c>
      <c r="U1570" s="1">
        <v>85021</v>
      </c>
      <c r="V1570">
        <f t="shared" si="96"/>
        <v>0.54772513430511038</v>
      </c>
      <c r="W1570" s="1">
        <f t="shared" si="97"/>
        <v>2.6000000000000014</v>
      </c>
      <c r="X1570">
        <f t="shared" si="98"/>
        <v>0.11519744899999984</v>
      </c>
      <c r="Y1570">
        <f t="shared" si="99"/>
        <v>2.3999999999999915</v>
      </c>
      <c r="Z1570" s="1">
        <v>4</v>
      </c>
      <c r="AA1570">
        <v>96</v>
      </c>
      <c r="AB1570">
        <v>4.1700000000000001E-2</v>
      </c>
      <c r="AC1570">
        <v>7</v>
      </c>
      <c r="AD1570">
        <v>79</v>
      </c>
      <c r="AE1570">
        <v>8.8599999999999998E-2</v>
      </c>
      <c r="AF1570" t="s">
        <v>2589</v>
      </c>
      <c r="AG1570" t="s">
        <v>2589</v>
      </c>
    </row>
    <row r="1571" spans="1:33">
      <c r="A1571" s="2" t="s">
        <v>93</v>
      </c>
      <c r="B1571" s="2" t="s">
        <v>41</v>
      </c>
      <c r="C1571" s="1">
        <v>0.54134617200000001</v>
      </c>
      <c r="D1571">
        <v>0.674899633</v>
      </c>
      <c r="E1571">
        <v>0.719840174</v>
      </c>
      <c r="F1571" s="1" t="s">
        <v>94</v>
      </c>
      <c r="G1571" s="1">
        <v>1.175388967</v>
      </c>
      <c r="H1571" s="1">
        <v>36.6</v>
      </c>
      <c r="I1571" s="1">
        <v>70.7</v>
      </c>
      <c r="J1571" s="1">
        <v>0.64536199299999997</v>
      </c>
      <c r="K1571" s="1">
        <v>0.60402244999999999</v>
      </c>
      <c r="L1571" s="1">
        <v>0.669189213</v>
      </c>
      <c r="M1571" s="3">
        <v>0.69821693799999995</v>
      </c>
      <c r="N1571" s="1" t="s">
        <v>42</v>
      </c>
      <c r="O1571" s="1">
        <v>1.3243902439999999</v>
      </c>
      <c r="P1571" s="1">
        <v>23</v>
      </c>
      <c r="Q1571" s="1">
        <v>41</v>
      </c>
      <c r="R1571" s="1">
        <v>0.65714286700000002</v>
      </c>
      <c r="S1571" s="1">
        <v>6.6546893658692888E-2</v>
      </c>
      <c r="T1571" t="s">
        <v>1718</v>
      </c>
      <c r="U1571" s="1">
        <v>373</v>
      </c>
      <c r="V1571">
        <f t="shared" si="96"/>
        <v>0.28574542575652084</v>
      </c>
      <c r="W1571" s="1">
        <f t="shared" si="97"/>
        <v>13.600000000000001</v>
      </c>
      <c r="X1571">
        <f t="shared" si="98"/>
        <v>0.14900127699999999</v>
      </c>
      <c r="Y1571">
        <f t="shared" si="99"/>
        <v>29.700000000000003</v>
      </c>
      <c r="Z1571" s="1">
        <v>0</v>
      </c>
      <c r="AA1571">
        <v>100</v>
      </c>
      <c r="AB1571">
        <v>0</v>
      </c>
      <c r="AC1571">
        <v>0</v>
      </c>
      <c r="AD1571">
        <v>100</v>
      </c>
      <c r="AE1571">
        <v>0</v>
      </c>
      <c r="AF1571" t="s">
        <v>2589</v>
      </c>
      <c r="AG1571" t="s">
        <v>2591</v>
      </c>
    </row>
    <row r="1572" spans="1:33">
      <c r="A1572" s="2" t="s">
        <v>93</v>
      </c>
      <c r="B1572" s="2" t="s">
        <v>43</v>
      </c>
      <c r="C1572" s="1">
        <v>0.54134617200000001</v>
      </c>
      <c r="D1572">
        <v>0.674899633</v>
      </c>
      <c r="E1572">
        <v>0.719840174</v>
      </c>
      <c r="F1572" s="1" t="s">
        <v>94</v>
      </c>
      <c r="G1572" s="1">
        <v>1.175388967</v>
      </c>
      <c r="H1572" s="1">
        <v>36.6</v>
      </c>
      <c r="I1572" s="1">
        <v>70.7</v>
      </c>
      <c r="J1572" s="1">
        <v>0.64536199299999997</v>
      </c>
      <c r="K1572" s="1">
        <v>0.54180634699999997</v>
      </c>
      <c r="L1572" s="1">
        <v>0.59470779900000004</v>
      </c>
      <c r="M1572" s="3">
        <v>0.69518155599999998</v>
      </c>
      <c r="N1572" s="1" t="s">
        <v>44</v>
      </c>
      <c r="O1572" s="1">
        <v>1.7403685090000001</v>
      </c>
      <c r="P1572" s="1">
        <v>41.2</v>
      </c>
      <c r="Q1572" s="1">
        <v>59.7</v>
      </c>
      <c r="R1572" s="1">
        <v>0.61056523400000007</v>
      </c>
      <c r="S1572" s="1">
        <v>8.3898685585556701E-2</v>
      </c>
      <c r="T1572" t="s">
        <v>1719</v>
      </c>
      <c r="U1572" s="1">
        <v>3915</v>
      </c>
      <c r="V1572">
        <f t="shared" si="96"/>
        <v>0.39919241848821801</v>
      </c>
      <c r="W1572" s="1">
        <f t="shared" si="97"/>
        <v>4.6000000000000014</v>
      </c>
      <c r="X1572">
        <f t="shared" si="98"/>
        <v>0.56497954200000011</v>
      </c>
      <c r="Y1572">
        <f t="shared" si="99"/>
        <v>11</v>
      </c>
      <c r="Z1572" s="1">
        <v>8</v>
      </c>
      <c r="AA1572">
        <v>92</v>
      </c>
      <c r="AB1572">
        <v>8.6999999999999994E-2</v>
      </c>
      <c r="AC1572">
        <v>10</v>
      </c>
      <c r="AD1572">
        <v>112</v>
      </c>
      <c r="AE1572">
        <v>8.9300000000000004E-2</v>
      </c>
      <c r="AF1572" t="s">
        <v>2589</v>
      </c>
      <c r="AG1572" t="s">
        <v>2589</v>
      </c>
    </row>
    <row r="1573" spans="1:33">
      <c r="A1573" s="2" t="s">
        <v>93</v>
      </c>
      <c r="B1573" s="2" t="s">
        <v>45</v>
      </c>
      <c r="C1573" s="1">
        <v>0.54134617200000001</v>
      </c>
      <c r="D1573">
        <v>0.674899633</v>
      </c>
      <c r="E1573">
        <v>0.719840174</v>
      </c>
      <c r="F1573" s="1" t="s">
        <v>94</v>
      </c>
      <c r="G1573" s="1">
        <v>1.175388967</v>
      </c>
      <c r="H1573" s="1">
        <v>36.6</v>
      </c>
      <c r="I1573" s="1">
        <v>70.7</v>
      </c>
      <c r="J1573" s="1">
        <v>0.64536199299999997</v>
      </c>
      <c r="K1573" s="1">
        <v>0.50907007599999998</v>
      </c>
      <c r="L1573" s="1">
        <v>0.68428041399999995</v>
      </c>
      <c r="M1573" s="3">
        <v>0.67454742099999998</v>
      </c>
      <c r="N1573" s="1" t="s">
        <v>46</v>
      </c>
      <c r="O1573" s="1">
        <v>0.98140043799999999</v>
      </c>
      <c r="P1573" s="1">
        <v>38.9</v>
      </c>
      <c r="Q1573" s="1">
        <v>91.4</v>
      </c>
      <c r="R1573" s="1">
        <v>0.62263263699999993</v>
      </c>
      <c r="S1573" s="1">
        <v>5.6401940564932591E-2</v>
      </c>
      <c r="T1573" t="s">
        <v>1720</v>
      </c>
      <c r="U1573" s="1">
        <v>4384</v>
      </c>
      <c r="V1573">
        <f t="shared" si="96"/>
        <v>0.40465228283070143</v>
      </c>
      <c r="W1573" s="1">
        <f t="shared" si="97"/>
        <v>2.2999999999999972</v>
      </c>
      <c r="X1573">
        <f t="shared" si="98"/>
        <v>0.19398852899999997</v>
      </c>
      <c r="Y1573">
        <f t="shared" si="99"/>
        <v>20.700000000000003</v>
      </c>
      <c r="Z1573" s="1">
        <v>9</v>
      </c>
      <c r="AA1573">
        <v>91</v>
      </c>
      <c r="AB1573">
        <v>9.8900000000000002E-2</v>
      </c>
      <c r="AC1573">
        <v>10</v>
      </c>
      <c r="AD1573">
        <v>92</v>
      </c>
      <c r="AE1573">
        <v>0.1087</v>
      </c>
      <c r="AF1573" t="s">
        <v>2589</v>
      </c>
      <c r="AG1573" t="s">
        <v>2589</v>
      </c>
    </row>
    <row r="1574" spans="1:33">
      <c r="A1574" s="2" t="s">
        <v>93</v>
      </c>
      <c r="B1574" s="2" t="s">
        <v>47</v>
      </c>
      <c r="C1574" s="1">
        <v>0.54134617200000001</v>
      </c>
      <c r="D1574">
        <v>0.674899633</v>
      </c>
      <c r="E1574">
        <v>0.719840174</v>
      </c>
      <c r="F1574" s="1" t="s">
        <v>94</v>
      </c>
      <c r="G1574" s="1">
        <v>1.175388967</v>
      </c>
      <c r="H1574" s="1">
        <v>36.6</v>
      </c>
      <c r="I1574" s="1">
        <v>70.7</v>
      </c>
      <c r="J1574" s="1">
        <v>0.64536199299999997</v>
      </c>
      <c r="K1574" s="1">
        <v>0.50612154099999995</v>
      </c>
      <c r="L1574" s="1">
        <v>0.55940039100000005</v>
      </c>
      <c r="M1574" s="3">
        <v>0.66789001699999995</v>
      </c>
      <c r="N1574" s="1" t="s">
        <v>48</v>
      </c>
      <c r="O1574" s="1">
        <v>1.242622951</v>
      </c>
      <c r="P1574" s="1">
        <v>17.8</v>
      </c>
      <c r="Q1574" s="1">
        <v>30.5</v>
      </c>
      <c r="R1574" s="1">
        <v>0.57780398300000002</v>
      </c>
      <c r="S1574" s="1">
        <v>0.13145215229879414</v>
      </c>
      <c r="T1574" t="s">
        <v>1721</v>
      </c>
      <c r="U1574" s="1">
        <v>577</v>
      </c>
      <c r="V1574">
        <f t="shared" si="96"/>
        <v>0.30679731257285903</v>
      </c>
      <c r="W1574" s="1">
        <f t="shared" si="97"/>
        <v>18.8</v>
      </c>
      <c r="X1574">
        <f t="shared" si="98"/>
        <v>6.7233984000000024E-2</v>
      </c>
      <c r="Y1574">
        <f t="shared" si="99"/>
        <v>40.200000000000003</v>
      </c>
      <c r="Z1574" s="1">
        <v>1</v>
      </c>
      <c r="AA1574">
        <v>99</v>
      </c>
      <c r="AB1574">
        <v>1.01E-2</v>
      </c>
      <c r="AC1574">
        <v>2</v>
      </c>
      <c r="AD1574">
        <v>107</v>
      </c>
      <c r="AE1574">
        <v>1.8700000000000001E-2</v>
      </c>
      <c r="AF1574" t="s">
        <v>2589</v>
      </c>
      <c r="AG1574" t="s">
        <v>2590</v>
      </c>
    </row>
    <row r="1575" spans="1:33">
      <c r="A1575" s="2" t="s">
        <v>93</v>
      </c>
      <c r="B1575" s="2" t="s">
        <v>49</v>
      </c>
      <c r="C1575" s="1">
        <v>0.54134617200000001</v>
      </c>
      <c r="D1575">
        <v>0.674899633</v>
      </c>
      <c r="E1575">
        <v>0.719840174</v>
      </c>
      <c r="F1575" s="1" t="s">
        <v>94</v>
      </c>
      <c r="G1575" s="1">
        <v>1.175388967</v>
      </c>
      <c r="H1575" s="1">
        <v>36.6</v>
      </c>
      <c r="I1575" s="1">
        <v>70.7</v>
      </c>
      <c r="J1575" s="1">
        <v>0.64536199299999997</v>
      </c>
      <c r="K1575" s="1">
        <v>0.50647110500000003</v>
      </c>
      <c r="L1575" s="1">
        <v>0.55713136799999996</v>
      </c>
      <c r="M1575" s="3">
        <v>0.63402682300000002</v>
      </c>
      <c r="N1575" s="1" t="s">
        <v>50</v>
      </c>
      <c r="O1575" s="1">
        <v>1.876675603</v>
      </c>
      <c r="P1575" s="1">
        <v>28.8</v>
      </c>
      <c r="Q1575" s="1">
        <v>37.299999999999997</v>
      </c>
      <c r="R1575" s="1">
        <v>0.56587643200000004</v>
      </c>
      <c r="S1575" s="1">
        <v>0.1498317915170673</v>
      </c>
      <c r="T1575" t="s">
        <v>1722</v>
      </c>
      <c r="U1575" s="1">
        <v>2077</v>
      </c>
      <c r="V1575">
        <f t="shared" si="96"/>
        <v>0.36860405517056655</v>
      </c>
      <c r="W1575" s="1">
        <f t="shared" si="97"/>
        <v>7.8000000000000007</v>
      </c>
      <c r="X1575">
        <f t="shared" si="98"/>
        <v>0.70128663600000007</v>
      </c>
      <c r="Y1575">
        <f t="shared" si="99"/>
        <v>33.400000000000006</v>
      </c>
      <c r="Z1575" s="1">
        <v>3</v>
      </c>
      <c r="AA1575">
        <v>97</v>
      </c>
      <c r="AB1575">
        <v>3.09E-2</v>
      </c>
      <c r="AC1575">
        <v>4</v>
      </c>
      <c r="AD1575">
        <v>79</v>
      </c>
      <c r="AE1575">
        <v>5.0599999999999999E-2</v>
      </c>
      <c r="AF1575" t="s">
        <v>2589</v>
      </c>
      <c r="AG1575" t="s">
        <v>2590</v>
      </c>
    </row>
    <row r="1576" spans="1:33">
      <c r="A1576" s="2" t="s">
        <v>93</v>
      </c>
      <c r="B1576" s="2" t="s">
        <v>51</v>
      </c>
      <c r="C1576" s="1">
        <v>0.54134617200000001</v>
      </c>
      <c r="D1576">
        <v>0.674899633</v>
      </c>
      <c r="E1576">
        <v>0.719840174</v>
      </c>
      <c r="F1576" s="1" t="s">
        <v>94</v>
      </c>
      <c r="G1576" s="1">
        <v>1.175388967</v>
      </c>
      <c r="H1576" s="1">
        <v>36.6</v>
      </c>
      <c r="I1576" s="1">
        <v>70.7</v>
      </c>
      <c r="J1576" s="1">
        <v>0.64536199299999997</v>
      </c>
      <c r="K1576" s="1">
        <v>0.60067161999999996</v>
      </c>
      <c r="L1576" s="1">
        <v>0.68094129999999997</v>
      </c>
      <c r="M1576" s="3">
        <v>0.73595931299999995</v>
      </c>
      <c r="N1576" s="1" t="s">
        <v>52</v>
      </c>
      <c r="O1576" s="1">
        <v>1.858638743</v>
      </c>
      <c r="P1576" s="1">
        <v>29.4</v>
      </c>
      <c r="Q1576" s="1">
        <v>38.200000000000003</v>
      </c>
      <c r="R1576" s="1">
        <v>0.67252407766666666</v>
      </c>
      <c r="S1576" s="1">
        <v>6.1772462818321446E-2</v>
      </c>
      <c r="T1576" t="s">
        <v>1723</v>
      </c>
      <c r="U1576" s="1">
        <v>316</v>
      </c>
      <c r="V1576">
        <f t="shared" si="96"/>
        <v>0.27774300917982264</v>
      </c>
      <c r="W1576" s="1">
        <f t="shared" si="97"/>
        <v>7.2000000000000028</v>
      </c>
      <c r="X1576">
        <f t="shared" si="98"/>
        <v>0.68324977600000003</v>
      </c>
      <c r="Y1576">
        <f t="shared" si="99"/>
        <v>32.5</v>
      </c>
      <c r="Z1576" s="1">
        <v>3</v>
      </c>
      <c r="AA1576">
        <v>97</v>
      </c>
      <c r="AB1576">
        <v>3.09E-2</v>
      </c>
      <c r="AC1576">
        <v>4</v>
      </c>
      <c r="AD1576">
        <v>88</v>
      </c>
      <c r="AE1576">
        <v>4.5499999999999999E-2</v>
      </c>
      <c r="AF1576" t="s">
        <v>2589</v>
      </c>
      <c r="AG1576" t="s">
        <v>2591</v>
      </c>
    </row>
    <row r="1577" spans="1:33">
      <c r="A1577" s="2" t="s">
        <v>93</v>
      </c>
      <c r="B1577" s="2" t="s">
        <v>53</v>
      </c>
      <c r="C1577" s="1">
        <v>0.54134617200000001</v>
      </c>
      <c r="D1577">
        <v>0.674899633</v>
      </c>
      <c r="E1577">
        <v>0.719840174</v>
      </c>
      <c r="F1577" s="1" t="s">
        <v>94</v>
      </c>
      <c r="G1577" s="1">
        <v>1.175388967</v>
      </c>
      <c r="H1577" s="1">
        <v>36.6</v>
      </c>
      <c r="I1577" s="1">
        <v>70.7</v>
      </c>
      <c r="J1577" s="1">
        <v>0.64536199299999997</v>
      </c>
      <c r="K1577" s="1">
        <v>0.54695832700000002</v>
      </c>
      <c r="L1577" s="1">
        <v>0.659790137</v>
      </c>
      <c r="M1577" s="3">
        <v>0.70662085500000005</v>
      </c>
      <c r="N1577" s="1" t="s">
        <v>54</v>
      </c>
      <c r="O1577" s="1">
        <v>2.5053995680000001</v>
      </c>
      <c r="P1577" s="1">
        <v>43.9</v>
      </c>
      <c r="Q1577" s="1">
        <v>46.3</v>
      </c>
      <c r="R1577" s="1">
        <v>0.63778977300000006</v>
      </c>
      <c r="S1577" s="1">
        <v>2.0845708142008534E-2</v>
      </c>
      <c r="T1577" t="s">
        <v>1724</v>
      </c>
      <c r="U1577" s="1">
        <v>743</v>
      </c>
      <c r="V1577">
        <f t="shared" si="96"/>
        <v>0.31899875708450837</v>
      </c>
      <c r="W1577" s="1">
        <f t="shared" si="97"/>
        <v>7.2999999999999972</v>
      </c>
      <c r="X1577">
        <f t="shared" si="98"/>
        <v>1.3300106010000001</v>
      </c>
      <c r="Y1577">
        <f t="shared" si="99"/>
        <v>24.400000000000006</v>
      </c>
      <c r="Z1577" s="1">
        <v>1</v>
      </c>
      <c r="AA1577">
        <v>99</v>
      </c>
      <c r="AB1577">
        <v>1.01E-2</v>
      </c>
      <c r="AC1577">
        <v>2</v>
      </c>
      <c r="AD1577">
        <v>90</v>
      </c>
      <c r="AE1577">
        <v>2.2200000000000001E-2</v>
      </c>
      <c r="AF1577" t="s">
        <v>2589</v>
      </c>
      <c r="AG1577" t="s">
        <v>2593</v>
      </c>
    </row>
    <row r="1578" spans="1:33">
      <c r="A1578" s="2" t="s">
        <v>93</v>
      </c>
      <c r="B1578" s="2" t="s">
        <v>55</v>
      </c>
      <c r="C1578" s="1">
        <v>0.54134617200000001</v>
      </c>
      <c r="D1578">
        <v>0.674899633</v>
      </c>
      <c r="E1578">
        <v>0.719840174</v>
      </c>
      <c r="F1578" s="1" t="s">
        <v>94</v>
      </c>
      <c r="G1578" s="1">
        <v>1.175388967</v>
      </c>
      <c r="H1578" s="1">
        <v>36.6</v>
      </c>
      <c r="I1578" s="1">
        <v>70.7</v>
      </c>
      <c r="J1578" s="1">
        <v>0.64536199299999997</v>
      </c>
      <c r="K1578" s="1">
        <v>0.52971861799999997</v>
      </c>
      <c r="L1578" s="1">
        <v>0.62258244500000004</v>
      </c>
      <c r="M1578" s="3">
        <v>0.63939760400000001</v>
      </c>
      <c r="N1578" s="1" t="s">
        <v>56</v>
      </c>
      <c r="O1578" s="1">
        <v>1.0796934869999999</v>
      </c>
      <c r="P1578" s="1">
        <v>55.3</v>
      </c>
      <c r="Q1578" s="1">
        <v>130.5</v>
      </c>
      <c r="R1578" s="1">
        <v>0.59723288899999993</v>
      </c>
      <c r="S1578" s="1">
        <v>9.6660722325333126E-2</v>
      </c>
      <c r="T1578" t="s">
        <v>1725</v>
      </c>
      <c r="U1578" s="1">
        <v>3478</v>
      </c>
      <c r="V1578">
        <f t="shared" si="96"/>
        <v>0.39348106418518819</v>
      </c>
      <c r="W1578" s="1">
        <f t="shared" si="97"/>
        <v>18.699999999999996</v>
      </c>
      <c r="X1578">
        <f t="shared" si="98"/>
        <v>9.5695480000000055E-2</v>
      </c>
      <c r="Y1578">
        <f t="shared" si="99"/>
        <v>59.8</v>
      </c>
      <c r="Z1578" s="1">
        <v>12</v>
      </c>
      <c r="AA1578">
        <v>88</v>
      </c>
      <c r="AB1578">
        <v>0.13639999999999999</v>
      </c>
      <c r="AC1578">
        <v>14</v>
      </c>
      <c r="AD1578">
        <v>70</v>
      </c>
      <c r="AE1578">
        <v>0.2</v>
      </c>
      <c r="AF1578" t="s">
        <v>2589</v>
      </c>
      <c r="AG1578" t="s">
        <v>2592</v>
      </c>
    </row>
    <row r="1579" spans="1:33">
      <c r="A1579" s="2" t="s">
        <v>93</v>
      </c>
      <c r="B1579" s="2" t="s">
        <v>57</v>
      </c>
      <c r="C1579" s="1">
        <v>0.54134617200000001</v>
      </c>
      <c r="D1579">
        <v>0.674899633</v>
      </c>
      <c r="E1579">
        <v>0.719840174</v>
      </c>
      <c r="F1579" s="1" t="s">
        <v>94</v>
      </c>
      <c r="G1579" s="1">
        <v>1.175388967</v>
      </c>
      <c r="H1579" s="1">
        <v>36.6</v>
      </c>
      <c r="I1579" s="1">
        <v>70.7</v>
      </c>
      <c r="J1579" s="1">
        <v>0.64536199299999997</v>
      </c>
      <c r="K1579" s="1">
        <v>0.528732855</v>
      </c>
      <c r="L1579" s="1">
        <v>0.63387497599999998</v>
      </c>
      <c r="M1579" s="3">
        <v>0.63337360200000004</v>
      </c>
      <c r="N1579" s="1" t="s">
        <v>58</v>
      </c>
      <c r="O1579" s="1">
        <v>1.386610879</v>
      </c>
      <c r="P1579" s="1">
        <v>69</v>
      </c>
      <c r="Q1579" s="1">
        <v>119.5</v>
      </c>
      <c r="R1579" s="1">
        <v>0.59866047766666663</v>
      </c>
      <c r="S1579" s="1">
        <v>9.6532825096654659E-2</v>
      </c>
      <c r="T1579" t="s">
        <v>1726</v>
      </c>
      <c r="U1579" s="1">
        <v>10289</v>
      </c>
      <c r="V1579">
        <f t="shared" si="96"/>
        <v>0.4458192408024988</v>
      </c>
      <c r="W1579" s="1">
        <f t="shared" si="97"/>
        <v>32.4</v>
      </c>
      <c r="X1579">
        <f t="shared" si="98"/>
        <v>0.21122191200000007</v>
      </c>
      <c r="Y1579">
        <f t="shared" si="99"/>
        <v>48.8</v>
      </c>
      <c r="Z1579" s="1">
        <v>13</v>
      </c>
      <c r="AA1579">
        <v>87</v>
      </c>
      <c r="AB1579">
        <v>0.14940000000000001</v>
      </c>
      <c r="AC1579">
        <v>14</v>
      </c>
      <c r="AD1579">
        <v>76</v>
      </c>
      <c r="AE1579">
        <v>0.1842</v>
      </c>
      <c r="AF1579" t="s">
        <v>2589</v>
      </c>
      <c r="AG1579" t="s">
        <v>2589</v>
      </c>
    </row>
    <row r="1580" spans="1:33">
      <c r="A1580" s="2" t="s">
        <v>93</v>
      </c>
      <c r="B1580" s="2" t="s">
        <v>59</v>
      </c>
      <c r="C1580" s="1">
        <v>0.54134617200000001</v>
      </c>
      <c r="D1580">
        <v>0.674899633</v>
      </c>
      <c r="E1580">
        <v>0.719840174</v>
      </c>
      <c r="F1580" s="1" t="s">
        <v>94</v>
      </c>
      <c r="G1580" s="1">
        <v>1.175388967</v>
      </c>
      <c r="H1580" s="1">
        <v>36.6</v>
      </c>
      <c r="I1580" s="1">
        <v>70.7</v>
      </c>
      <c r="J1580" s="1">
        <v>0.64536199299999997</v>
      </c>
      <c r="K1580" s="1">
        <v>0.56225432799999997</v>
      </c>
      <c r="L1580" s="1">
        <v>0.68100706499999997</v>
      </c>
      <c r="M1580" s="3">
        <v>0.67505263699999996</v>
      </c>
      <c r="N1580" s="1" t="s">
        <v>60</v>
      </c>
      <c r="O1580" s="1">
        <v>1.1501154730000001</v>
      </c>
      <c r="P1580" s="1">
        <v>60.5</v>
      </c>
      <c r="Q1580" s="1">
        <v>129.9</v>
      </c>
      <c r="R1580" s="1">
        <v>0.63943801</v>
      </c>
      <c r="S1580" s="1">
        <v>4.9803365182297978E-2</v>
      </c>
      <c r="T1580" t="s">
        <v>1727</v>
      </c>
      <c r="U1580" s="1">
        <v>22960</v>
      </c>
      <c r="V1580">
        <f t="shared" si="96"/>
        <v>0.48455243152510402</v>
      </c>
      <c r="W1580" s="1">
        <f t="shared" si="97"/>
        <v>23.9</v>
      </c>
      <c r="X1580">
        <f t="shared" si="98"/>
        <v>2.5273493999999896E-2</v>
      </c>
      <c r="Y1580">
        <f t="shared" si="99"/>
        <v>59.2</v>
      </c>
      <c r="Z1580" s="1">
        <v>11</v>
      </c>
      <c r="AA1580">
        <v>89</v>
      </c>
      <c r="AB1580">
        <v>0.1236</v>
      </c>
      <c r="AC1580">
        <v>13</v>
      </c>
      <c r="AD1580">
        <v>96</v>
      </c>
      <c r="AE1580">
        <v>0.13539999999999999</v>
      </c>
      <c r="AF1580" t="s">
        <v>2589</v>
      </c>
      <c r="AG1580" t="s">
        <v>2589</v>
      </c>
    </row>
    <row r="1581" spans="1:33">
      <c r="A1581" s="2" t="s">
        <v>93</v>
      </c>
      <c r="B1581" s="2" t="s">
        <v>61</v>
      </c>
      <c r="C1581" s="1">
        <v>0.54134617200000001</v>
      </c>
      <c r="D1581">
        <v>0.674899633</v>
      </c>
      <c r="E1581">
        <v>0.719840174</v>
      </c>
      <c r="F1581" s="1" t="s">
        <v>94</v>
      </c>
      <c r="G1581" s="1">
        <v>1.175388967</v>
      </c>
      <c r="H1581" s="1">
        <v>36.6</v>
      </c>
      <c r="I1581" s="1">
        <v>70.7</v>
      </c>
      <c r="J1581" s="1">
        <v>0.64536199299999997</v>
      </c>
      <c r="K1581" s="1">
        <v>0.62063455999999995</v>
      </c>
      <c r="L1581" s="1">
        <v>0.67798104299999995</v>
      </c>
      <c r="M1581" s="3">
        <v>0.72175371600000005</v>
      </c>
      <c r="N1581" s="1" t="s">
        <v>62</v>
      </c>
      <c r="O1581" s="1">
        <v>7.5471698109999998</v>
      </c>
      <c r="P1581" s="1">
        <v>26.4</v>
      </c>
      <c r="Q1581" s="1">
        <v>10.6</v>
      </c>
      <c r="R1581" s="1">
        <v>0.6734564396666668</v>
      </c>
      <c r="S1581" s="1">
        <v>7.9371312211733006E-2</v>
      </c>
      <c r="T1581" t="s">
        <v>1728</v>
      </c>
      <c r="U1581" s="1">
        <v>592</v>
      </c>
      <c r="V1581">
        <f t="shared" si="96"/>
        <v>0.30803574519143556</v>
      </c>
      <c r="W1581" s="1">
        <f t="shared" si="97"/>
        <v>10.200000000000003</v>
      </c>
      <c r="X1581">
        <f t="shared" si="98"/>
        <v>6.3717808439999999</v>
      </c>
      <c r="Y1581">
        <f t="shared" si="99"/>
        <v>60.1</v>
      </c>
      <c r="Z1581" s="1">
        <v>0</v>
      </c>
      <c r="AA1581">
        <v>100</v>
      </c>
      <c r="AB1581">
        <v>0</v>
      </c>
      <c r="AC1581">
        <v>0</v>
      </c>
      <c r="AD1581">
        <v>84</v>
      </c>
      <c r="AE1581">
        <v>0</v>
      </c>
      <c r="AF1581" t="s">
        <v>2589</v>
      </c>
      <c r="AG1581" t="s">
        <v>2588</v>
      </c>
    </row>
    <row r="1582" spans="1:33">
      <c r="A1582" s="2" t="s">
        <v>93</v>
      </c>
      <c r="B1582" s="2" t="s">
        <v>63</v>
      </c>
      <c r="C1582" s="1">
        <v>0.54134617200000001</v>
      </c>
      <c r="D1582">
        <v>0.674899633</v>
      </c>
      <c r="E1582">
        <v>0.719840174</v>
      </c>
      <c r="F1582" s="1" t="s">
        <v>94</v>
      </c>
      <c r="G1582" s="1">
        <v>1.175388967</v>
      </c>
      <c r="H1582" s="1">
        <v>36.6</v>
      </c>
      <c r="I1582" s="1">
        <v>70.7</v>
      </c>
      <c r="J1582" s="1">
        <v>0.64536199299999997</v>
      </c>
      <c r="K1582" s="1">
        <v>0.44311141399999998</v>
      </c>
      <c r="L1582" s="1">
        <v>0.57053969199999999</v>
      </c>
      <c r="M1582" s="3">
        <v>0.59266330599999995</v>
      </c>
      <c r="N1582" s="1" t="s">
        <v>64</v>
      </c>
      <c r="O1582" s="1">
        <v>0.89618138400000003</v>
      </c>
      <c r="P1582" s="1">
        <v>29.7</v>
      </c>
      <c r="Q1582" s="1">
        <v>83.8</v>
      </c>
      <c r="R1582" s="1">
        <v>0.53543813733333334</v>
      </c>
      <c r="S1582" s="1">
        <v>0.19161164035395004</v>
      </c>
      <c r="T1582" t="s">
        <v>1729</v>
      </c>
      <c r="U1582" s="1">
        <v>425</v>
      </c>
      <c r="V1582">
        <f t="shared" si="96"/>
        <v>0.29204321445003462</v>
      </c>
      <c r="W1582" s="1">
        <f t="shared" si="97"/>
        <v>6.9000000000000021</v>
      </c>
      <c r="X1582">
        <f t="shared" si="98"/>
        <v>0.27920758299999993</v>
      </c>
      <c r="Y1582">
        <f t="shared" si="99"/>
        <v>13.099999999999994</v>
      </c>
      <c r="Z1582" s="1">
        <v>6</v>
      </c>
      <c r="AA1582">
        <v>94</v>
      </c>
      <c r="AB1582">
        <v>6.3799999999999996E-2</v>
      </c>
      <c r="AC1582">
        <v>9</v>
      </c>
      <c r="AD1582">
        <v>82</v>
      </c>
      <c r="AE1582">
        <v>0.10979999999999999</v>
      </c>
      <c r="AF1582" t="s">
        <v>2589</v>
      </c>
      <c r="AG1582" t="s">
        <v>2590</v>
      </c>
    </row>
    <row r="1583" spans="1:33">
      <c r="A1583" s="2" t="s">
        <v>93</v>
      </c>
      <c r="B1583" s="2" t="s">
        <v>65</v>
      </c>
      <c r="C1583" s="1">
        <v>0.54134617200000001</v>
      </c>
      <c r="D1583">
        <v>0.674899633</v>
      </c>
      <c r="E1583">
        <v>0.719840174</v>
      </c>
      <c r="F1583" s="1" t="s">
        <v>94</v>
      </c>
      <c r="G1583" s="1">
        <v>1.175388967</v>
      </c>
      <c r="H1583" s="1">
        <v>36.6</v>
      </c>
      <c r="I1583" s="1">
        <v>70.7</v>
      </c>
      <c r="J1583" s="1">
        <v>0.64536199299999997</v>
      </c>
      <c r="K1583" s="1">
        <v>0.67377447499999998</v>
      </c>
      <c r="L1583" s="1">
        <v>0.69144672900000004</v>
      </c>
      <c r="M1583" s="3">
        <v>0.73046409700000003</v>
      </c>
      <c r="N1583" s="1" t="s">
        <v>66</v>
      </c>
      <c r="O1583" s="1">
        <v>1.8507462690000001</v>
      </c>
      <c r="P1583" s="1">
        <v>34.5</v>
      </c>
      <c r="Q1583" s="1">
        <v>46.9</v>
      </c>
      <c r="R1583" s="1">
        <v>0.69856176700000006</v>
      </c>
      <c r="S1583" s="1">
        <v>0.13388028070407887</v>
      </c>
      <c r="T1583" t="s">
        <v>1730</v>
      </c>
      <c r="U1583" s="1">
        <v>369</v>
      </c>
      <c r="V1583">
        <f t="shared" si="96"/>
        <v>0.28522515179545116</v>
      </c>
      <c r="W1583" s="1">
        <f t="shared" si="97"/>
        <v>2.1000000000000014</v>
      </c>
      <c r="X1583">
        <f t="shared" si="98"/>
        <v>0.6753573020000001</v>
      </c>
      <c r="Y1583">
        <f t="shared" si="99"/>
        <v>23.800000000000004</v>
      </c>
      <c r="Z1583" s="1">
        <v>0</v>
      </c>
      <c r="AA1583">
        <v>100</v>
      </c>
      <c r="AB1583">
        <v>0</v>
      </c>
      <c r="AC1583">
        <v>0</v>
      </c>
      <c r="AD1583">
        <v>73</v>
      </c>
      <c r="AE1583">
        <v>0</v>
      </c>
      <c r="AF1583" t="s">
        <v>2589</v>
      </c>
      <c r="AG1583" t="s">
        <v>2593</v>
      </c>
    </row>
    <row r="1584" spans="1:33">
      <c r="A1584" s="2" t="s">
        <v>93</v>
      </c>
      <c r="B1584" s="2" t="s">
        <v>67</v>
      </c>
      <c r="C1584" s="1">
        <v>0.54134617200000001</v>
      </c>
      <c r="D1584">
        <v>0.674899633</v>
      </c>
      <c r="E1584">
        <v>0.719840174</v>
      </c>
      <c r="F1584" s="1" t="s">
        <v>94</v>
      </c>
      <c r="G1584" s="1">
        <v>1.175388967</v>
      </c>
      <c r="H1584" s="1">
        <v>36.6</v>
      </c>
      <c r="I1584" s="1">
        <v>70.7</v>
      </c>
      <c r="J1584" s="1">
        <v>0.64536199299999997</v>
      </c>
      <c r="K1584" s="1">
        <v>0.53971122199999999</v>
      </c>
      <c r="L1584" s="1">
        <v>0.621203065</v>
      </c>
      <c r="M1584" s="3">
        <v>0.67806811499999997</v>
      </c>
      <c r="N1584" s="1" t="s">
        <v>68</v>
      </c>
      <c r="O1584" s="1">
        <v>1.5131894480000001</v>
      </c>
      <c r="P1584" s="1">
        <v>27.2</v>
      </c>
      <c r="Q1584" s="1">
        <v>41.7</v>
      </c>
      <c r="R1584" s="1">
        <v>0.61299413400000002</v>
      </c>
      <c r="S1584" s="1">
        <v>6.8050711896207289E-2</v>
      </c>
      <c r="T1584" t="s">
        <v>1731</v>
      </c>
      <c r="U1584" s="1">
        <v>838</v>
      </c>
      <c r="V1584">
        <f t="shared" si="96"/>
        <v>0.32480489095891962</v>
      </c>
      <c r="W1584" s="1">
        <f t="shared" si="97"/>
        <v>9.4000000000000021</v>
      </c>
      <c r="X1584">
        <f t="shared" si="98"/>
        <v>0.33780048100000015</v>
      </c>
      <c r="Y1584">
        <f t="shared" si="99"/>
        <v>29</v>
      </c>
      <c r="Z1584" s="1">
        <v>1</v>
      </c>
      <c r="AA1584">
        <v>99</v>
      </c>
      <c r="AB1584">
        <v>1.01E-2</v>
      </c>
      <c r="AC1584">
        <v>2</v>
      </c>
      <c r="AD1584">
        <v>82</v>
      </c>
      <c r="AE1584">
        <v>2.4400000000000002E-2</v>
      </c>
      <c r="AF1584" t="s">
        <v>2589</v>
      </c>
      <c r="AG1584" t="s">
        <v>2588</v>
      </c>
    </row>
    <row r="1585" spans="1:33">
      <c r="A1585" s="2" t="s">
        <v>93</v>
      </c>
      <c r="B1585" s="2" t="s">
        <v>69</v>
      </c>
      <c r="C1585" s="1">
        <v>0.54134617200000001</v>
      </c>
      <c r="D1585">
        <v>0.674899633</v>
      </c>
      <c r="E1585">
        <v>0.719840174</v>
      </c>
      <c r="F1585" s="1" t="s">
        <v>94</v>
      </c>
      <c r="G1585" s="1">
        <v>1.175388967</v>
      </c>
      <c r="H1585" s="1">
        <v>36.6</v>
      </c>
      <c r="I1585" s="1">
        <v>70.7</v>
      </c>
      <c r="J1585" s="1">
        <v>0.64536199299999997</v>
      </c>
      <c r="K1585" s="1">
        <v>0.50188385300000005</v>
      </c>
      <c r="L1585" s="1">
        <v>0.64580031500000001</v>
      </c>
      <c r="M1585" s="3">
        <v>0.66006355800000005</v>
      </c>
      <c r="N1585" s="1" t="s">
        <v>70</v>
      </c>
      <c r="O1585" s="1">
        <v>1.2401055409999999</v>
      </c>
      <c r="P1585" s="1">
        <v>43.4</v>
      </c>
      <c r="Q1585" s="1">
        <v>75.8</v>
      </c>
      <c r="R1585" s="1">
        <v>0.60258257533333337</v>
      </c>
      <c r="S1585" s="1">
        <v>7.7312927439945847E-2</v>
      </c>
      <c r="T1585" t="s">
        <v>1732</v>
      </c>
      <c r="U1585" s="1">
        <v>4805</v>
      </c>
      <c r="V1585">
        <f t="shared" si="96"/>
        <v>0.40907704355606267</v>
      </c>
      <c r="W1585" s="1">
        <f t="shared" si="97"/>
        <v>6.7999999999999972</v>
      </c>
      <c r="X1585">
        <f t="shared" si="98"/>
        <v>6.4716573999999971E-2</v>
      </c>
      <c r="Y1585">
        <f t="shared" si="99"/>
        <v>5.0999999999999943</v>
      </c>
      <c r="Z1585" s="1">
        <v>14</v>
      </c>
      <c r="AA1585">
        <v>86</v>
      </c>
      <c r="AB1585">
        <v>0.1628</v>
      </c>
      <c r="AC1585">
        <v>16</v>
      </c>
      <c r="AD1585">
        <v>75</v>
      </c>
      <c r="AE1585">
        <v>0.21329999999999999</v>
      </c>
      <c r="AF1585" t="s">
        <v>2589</v>
      </c>
      <c r="AG1585" t="s">
        <v>2589</v>
      </c>
    </row>
    <row r="1586" spans="1:33">
      <c r="A1586" s="2" t="s">
        <v>93</v>
      </c>
      <c r="B1586" s="2" t="s">
        <v>71</v>
      </c>
      <c r="C1586" s="1">
        <v>0.54134617200000001</v>
      </c>
      <c r="D1586">
        <v>0.674899633</v>
      </c>
      <c r="E1586">
        <v>0.719840174</v>
      </c>
      <c r="F1586" s="1" t="s">
        <v>94</v>
      </c>
      <c r="G1586" s="1">
        <v>1.175388967</v>
      </c>
      <c r="H1586" s="1">
        <v>36.6</v>
      </c>
      <c r="I1586" s="1">
        <v>70.7</v>
      </c>
      <c r="J1586" s="1">
        <v>0.64536199299999997</v>
      </c>
      <c r="K1586" s="1">
        <v>0.53267569100000001</v>
      </c>
      <c r="L1586" s="1">
        <v>0.64507433599999997</v>
      </c>
      <c r="M1586" s="3">
        <v>0.66598465100000004</v>
      </c>
      <c r="N1586" s="1" t="s">
        <v>72</v>
      </c>
      <c r="O1586" s="1">
        <v>0.97289666900000005</v>
      </c>
      <c r="P1586" s="1">
        <v>64.8</v>
      </c>
      <c r="Q1586" s="1">
        <v>177.1</v>
      </c>
      <c r="R1586" s="1">
        <v>0.61457822600000001</v>
      </c>
      <c r="S1586" s="1">
        <v>6.2170273760963096E-2</v>
      </c>
      <c r="T1586" t="s">
        <v>1733</v>
      </c>
      <c r="U1586" s="1">
        <v>34219</v>
      </c>
      <c r="V1586">
        <f t="shared" si="96"/>
        <v>0.50380747930804026</v>
      </c>
      <c r="W1586" s="1">
        <f t="shared" si="97"/>
        <v>28.199999999999996</v>
      </c>
      <c r="X1586">
        <f t="shared" si="98"/>
        <v>0.2024922979999999</v>
      </c>
      <c r="Y1586">
        <f t="shared" si="99"/>
        <v>106.39999999999999</v>
      </c>
      <c r="Z1586" s="1">
        <v>15</v>
      </c>
      <c r="AA1586">
        <v>85</v>
      </c>
      <c r="AB1586">
        <v>0.17649999999999999</v>
      </c>
      <c r="AC1586">
        <v>17</v>
      </c>
      <c r="AD1586">
        <v>85</v>
      </c>
      <c r="AE1586">
        <v>0.2</v>
      </c>
      <c r="AF1586" t="s">
        <v>2589</v>
      </c>
      <c r="AG1586" t="s">
        <v>2589</v>
      </c>
    </row>
    <row r="1587" spans="1:33">
      <c r="A1587" s="2" t="s">
        <v>93</v>
      </c>
      <c r="B1587" s="2" t="s">
        <v>73</v>
      </c>
      <c r="C1587" s="1">
        <v>0.54134617200000001</v>
      </c>
      <c r="D1587">
        <v>0.674899633</v>
      </c>
      <c r="E1587">
        <v>0.719840174</v>
      </c>
      <c r="F1587" s="1" t="s">
        <v>94</v>
      </c>
      <c r="G1587" s="1">
        <v>1.175388967</v>
      </c>
      <c r="H1587" s="1">
        <v>36.6</v>
      </c>
      <c r="I1587" s="1">
        <v>70.7</v>
      </c>
      <c r="J1587" s="1">
        <v>0.64536199299999997</v>
      </c>
      <c r="K1587" s="1">
        <v>0.55697925299999995</v>
      </c>
      <c r="L1587" s="1">
        <v>0.64461978399999997</v>
      </c>
      <c r="M1587" s="3">
        <v>0.69570690000000002</v>
      </c>
      <c r="N1587" s="1" t="s">
        <v>74</v>
      </c>
      <c r="O1587" s="1">
        <v>1.23433584</v>
      </c>
      <c r="P1587" s="1">
        <v>44</v>
      </c>
      <c r="Q1587" s="1">
        <v>79.8</v>
      </c>
      <c r="R1587" s="1">
        <v>0.63243531233333328</v>
      </c>
      <c r="S1587" s="1">
        <v>4.175736331444356E-2</v>
      </c>
      <c r="T1587" t="s">
        <v>1734</v>
      </c>
      <c r="U1587" s="1">
        <v>3660</v>
      </c>
      <c r="V1587">
        <f t="shared" si="96"/>
        <v>0.39594234282160118</v>
      </c>
      <c r="W1587" s="1">
        <f t="shared" si="97"/>
        <v>7.3999999999999986</v>
      </c>
      <c r="X1587">
        <f t="shared" si="98"/>
        <v>5.8946873000000011E-2</v>
      </c>
      <c r="Y1587">
        <f t="shared" si="99"/>
        <v>9.0999999999999943</v>
      </c>
      <c r="Z1587" s="1">
        <v>12</v>
      </c>
      <c r="AA1587">
        <v>88</v>
      </c>
      <c r="AB1587">
        <v>0.13639999999999999</v>
      </c>
      <c r="AC1587">
        <v>14</v>
      </c>
      <c r="AD1587">
        <v>73</v>
      </c>
      <c r="AE1587">
        <v>0.1918</v>
      </c>
      <c r="AF1587" t="s">
        <v>2589</v>
      </c>
      <c r="AG1587" t="s">
        <v>2589</v>
      </c>
    </row>
    <row r="1588" spans="1:33">
      <c r="A1588" s="2" t="s">
        <v>93</v>
      </c>
      <c r="B1588" s="2" t="s">
        <v>75</v>
      </c>
      <c r="C1588" s="1">
        <v>0.54134617200000001</v>
      </c>
      <c r="D1588">
        <v>0.674899633</v>
      </c>
      <c r="E1588">
        <v>0.719840174</v>
      </c>
      <c r="F1588" s="1" t="s">
        <v>94</v>
      </c>
      <c r="G1588" s="1">
        <v>1.175388967</v>
      </c>
      <c r="H1588" s="1">
        <v>36.6</v>
      </c>
      <c r="I1588" s="1">
        <v>70.7</v>
      </c>
      <c r="J1588" s="1">
        <v>0.64536199299999997</v>
      </c>
      <c r="K1588" s="1">
        <v>0.50354843500000002</v>
      </c>
      <c r="L1588" s="1">
        <v>0.59724402499999996</v>
      </c>
      <c r="M1588" s="3">
        <v>0.70308254199999998</v>
      </c>
      <c r="N1588" s="1" t="s">
        <v>76</v>
      </c>
      <c r="O1588" s="1">
        <v>1.2696850390000001</v>
      </c>
      <c r="P1588" s="1">
        <v>26.6</v>
      </c>
      <c r="Q1588" s="1">
        <v>50.8</v>
      </c>
      <c r="R1588" s="1">
        <v>0.60129166733333339</v>
      </c>
      <c r="S1588" s="1">
        <v>8.7976591241183386E-2</v>
      </c>
      <c r="T1588" t="s">
        <v>1735</v>
      </c>
      <c r="U1588" s="1">
        <v>2498</v>
      </c>
      <c r="V1588">
        <f t="shared" si="96"/>
        <v>0.37751027044867963</v>
      </c>
      <c r="W1588" s="1">
        <f t="shared" si="97"/>
        <v>10</v>
      </c>
      <c r="X1588">
        <f t="shared" si="98"/>
        <v>9.429607200000012E-2</v>
      </c>
      <c r="Y1588">
        <f t="shared" si="99"/>
        <v>19.900000000000006</v>
      </c>
      <c r="Z1588" s="1">
        <v>4</v>
      </c>
      <c r="AA1588">
        <v>96</v>
      </c>
      <c r="AB1588">
        <v>4.1700000000000001E-2</v>
      </c>
      <c r="AC1588">
        <v>6</v>
      </c>
      <c r="AD1588">
        <v>81</v>
      </c>
      <c r="AE1588">
        <v>7.4099999999999999E-2</v>
      </c>
      <c r="AF1588" t="s">
        <v>2589</v>
      </c>
      <c r="AG1588" t="s">
        <v>2594</v>
      </c>
    </row>
    <row r="1589" spans="1:33">
      <c r="A1589" s="2" t="s">
        <v>93</v>
      </c>
      <c r="B1589" s="2" t="s">
        <v>77</v>
      </c>
      <c r="C1589" s="1">
        <v>0.54134617200000001</v>
      </c>
      <c r="D1589">
        <v>0.674899633</v>
      </c>
      <c r="E1589">
        <v>0.719840174</v>
      </c>
      <c r="F1589" s="1" t="s">
        <v>94</v>
      </c>
      <c r="G1589" s="1">
        <v>1.175388967</v>
      </c>
      <c r="H1589" s="1">
        <v>36.6</v>
      </c>
      <c r="I1589" s="1">
        <v>70.7</v>
      </c>
      <c r="J1589" s="1">
        <v>0.64536199299999997</v>
      </c>
      <c r="K1589" s="1">
        <v>0.54630843299999998</v>
      </c>
      <c r="L1589" s="1">
        <v>0.68935555900000001</v>
      </c>
      <c r="M1589" s="3">
        <v>0.65478744899999997</v>
      </c>
      <c r="N1589" s="1" t="s">
        <v>78</v>
      </c>
      <c r="O1589" s="1">
        <v>1.3914285710000001</v>
      </c>
      <c r="P1589" s="1">
        <v>56.5</v>
      </c>
      <c r="Q1589" s="1">
        <v>105</v>
      </c>
      <c r="R1589" s="1">
        <v>0.63015048033333343</v>
      </c>
      <c r="S1589" s="1">
        <v>6.6824058995807983E-2</v>
      </c>
      <c r="T1589" t="s">
        <v>1736</v>
      </c>
      <c r="U1589" s="1">
        <v>2132</v>
      </c>
      <c r="V1589">
        <f t="shared" si="96"/>
        <v>0.36986524448383717</v>
      </c>
      <c r="W1589" s="1">
        <f t="shared" si="97"/>
        <v>19.899999999999999</v>
      </c>
      <c r="X1589">
        <f t="shared" si="98"/>
        <v>0.21603960400000011</v>
      </c>
      <c r="Y1589">
        <f t="shared" si="99"/>
        <v>34.299999999999997</v>
      </c>
      <c r="Z1589" s="1">
        <v>2</v>
      </c>
      <c r="AA1589">
        <v>98</v>
      </c>
      <c r="AB1589">
        <v>2.0400000000000001E-2</v>
      </c>
      <c r="AC1589">
        <v>3</v>
      </c>
      <c r="AD1589">
        <v>73</v>
      </c>
      <c r="AE1589">
        <v>4.1099999999999998E-2</v>
      </c>
      <c r="AF1589" t="s">
        <v>2589</v>
      </c>
      <c r="AG1589" t="s">
        <v>2590</v>
      </c>
    </row>
    <row r="1590" spans="1:33">
      <c r="A1590" s="2" t="s">
        <v>93</v>
      </c>
      <c r="B1590" s="2" t="s">
        <v>79</v>
      </c>
      <c r="C1590" s="1">
        <v>0.54134617200000001</v>
      </c>
      <c r="D1590">
        <v>0.674899633</v>
      </c>
      <c r="E1590">
        <v>0.719840174</v>
      </c>
      <c r="F1590" s="1" t="s">
        <v>94</v>
      </c>
      <c r="G1590" s="1">
        <v>1.175388967</v>
      </c>
      <c r="H1590" s="1">
        <v>36.6</v>
      </c>
      <c r="I1590" s="1">
        <v>70.7</v>
      </c>
      <c r="J1590" s="1">
        <v>0.64536199299999997</v>
      </c>
      <c r="K1590" s="1">
        <v>0.63652882899999996</v>
      </c>
      <c r="L1590" s="1">
        <v>0.77536518600000004</v>
      </c>
      <c r="M1590" s="3">
        <v>0.610415606</v>
      </c>
      <c r="N1590" s="1" t="s">
        <v>80</v>
      </c>
      <c r="O1590" s="1">
        <v>0.95325542600000002</v>
      </c>
      <c r="P1590" s="1">
        <v>45.6</v>
      </c>
      <c r="Q1590" s="1">
        <v>119.8</v>
      </c>
      <c r="R1590" s="1">
        <v>0.67410320700000004</v>
      </c>
      <c r="S1590" s="1">
        <v>0.17642789352923216</v>
      </c>
      <c r="T1590" t="s">
        <v>1737</v>
      </c>
      <c r="U1590" s="1">
        <v>1846</v>
      </c>
      <c r="V1590">
        <f t="shared" si="96"/>
        <v>0.36291463296554372</v>
      </c>
      <c r="W1590" s="1">
        <f t="shared" si="97"/>
        <v>9</v>
      </c>
      <c r="X1590">
        <f t="shared" si="98"/>
        <v>0.22213354099999993</v>
      </c>
      <c r="Y1590">
        <f t="shared" si="99"/>
        <v>49.099999999999994</v>
      </c>
      <c r="Z1590" s="1">
        <v>1</v>
      </c>
      <c r="AA1590">
        <v>99</v>
      </c>
      <c r="AB1590">
        <v>1.01E-2</v>
      </c>
      <c r="AC1590">
        <v>2</v>
      </c>
      <c r="AD1590">
        <v>65</v>
      </c>
      <c r="AE1590">
        <v>3.0800000000000001E-2</v>
      </c>
      <c r="AF1590" t="s">
        <v>2589</v>
      </c>
      <c r="AG1590" t="s">
        <v>2590</v>
      </c>
    </row>
    <row r="1591" spans="1:33">
      <c r="A1591" s="2" t="s">
        <v>93</v>
      </c>
      <c r="B1591" s="2" t="s">
        <v>81</v>
      </c>
      <c r="C1591" s="1">
        <v>0.54134617200000001</v>
      </c>
      <c r="D1591">
        <v>0.674899633</v>
      </c>
      <c r="E1591">
        <v>0.719840174</v>
      </c>
      <c r="F1591" s="1" t="s">
        <v>94</v>
      </c>
      <c r="G1591" s="1">
        <v>1.175388967</v>
      </c>
      <c r="H1591" s="1">
        <v>36.6</v>
      </c>
      <c r="I1591" s="1">
        <v>70.7</v>
      </c>
      <c r="J1591" s="1">
        <v>0.64536199299999997</v>
      </c>
      <c r="K1591" s="1">
        <v>0.50183280699999999</v>
      </c>
      <c r="L1591" s="1">
        <v>0.68550824600000004</v>
      </c>
      <c r="M1591" s="3">
        <v>0.66941488999999998</v>
      </c>
      <c r="N1591" s="1" t="s">
        <v>82</v>
      </c>
      <c r="O1591" s="1">
        <v>1.4359576970000001</v>
      </c>
      <c r="P1591" s="1">
        <v>51</v>
      </c>
      <c r="Q1591" s="1">
        <v>85.1</v>
      </c>
      <c r="R1591" s="1">
        <v>0.61891864766666671</v>
      </c>
      <c r="S1591" s="1">
        <v>6.4935028681657278E-2</v>
      </c>
      <c r="T1591" t="s">
        <v>1738</v>
      </c>
      <c r="U1591" s="1">
        <v>5728</v>
      </c>
      <c r="V1591">
        <f t="shared" si="96"/>
        <v>0.41755588992219989</v>
      </c>
      <c r="W1591" s="1">
        <f t="shared" si="97"/>
        <v>14.399999999999999</v>
      </c>
      <c r="X1591">
        <f t="shared" si="98"/>
        <v>0.26056873000000014</v>
      </c>
      <c r="Y1591">
        <f t="shared" si="99"/>
        <v>14.399999999999991</v>
      </c>
      <c r="Z1591" s="1">
        <v>0</v>
      </c>
      <c r="AA1591">
        <v>100</v>
      </c>
      <c r="AB1591">
        <v>0</v>
      </c>
      <c r="AC1591">
        <v>0</v>
      </c>
      <c r="AD1591">
        <v>78</v>
      </c>
      <c r="AE1591">
        <v>0</v>
      </c>
      <c r="AF1591" t="s">
        <v>2589</v>
      </c>
      <c r="AG1591" t="s">
        <v>2589</v>
      </c>
    </row>
    <row r="1592" spans="1:33">
      <c r="A1592" s="2" t="s">
        <v>93</v>
      </c>
      <c r="B1592" s="2" t="s">
        <v>83</v>
      </c>
      <c r="C1592" s="1">
        <v>0.54134617200000001</v>
      </c>
      <c r="D1592">
        <v>0.674899633</v>
      </c>
      <c r="E1592">
        <v>0.719840174</v>
      </c>
      <c r="F1592" s="1" t="s">
        <v>94</v>
      </c>
      <c r="G1592" s="1">
        <v>1.175388967</v>
      </c>
      <c r="H1592" s="1">
        <v>36.6</v>
      </c>
      <c r="I1592" s="1">
        <v>70.7</v>
      </c>
      <c r="J1592" s="1">
        <v>0.64536199299999997</v>
      </c>
      <c r="K1592" s="1">
        <v>0.51815179099999997</v>
      </c>
      <c r="L1592" s="1">
        <v>0.50115949400000004</v>
      </c>
      <c r="M1592" s="3">
        <v>0.68053170600000001</v>
      </c>
      <c r="N1592" s="1" t="s">
        <v>84</v>
      </c>
      <c r="O1592" s="1">
        <v>1.760323887</v>
      </c>
      <c r="P1592" s="1">
        <v>83.4</v>
      </c>
      <c r="Q1592" s="1">
        <v>123.5</v>
      </c>
      <c r="R1592" s="1">
        <v>0.56661433033333342</v>
      </c>
      <c r="S1592" s="1">
        <v>0.1796351047713656</v>
      </c>
      <c r="T1592" t="s">
        <v>1739</v>
      </c>
      <c r="U1592" s="1">
        <v>24976</v>
      </c>
      <c r="V1592">
        <f t="shared" si="96"/>
        <v>0.48861365396870471</v>
      </c>
      <c r="W1592" s="1">
        <f t="shared" si="97"/>
        <v>46.800000000000004</v>
      </c>
      <c r="X1592">
        <f t="shared" si="98"/>
        <v>0.58493492000000002</v>
      </c>
      <c r="Y1592">
        <f t="shared" si="99"/>
        <v>52.8</v>
      </c>
      <c r="Z1592" s="1">
        <v>4</v>
      </c>
      <c r="AA1592">
        <v>96</v>
      </c>
      <c r="AB1592">
        <v>4.1700000000000001E-2</v>
      </c>
      <c r="AC1592">
        <v>5</v>
      </c>
      <c r="AD1592">
        <v>68</v>
      </c>
      <c r="AE1592">
        <v>7.3499999999999996E-2</v>
      </c>
      <c r="AF1592" t="s">
        <v>2589</v>
      </c>
      <c r="AG1592" t="s">
        <v>2589</v>
      </c>
    </row>
    <row r="1593" spans="1:33">
      <c r="A1593" s="2" t="s">
        <v>93</v>
      </c>
      <c r="B1593" s="2" t="s">
        <v>85</v>
      </c>
      <c r="C1593" s="1">
        <v>0.54134617200000001</v>
      </c>
      <c r="D1593">
        <v>0.674899633</v>
      </c>
      <c r="E1593">
        <v>0.719840174</v>
      </c>
      <c r="F1593" s="1" t="s">
        <v>94</v>
      </c>
      <c r="G1593" s="1">
        <v>1.175388967</v>
      </c>
      <c r="H1593" s="1">
        <v>36.6</v>
      </c>
      <c r="I1593" s="1">
        <v>70.7</v>
      </c>
      <c r="J1593" s="1">
        <v>0.64536199299999997</v>
      </c>
      <c r="K1593" s="1">
        <v>0.522280945</v>
      </c>
      <c r="L1593" s="1">
        <v>0.58016629799999997</v>
      </c>
      <c r="M1593" s="3">
        <v>0.62446713499999995</v>
      </c>
      <c r="N1593" s="1" t="s">
        <v>86</v>
      </c>
      <c r="O1593" s="1">
        <v>0.57177615599999998</v>
      </c>
      <c r="P1593" s="1">
        <v>19.5</v>
      </c>
      <c r="Q1593" s="1">
        <v>82.2</v>
      </c>
      <c r="R1593" s="1">
        <v>0.57563812599999997</v>
      </c>
      <c r="S1593" s="1">
        <v>0.13577151471821802</v>
      </c>
      <c r="T1593" t="s">
        <v>1740</v>
      </c>
      <c r="U1593" s="1">
        <v>193</v>
      </c>
      <c r="V1593">
        <f t="shared" si="96"/>
        <v>0.2539508121119749</v>
      </c>
      <c r="W1593" s="1">
        <f t="shared" si="97"/>
        <v>17.100000000000001</v>
      </c>
      <c r="X1593">
        <f t="shared" si="98"/>
        <v>0.60361281099999997</v>
      </c>
      <c r="Y1593">
        <f t="shared" si="99"/>
        <v>11.5</v>
      </c>
      <c r="Z1593" s="1">
        <v>1</v>
      </c>
      <c r="AA1593">
        <v>99</v>
      </c>
      <c r="AB1593">
        <v>1.01E-2</v>
      </c>
      <c r="AC1593">
        <v>2</v>
      </c>
      <c r="AD1593">
        <v>136</v>
      </c>
      <c r="AE1593">
        <v>1.47E-2</v>
      </c>
      <c r="AF1593" t="s">
        <v>2589</v>
      </c>
      <c r="AG1593" t="s">
        <v>2590</v>
      </c>
    </row>
    <row r="1594" spans="1:33">
      <c r="A1594" s="2" t="s">
        <v>93</v>
      </c>
      <c r="B1594" s="2" t="s">
        <v>87</v>
      </c>
      <c r="C1594" s="1">
        <v>0.54134617200000001</v>
      </c>
      <c r="D1594">
        <v>0.674899633</v>
      </c>
      <c r="E1594">
        <v>0.719840174</v>
      </c>
      <c r="F1594" s="1" t="s">
        <v>94</v>
      </c>
      <c r="G1594" s="1">
        <v>1.175388967</v>
      </c>
      <c r="H1594" s="1">
        <v>36.6</v>
      </c>
      <c r="I1594" s="1">
        <v>70.7</v>
      </c>
      <c r="J1594" s="1">
        <v>0.64536199299999997</v>
      </c>
      <c r="K1594" s="1">
        <v>0.46780425199999998</v>
      </c>
      <c r="L1594" s="1">
        <v>0.54149707400000002</v>
      </c>
      <c r="M1594" s="3">
        <v>0.61626236400000001</v>
      </c>
      <c r="N1594" s="1" t="s">
        <v>88</v>
      </c>
      <c r="O1594" s="1">
        <v>1.395454545</v>
      </c>
      <c r="P1594" s="1">
        <v>65.2</v>
      </c>
      <c r="Q1594" s="1">
        <v>110</v>
      </c>
      <c r="R1594" s="1">
        <v>0.54185456333333337</v>
      </c>
      <c r="S1594" s="1">
        <v>0.18420917314138016</v>
      </c>
      <c r="T1594" t="s">
        <v>1741</v>
      </c>
      <c r="U1594" s="1">
        <v>6583</v>
      </c>
      <c r="V1594">
        <f t="shared" si="96"/>
        <v>0.4242693172324532</v>
      </c>
      <c r="W1594" s="1">
        <f t="shared" si="97"/>
        <v>28.6</v>
      </c>
      <c r="X1594">
        <f t="shared" si="98"/>
        <v>0.22006557800000004</v>
      </c>
      <c r="Y1594">
        <f t="shared" si="99"/>
        <v>39.299999999999997</v>
      </c>
      <c r="Z1594" s="1">
        <v>7</v>
      </c>
      <c r="AA1594">
        <v>93</v>
      </c>
      <c r="AB1594">
        <v>7.5300000000000006E-2</v>
      </c>
      <c r="AC1594">
        <v>9</v>
      </c>
      <c r="AD1594">
        <v>62</v>
      </c>
      <c r="AE1594">
        <v>0.1452</v>
      </c>
      <c r="AF1594" t="s">
        <v>2589</v>
      </c>
      <c r="AG1594" t="s">
        <v>2590</v>
      </c>
    </row>
    <row r="1595" spans="1:33">
      <c r="A1595" s="2" t="s">
        <v>93</v>
      </c>
      <c r="B1595" s="2" t="s">
        <v>89</v>
      </c>
      <c r="C1595" s="1">
        <v>0.54134617200000001</v>
      </c>
      <c r="D1595">
        <v>0.674899633</v>
      </c>
      <c r="E1595">
        <v>0.719840174</v>
      </c>
      <c r="F1595" s="1" t="s">
        <v>94</v>
      </c>
      <c r="G1595" s="1">
        <v>1.175388967</v>
      </c>
      <c r="H1595" s="1">
        <v>36.6</v>
      </c>
      <c r="I1595" s="1">
        <v>70.7</v>
      </c>
      <c r="J1595" s="1">
        <v>0.64536199299999997</v>
      </c>
      <c r="K1595" s="1">
        <v>0.51097051500000001</v>
      </c>
      <c r="L1595" s="1">
        <v>0.61917891400000002</v>
      </c>
      <c r="M1595" s="3">
        <v>0.60984479800000002</v>
      </c>
      <c r="N1595" s="1" t="s">
        <v>90</v>
      </c>
      <c r="O1595" s="1">
        <v>1.429752066</v>
      </c>
      <c r="P1595" s="1">
        <v>59.8</v>
      </c>
      <c r="Q1595" s="1">
        <v>108.9</v>
      </c>
      <c r="R1595" s="1">
        <v>0.57999807566666661</v>
      </c>
      <c r="S1595" s="1">
        <v>0.12699000671485916</v>
      </c>
      <c r="T1595" t="s">
        <v>1742</v>
      </c>
      <c r="U1595" s="1">
        <v>24854</v>
      </c>
      <c r="V1595">
        <f t="shared" si="96"/>
        <v>0.48837736600001286</v>
      </c>
      <c r="W1595" s="1">
        <f t="shared" si="97"/>
        <v>23.199999999999996</v>
      </c>
      <c r="X1595">
        <f t="shared" si="98"/>
        <v>0.25436309900000009</v>
      </c>
      <c r="Y1595">
        <f t="shared" si="99"/>
        <v>38.200000000000003</v>
      </c>
      <c r="Z1595" s="1">
        <v>12</v>
      </c>
      <c r="AA1595">
        <v>88</v>
      </c>
      <c r="AB1595">
        <v>0.13639999999999999</v>
      </c>
      <c r="AC1595">
        <v>14</v>
      </c>
      <c r="AD1595">
        <v>66</v>
      </c>
      <c r="AE1595">
        <v>0.21210000000000001</v>
      </c>
      <c r="AF1595" t="s">
        <v>2589</v>
      </c>
      <c r="AG1595" t="s">
        <v>2589</v>
      </c>
    </row>
    <row r="1596" spans="1:33">
      <c r="A1596" s="2" t="s">
        <v>93</v>
      </c>
      <c r="B1596" s="2" t="s">
        <v>91</v>
      </c>
      <c r="C1596" s="1">
        <v>0.54134617200000001</v>
      </c>
      <c r="D1596">
        <v>0.674899633</v>
      </c>
      <c r="E1596">
        <v>0.719840174</v>
      </c>
      <c r="F1596" s="1" t="s">
        <v>94</v>
      </c>
      <c r="G1596" s="1">
        <v>1.175388967</v>
      </c>
      <c r="H1596" s="1">
        <v>36.6</v>
      </c>
      <c r="I1596" s="1">
        <v>70.7</v>
      </c>
      <c r="J1596" s="1">
        <v>0.64536199299999997</v>
      </c>
      <c r="K1596" s="1">
        <v>0.37439919700000002</v>
      </c>
      <c r="L1596" s="1">
        <v>0.508839347</v>
      </c>
      <c r="M1596" s="3">
        <v>0.52701193599999996</v>
      </c>
      <c r="N1596" s="1" t="s">
        <v>92</v>
      </c>
      <c r="O1596" s="1">
        <v>1.911504425</v>
      </c>
      <c r="P1596" s="1">
        <v>24.6</v>
      </c>
      <c r="Q1596" s="1">
        <v>33.9</v>
      </c>
      <c r="R1596" s="1">
        <v>0.47008349333333332</v>
      </c>
      <c r="S1596" s="1">
        <v>0.30435183656130133</v>
      </c>
      <c r="T1596" t="s">
        <v>1743</v>
      </c>
      <c r="U1596" s="1">
        <v>367</v>
      </c>
      <c r="V1596">
        <f t="shared" si="96"/>
        <v>0.28496289602800995</v>
      </c>
      <c r="W1596" s="1">
        <f t="shared" si="97"/>
        <v>12</v>
      </c>
      <c r="X1596">
        <f t="shared" si="98"/>
        <v>0.736115458</v>
      </c>
      <c r="Y1596">
        <f t="shared" si="99"/>
        <v>36.800000000000004</v>
      </c>
      <c r="Z1596" s="1">
        <v>4</v>
      </c>
      <c r="AA1596">
        <v>96</v>
      </c>
      <c r="AB1596">
        <v>4.1700000000000001E-2</v>
      </c>
      <c r="AC1596">
        <v>5</v>
      </c>
      <c r="AD1596">
        <v>82</v>
      </c>
      <c r="AE1596">
        <v>6.0999999999999999E-2</v>
      </c>
      <c r="AF1596" t="s">
        <v>2589</v>
      </c>
      <c r="AG1596" t="s">
        <v>2590</v>
      </c>
    </row>
    <row r="1597" spans="1:33">
      <c r="A1597" s="2" t="s">
        <v>91</v>
      </c>
      <c r="B1597" s="2" t="s">
        <v>10</v>
      </c>
      <c r="C1597" s="1">
        <v>0.37439919700000002</v>
      </c>
      <c r="D1597">
        <v>0.508839347</v>
      </c>
      <c r="E1597">
        <v>0.52701193599999996</v>
      </c>
      <c r="F1597" s="1" t="s">
        <v>92</v>
      </c>
      <c r="G1597" s="1">
        <v>1.911504425</v>
      </c>
      <c r="H1597" s="1">
        <v>24.6</v>
      </c>
      <c r="I1597" s="1">
        <v>33.9</v>
      </c>
      <c r="J1597" s="1">
        <v>0.47008349333333332</v>
      </c>
      <c r="K1597" s="1">
        <v>0.52456325500000001</v>
      </c>
      <c r="L1597" s="1">
        <v>0.61925627999999999</v>
      </c>
      <c r="M1597" s="3">
        <v>0.72111139899999999</v>
      </c>
      <c r="N1597" s="1" t="s">
        <v>12</v>
      </c>
      <c r="O1597" s="1">
        <v>0.61690647499999995</v>
      </c>
      <c r="P1597" s="1">
        <v>30</v>
      </c>
      <c r="Q1597" s="1">
        <v>111.2</v>
      </c>
      <c r="R1597" s="1">
        <v>0.62164364466666666</v>
      </c>
      <c r="S1597" s="1">
        <v>0.26910173716466834</v>
      </c>
      <c r="T1597" t="s">
        <v>1744</v>
      </c>
      <c r="U1597" s="1">
        <v>355</v>
      </c>
      <c r="V1597">
        <f t="shared" si="96"/>
        <v>0.28335870589501044</v>
      </c>
      <c r="W1597" s="1">
        <f t="shared" si="97"/>
        <v>5.3999999999999986</v>
      </c>
      <c r="X1597">
        <f t="shared" si="98"/>
        <v>1.29459795</v>
      </c>
      <c r="Y1597">
        <f t="shared" si="99"/>
        <v>77.300000000000011</v>
      </c>
      <c r="Z1597" s="1">
        <v>2</v>
      </c>
      <c r="AA1597">
        <v>98</v>
      </c>
      <c r="AB1597">
        <v>2.0400000000000001E-2</v>
      </c>
      <c r="AC1597">
        <v>3</v>
      </c>
      <c r="AD1597">
        <v>152</v>
      </c>
      <c r="AE1597">
        <v>1.9699999999999999E-2</v>
      </c>
      <c r="AF1597" t="s">
        <v>2590</v>
      </c>
      <c r="AG1597" t="s">
        <v>2588</v>
      </c>
    </row>
    <row r="1598" spans="1:33">
      <c r="A1598" s="2" t="s">
        <v>91</v>
      </c>
      <c r="B1598" s="2" t="s">
        <v>13</v>
      </c>
      <c r="C1598" s="1">
        <v>0.37439919700000002</v>
      </c>
      <c r="D1598">
        <v>0.508839347</v>
      </c>
      <c r="E1598">
        <v>0.52701193599999996</v>
      </c>
      <c r="F1598" s="1" t="s">
        <v>92</v>
      </c>
      <c r="G1598" s="1">
        <v>1.911504425</v>
      </c>
      <c r="H1598" s="1">
        <v>24.6</v>
      </c>
      <c r="I1598" s="1">
        <v>33.9</v>
      </c>
      <c r="J1598" s="1">
        <v>0.47008349333333332</v>
      </c>
      <c r="K1598" s="1">
        <v>0.48695497399999998</v>
      </c>
      <c r="L1598" s="1">
        <v>0.54991327199999995</v>
      </c>
      <c r="M1598" s="3">
        <v>0.67282609299999996</v>
      </c>
      <c r="N1598" s="1" t="s">
        <v>14</v>
      </c>
      <c r="O1598" s="1">
        <v>1.6052009460000001</v>
      </c>
      <c r="P1598" s="1">
        <v>26.6</v>
      </c>
      <c r="Q1598" s="1">
        <v>42.3</v>
      </c>
      <c r="R1598" s="1">
        <v>0.56989811299999993</v>
      </c>
      <c r="S1598" s="1">
        <v>0.18872635913565439</v>
      </c>
      <c r="T1598" t="s">
        <v>1745</v>
      </c>
      <c r="U1598" s="1">
        <v>685</v>
      </c>
      <c r="V1598">
        <f t="shared" si="96"/>
        <v>0.31507673016582505</v>
      </c>
      <c r="W1598" s="1">
        <f t="shared" si="97"/>
        <v>2</v>
      </c>
      <c r="X1598">
        <f t="shared" si="98"/>
        <v>0.30630347899999988</v>
      </c>
      <c r="Y1598">
        <f t="shared" si="99"/>
        <v>8.3999999999999986</v>
      </c>
      <c r="Z1598" s="1">
        <v>1</v>
      </c>
      <c r="AA1598">
        <v>99</v>
      </c>
      <c r="AB1598">
        <v>1.01E-2</v>
      </c>
      <c r="AC1598">
        <v>2</v>
      </c>
      <c r="AD1598">
        <v>100</v>
      </c>
      <c r="AE1598">
        <v>0.02</v>
      </c>
      <c r="AF1598" t="s">
        <v>2590</v>
      </c>
      <c r="AG1598" t="s">
        <v>2590</v>
      </c>
    </row>
    <row r="1599" spans="1:33">
      <c r="A1599" s="2" t="s">
        <v>91</v>
      </c>
      <c r="B1599" s="2" t="s">
        <v>15</v>
      </c>
      <c r="C1599" s="1">
        <v>0.37439919700000002</v>
      </c>
      <c r="D1599">
        <v>0.508839347</v>
      </c>
      <c r="E1599">
        <v>0.52701193599999996</v>
      </c>
      <c r="F1599" s="1" t="s">
        <v>92</v>
      </c>
      <c r="G1599" s="1">
        <v>1.911504425</v>
      </c>
      <c r="H1599" s="1">
        <v>24.6</v>
      </c>
      <c r="I1599" s="1">
        <v>33.9</v>
      </c>
      <c r="J1599" s="1">
        <v>0.47008349333333332</v>
      </c>
      <c r="K1599" s="1">
        <v>0.54560998800000005</v>
      </c>
      <c r="L1599" s="1">
        <v>0.66721428400000005</v>
      </c>
      <c r="M1599" s="3">
        <v>0.72650398400000005</v>
      </c>
      <c r="N1599" s="1" t="s">
        <v>16</v>
      </c>
      <c r="O1599" s="1">
        <v>5.1392405060000002</v>
      </c>
      <c r="P1599" s="1">
        <v>35.9</v>
      </c>
      <c r="Q1599" s="1">
        <v>15.8</v>
      </c>
      <c r="R1599" s="1">
        <v>0.64644275200000012</v>
      </c>
      <c r="S1599" s="1">
        <v>0.30690850890751464</v>
      </c>
      <c r="T1599" t="s">
        <v>1746</v>
      </c>
      <c r="U1599" s="1">
        <v>891</v>
      </c>
      <c r="V1599">
        <f t="shared" si="96"/>
        <v>0.32776418933743057</v>
      </c>
      <c r="W1599" s="1">
        <f t="shared" si="97"/>
        <v>11.299999999999997</v>
      </c>
      <c r="X1599">
        <f t="shared" si="98"/>
        <v>3.2277360810000002</v>
      </c>
      <c r="Y1599">
        <f t="shared" si="99"/>
        <v>18.099999999999998</v>
      </c>
      <c r="Z1599" s="1">
        <v>0</v>
      </c>
      <c r="AA1599">
        <v>100</v>
      </c>
      <c r="AB1599">
        <v>0</v>
      </c>
      <c r="AC1599">
        <v>0</v>
      </c>
      <c r="AD1599">
        <v>98</v>
      </c>
      <c r="AE1599">
        <v>0</v>
      </c>
      <c r="AF1599" t="s">
        <v>2590</v>
      </c>
      <c r="AG1599" t="s">
        <v>2591</v>
      </c>
    </row>
    <row r="1600" spans="1:33">
      <c r="A1600" s="2" t="s">
        <v>91</v>
      </c>
      <c r="B1600" s="2" t="s">
        <v>17</v>
      </c>
      <c r="C1600" s="1">
        <v>0.37439919700000002</v>
      </c>
      <c r="D1600">
        <v>0.508839347</v>
      </c>
      <c r="E1600">
        <v>0.52701193599999996</v>
      </c>
      <c r="F1600" s="1" t="s">
        <v>92</v>
      </c>
      <c r="G1600" s="1">
        <v>1.911504425</v>
      </c>
      <c r="H1600" s="1">
        <v>24.6</v>
      </c>
      <c r="I1600" s="1">
        <v>33.9</v>
      </c>
      <c r="J1600" s="1">
        <v>0.47008349333333332</v>
      </c>
      <c r="K1600" s="1">
        <v>0.659112378</v>
      </c>
      <c r="L1600" s="1">
        <v>0.68333493499999998</v>
      </c>
      <c r="M1600" s="3">
        <v>0.70345495199999997</v>
      </c>
      <c r="N1600" s="1" t="s">
        <v>18</v>
      </c>
      <c r="O1600" s="1">
        <v>1.9463955639999999</v>
      </c>
      <c r="P1600" s="1">
        <v>46.3</v>
      </c>
      <c r="Q1600" s="1">
        <v>54.1</v>
      </c>
      <c r="R1600" s="1">
        <v>0.68196742166666668</v>
      </c>
      <c r="S1600" s="1">
        <v>0.37768034574462667</v>
      </c>
      <c r="T1600" t="s">
        <v>1747</v>
      </c>
      <c r="U1600" s="1">
        <v>502</v>
      </c>
      <c r="V1600">
        <f t="shared" si="96"/>
        <v>0.30007819079389103</v>
      </c>
      <c r="W1600" s="1">
        <f t="shared" si="97"/>
        <v>21.699999999999996</v>
      </c>
      <c r="X1600">
        <f t="shared" si="98"/>
        <v>3.489113899999996E-2</v>
      </c>
      <c r="Y1600">
        <f t="shared" si="99"/>
        <v>20.200000000000003</v>
      </c>
      <c r="Z1600" s="1">
        <v>0</v>
      </c>
      <c r="AA1600">
        <v>100</v>
      </c>
      <c r="AB1600">
        <v>0</v>
      </c>
      <c r="AC1600">
        <v>0</v>
      </c>
      <c r="AD1600">
        <v>112</v>
      </c>
      <c r="AE1600">
        <v>0</v>
      </c>
      <c r="AF1600" t="s">
        <v>2590</v>
      </c>
      <c r="AG1600" t="s">
        <v>2591</v>
      </c>
    </row>
    <row r="1601" spans="1:33">
      <c r="A1601" s="2" t="s">
        <v>91</v>
      </c>
      <c r="B1601" s="2" t="s">
        <v>19</v>
      </c>
      <c r="C1601" s="1">
        <v>0.37439919700000002</v>
      </c>
      <c r="D1601">
        <v>0.508839347</v>
      </c>
      <c r="E1601">
        <v>0.52701193599999996</v>
      </c>
      <c r="F1601" s="1" t="s">
        <v>92</v>
      </c>
      <c r="G1601" s="1">
        <v>1.911504425</v>
      </c>
      <c r="H1601" s="1">
        <v>24.6</v>
      </c>
      <c r="I1601" s="1">
        <v>33.9</v>
      </c>
      <c r="J1601" s="1">
        <v>0.47008349333333332</v>
      </c>
      <c r="K1601" s="1">
        <v>0.49391595300000002</v>
      </c>
      <c r="L1601" s="1">
        <v>0.603599314</v>
      </c>
      <c r="M1601" s="3">
        <v>0.63481471599999995</v>
      </c>
      <c r="N1601" s="1" t="s">
        <v>20</v>
      </c>
      <c r="O1601" s="1">
        <v>1.2140902870000001</v>
      </c>
      <c r="P1601" s="1">
        <v>64.900000000000006</v>
      </c>
      <c r="Q1601" s="1">
        <v>146.19999999999999</v>
      </c>
      <c r="R1601" s="1">
        <v>0.57744332766666662</v>
      </c>
      <c r="S1601" s="1">
        <v>0.18677565603239901</v>
      </c>
      <c r="T1601" t="s">
        <v>1748</v>
      </c>
      <c r="U1601" s="1">
        <v>434</v>
      </c>
      <c r="V1601">
        <f t="shared" si="96"/>
        <v>0.29305441439027896</v>
      </c>
      <c r="W1601" s="1">
        <f t="shared" si="97"/>
        <v>40.300000000000004</v>
      </c>
      <c r="X1601">
        <f t="shared" si="98"/>
        <v>0.69741413799999985</v>
      </c>
      <c r="Y1601">
        <f t="shared" si="99"/>
        <v>112.29999999999998</v>
      </c>
      <c r="Z1601" s="1">
        <v>5</v>
      </c>
      <c r="AA1601">
        <v>95</v>
      </c>
      <c r="AB1601">
        <v>5.2600000000000001E-2</v>
      </c>
      <c r="AC1601">
        <v>5</v>
      </c>
      <c r="AD1601">
        <v>87</v>
      </c>
      <c r="AE1601">
        <v>5.7500000000000002E-2</v>
      </c>
      <c r="AF1601" t="s">
        <v>2590</v>
      </c>
      <c r="AG1601" t="s">
        <v>2593</v>
      </c>
    </row>
    <row r="1602" spans="1:33">
      <c r="A1602" s="2" t="s">
        <v>91</v>
      </c>
      <c r="B1602" s="2" t="s">
        <v>21</v>
      </c>
      <c r="C1602" s="1">
        <v>0.37439919700000002</v>
      </c>
      <c r="D1602">
        <v>0.508839347</v>
      </c>
      <c r="E1602">
        <v>0.52701193599999996</v>
      </c>
      <c r="F1602" s="1" t="s">
        <v>92</v>
      </c>
      <c r="G1602" s="1">
        <v>1.911504425</v>
      </c>
      <c r="H1602" s="1">
        <v>24.6</v>
      </c>
      <c r="I1602" s="1">
        <v>33.9</v>
      </c>
      <c r="J1602" s="1">
        <v>0.47008349333333332</v>
      </c>
      <c r="K1602" s="1">
        <v>0.53276376800000003</v>
      </c>
      <c r="L1602" s="1">
        <v>0.65428149899999999</v>
      </c>
      <c r="M1602" s="3">
        <v>0.70160154799999996</v>
      </c>
      <c r="N1602" s="1" t="s">
        <v>22</v>
      </c>
      <c r="O1602" s="1">
        <v>1.2440604749999999</v>
      </c>
      <c r="P1602" s="1">
        <v>24.6</v>
      </c>
      <c r="Q1602" s="1">
        <v>46.3</v>
      </c>
      <c r="R1602" s="1">
        <v>0.62954893833333336</v>
      </c>
      <c r="S1602" s="1">
        <v>0.27697344555880388</v>
      </c>
      <c r="T1602" t="s">
        <v>1749</v>
      </c>
      <c r="U1602" s="1">
        <v>344</v>
      </c>
      <c r="V1602">
        <f t="shared" ref="V1602:V1665" si="100">LOG10(U1602) / 9</f>
        <v>0.28183982695239224</v>
      </c>
      <c r="W1602" s="1">
        <f t="shared" ref="W1602:W1665" si="101">ABS(H1602-P1602)</f>
        <v>0</v>
      </c>
      <c r="X1602">
        <f t="shared" ref="X1602:X1665" si="102">ABS(G1602-O1602)</f>
        <v>0.66744395000000001</v>
      </c>
      <c r="Y1602">
        <f t="shared" ref="Y1602:Y1665" si="103">ABS(I1602-Q1602)</f>
        <v>12.399999999999999</v>
      </c>
      <c r="Z1602" s="1">
        <v>2</v>
      </c>
      <c r="AA1602">
        <v>98</v>
      </c>
      <c r="AB1602">
        <v>2.0400000000000001E-2</v>
      </c>
      <c r="AC1602">
        <v>3</v>
      </c>
      <c r="AD1602">
        <v>95</v>
      </c>
      <c r="AE1602">
        <v>3.1600000000000003E-2</v>
      </c>
      <c r="AF1602" t="s">
        <v>2590</v>
      </c>
      <c r="AG1602" t="s">
        <v>2589</v>
      </c>
    </row>
    <row r="1603" spans="1:33">
      <c r="A1603" s="2" t="s">
        <v>91</v>
      </c>
      <c r="B1603" s="2" t="s">
        <v>23</v>
      </c>
      <c r="C1603" s="1">
        <v>0.37439919700000002</v>
      </c>
      <c r="D1603">
        <v>0.508839347</v>
      </c>
      <c r="E1603">
        <v>0.52701193599999996</v>
      </c>
      <c r="F1603" s="1" t="s">
        <v>92</v>
      </c>
      <c r="G1603" s="1">
        <v>1.911504425</v>
      </c>
      <c r="H1603" s="1">
        <v>24.6</v>
      </c>
      <c r="I1603" s="1">
        <v>33.9</v>
      </c>
      <c r="J1603" s="1">
        <v>0.47008349333333332</v>
      </c>
      <c r="K1603" s="1">
        <v>0.49415677200000002</v>
      </c>
      <c r="L1603" s="1">
        <v>0.62090818999999997</v>
      </c>
      <c r="M1603" s="3">
        <v>0.63381026900000004</v>
      </c>
      <c r="N1603" s="1" t="s">
        <v>24</v>
      </c>
      <c r="O1603" s="1">
        <v>1.141304348</v>
      </c>
      <c r="P1603" s="1">
        <v>44.4</v>
      </c>
      <c r="Q1603" s="1">
        <v>101.2</v>
      </c>
      <c r="R1603" s="1">
        <v>0.58295841033333329</v>
      </c>
      <c r="S1603" s="1">
        <v>0.19572221711603968</v>
      </c>
      <c r="T1603" t="s">
        <v>1750</v>
      </c>
      <c r="U1603" s="1">
        <v>17177</v>
      </c>
      <c r="V1603">
        <f t="shared" si="100"/>
        <v>0.47054970173918736</v>
      </c>
      <c r="W1603" s="1">
        <f t="shared" si="101"/>
        <v>19.799999999999997</v>
      </c>
      <c r="X1603">
        <f t="shared" si="102"/>
        <v>0.77020007699999993</v>
      </c>
      <c r="Y1603">
        <f t="shared" si="103"/>
        <v>67.300000000000011</v>
      </c>
      <c r="Z1603" s="1">
        <v>4</v>
      </c>
      <c r="AA1603">
        <v>96</v>
      </c>
      <c r="AB1603">
        <v>4.1700000000000001E-2</v>
      </c>
      <c r="AC1603">
        <v>5</v>
      </c>
      <c r="AD1603">
        <v>89</v>
      </c>
      <c r="AE1603">
        <v>5.62E-2</v>
      </c>
      <c r="AF1603" t="s">
        <v>2590</v>
      </c>
      <c r="AG1603" t="s">
        <v>2590</v>
      </c>
    </row>
    <row r="1604" spans="1:33">
      <c r="A1604" s="2" t="s">
        <v>91</v>
      </c>
      <c r="B1604" s="2" t="s">
        <v>25</v>
      </c>
      <c r="C1604" s="1">
        <v>0.37439919700000002</v>
      </c>
      <c r="D1604">
        <v>0.508839347</v>
      </c>
      <c r="E1604">
        <v>0.52701193599999996</v>
      </c>
      <c r="F1604" s="1" t="s">
        <v>92</v>
      </c>
      <c r="G1604" s="1">
        <v>1.911504425</v>
      </c>
      <c r="H1604" s="1">
        <v>24.6</v>
      </c>
      <c r="I1604" s="1">
        <v>33.9</v>
      </c>
      <c r="J1604" s="1">
        <v>0.47008349333333332</v>
      </c>
      <c r="K1604" s="1">
        <v>0.53959274199999996</v>
      </c>
      <c r="L1604" s="1">
        <v>0.64971567399999997</v>
      </c>
      <c r="M1604" s="3">
        <v>0.65028459999999999</v>
      </c>
      <c r="N1604" s="1" t="s">
        <v>26</v>
      </c>
      <c r="O1604" s="1">
        <v>1.623046875</v>
      </c>
      <c r="P1604" s="1">
        <v>34.700000000000003</v>
      </c>
      <c r="Q1604" s="1">
        <v>51.2</v>
      </c>
      <c r="R1604" s="1">
        <v>0.61319767199999997</v>
      </c>
      <c r="S1604" s="1">
        <v>0.24966216475135919</v>
      </c>
      <c r="T1604" t="s">
        <v>1751</v>
      </c>
      <c r="U1604" s="1">
        <v>988</v>
      </c>
      <c r="V1604">
        <f t="shared" si="100"/>
        <v>0.3327507716208476</v>
      </c>
      <c r="W1604" s="1">
        <f t="shared" si="101"/>
        <v>10.100000000000001</v>
      </c>
      <c r="X1604">
        <f t="shared" si="102"/>
        <v>0.28845754999999995</v>
      </c>
      <c r="Y1604">
        <f t="shared" si="103"/>
        <v>17.300000000000004</v>
      </c>
      <c r="Z1604" s="1">
        <v>0</v>
      </c>
      <c r="AA1604">
        <v>100</v>
      </c>
      <c r="AB1604">
        <v>0</v>
      </c>
      <c r="AC1604">
        <v>0</v>
      </c>
      <c r="AD1604">
        <v>96</v>
      </c>
      <c r="AE1604">
        <v>0</v>
      </c>
      <c r="AF1604" t="s">
        <v>2590</v>
      </c>
      <c r="AG1604" t="s">
        <v>2594</v>
      </c>
    </row>
    <row r="1605" spans="1:33">
      <c r="A1605" s="2" t="s">
        <v>91</v>
      </c>
      <c r="B1605" s="2" t="s">
        <v>27</v>
      </c>
      <c r="C1605" s="1">
        <v>0.37439919700000002</v>
      </c>
      <c r="D1605">
        <v>0.508839347</v>
      </c>
      <c r="E1605">
        <v>0.52701193599999996</v>
      </c>
      <c r="F1605" s="1" t="s">
        <v>92</v>
      </c>
      <c r="G1605" s="1">
        <v>1.911504425</v>
      </c>
      <c r="H1605" s="1">
        <v>24.6</v>
      </c>
      <c r="I1605" s="1">
        <v>33.9</v>
      </c>
      <c r="J1605" s="1">
        <v>0.47008349333333332</v>
      </c>
      <c r="K1605" s="1">
        <v>0.518608662</v>
      </c>
      <c r="L1605" s="1">
        <v>0.64320369700000002</v>
      </c>
      <c r="M1605" s="3">
        <v>0.62228994199999998</v>
      </c>
      <c r="N1605" s="1" t="s">
        <v>28</v>
      </c>
      <c r="O1605" s="1">
        <v>1.8717391299999999</v>
      </c>
      <c r="P1605" s="1">
        <v>33.700000000000003</v>
      </c>
      <c r="Q1605" s="1">
        <v>46</v>
      </c>
      <c r="R1605" s="1">
        <v>0.59470076699999996</v>
      </c>
      <c r="S1605" s="1">
        <v>0.21892475139610132</v>
      </c>
      <c r="T1605" t="s">
        <v>1752</v>
      </c>
      <c r="U1605" s="1">
        <v>1196</v>
      </c>
      <c r="V1605">
        <f t="shared" si="100"/>
        <v>0.34197013107248803</v>
      </c>
      <c r="W1605" s="1">
        <f t="shared" si="101"/>
        <v>9.1000000000000014</v>
      </c>
      <c r="X1605">
        <f t="shared" si="102"/>
        <v>3.9765295000000034E-2</v>
      </c>
      <c r="Y1605">
        <f t="shared" si="103"/>
        <v>12.100000000000001</v>
      </c>
      <c r="Z1605" s="1">
        <v>4</v>
      </c>
      <c r="AA1605">
        <v>96</v>
      </c>
      <c r="AB1605">
        <v>4.1700000000000001E-2</v>
      </c>
      <c r="AC1605">
        <v>5</v>
      </c>
      <c r="AD1605">
        <v>98</v>
      </c>
      <c r="AE1605">
        <v>5.0999999999999997E-2</v>
      </c>
      <c r="AF1605" t="s">
        <v>2590</v>
      </c>
      <c r="AG1605" t="s">
        <v>2590</v>
      </c>
    </row>
    <row r="1606" spans="1:33">
      <c r="A1606" s="2" t="s">
        <v>91</v>
      </c>
      <c r="B1606" s="2" t="s">
        <v>29</v>
      </c>
      <c r="C1606" s="1">
        <v>0.37439919700000002</v>
      </c>
      <c r="D1606">
        <v>0.508839347</v>
      </c>
      <c r="E1606">
        <v>0.52701193599999996</v>
      </c>
      <c r="F1606" s="1" t="s">
        <v>92</v>
      </c>
      <c r="G1606" s="1">
        <v>1.911504425</v>
      </c>
      <c r="H1606" s="1">
        <v>24.6</v>
      </c>
      <c r="I1606" s="1">
        <v>33.9</v>
      </c>
      <c r="J1606" s="1">
        <v>0.47008349333333332</v>
      </c>
      <c r="K1606" s="1">
        <v>0.59351545100000003</v>
      </c>
      <c r="L1606" s="1">
        <v>0.68136602400000001</v>
      </c>
      <c r="M1606" s="3">
        <v>0.73518087600000004</v>
      </c>
      <c r="N1606" s="1" t="s">
        <v>30</v>
      </c>
      <c r="O1606" s="1">
        <v>2.849112426</v>
      </c>
      <c r="P1606" s="1">
        <v>37.9</v>
      </c>
      <c r="Q1606" s="1">
        <v>33.799999999999997</v>
      </c>
      <c r="R1606" s="1">
        <v>0.67002078366666673</v>
      </c>
      <c r="S1606" s="1">
        <v>0.34801105531919313</v>
      </c>
      <c r="T1606" t="s">
        <v>1753</v>
      </c>
      <c r="U1606" s="1">
        <v>972</v>
      </c>
      <c r="V1606">
        <f t="shared" si="100"/>
        <v>0.33196291832514163</v>
      </c>
      <c r="W1606" s="1">
        <f t="shared" si="101"/>
        <v>13.299999999999997</v>
      </c>
      <c r="X1606">
        <f t="shared" si="102"/>
        <v>0.93760800100000008</v>
      </c>
      <c r="Y1606">
        <f t="shared" si="103"/>
        <v>0.10000000000000142</v>
      </c>
      <c r="Z1606" s="1">
        <v>0</v>
      </c>
      <c r="AA1606">
        <v>100</v>
      </c>
      <c r="AB1606">
        <v>0</v>
      </c>
      <c r="AC1606">
        <v>0</v>
      </c>
      <c r="AD1606">
        <v>92</v>
      </c>
      <c r="AE1606">
        <v>0</v>
      </c>
      <c r="AF1606" t="s">
        <v>2590</v>
      </c>
      <c r="AG1606" t="s">
        <v>2593</v>
      </c>
    </row>
    <row r="1607" spans="1:33">
      <c r="A1607" s="2" t="s">
        <v>91</v>
      </c>
      <c r="B1607" s="2" t="s">
        <v>31</v>
      </c>
      <c r="C1607" s="1">
        <v>0.37439919700000002</v>
      </c>
      <c r="D1607">
        <v>0.508839347</v>
      </c>
      <c r="E1607">
        <v>0.52701193599999996</v>
      </c>
      <c r="F1607" s="1" t="s">
        <v>92</v>
      </c>
      <c r="G1607" s="1">
        <v>1.911504425</v>
      </c>
      <c r="H1607" s="1">
        <v>24.6</v>
      </c>
      <c r="I1607" s="1">
        <v>33.9</v>
      </c>
      <c r="J1607" s="1">
        <v>0.47008349333333332</v>
      </c>
      <c r="K1607" s="1">
        <v>0.47727961800000002</v>
      </c>
      <c r="L1607" s="1">
        <v>0.66941086400000005</v>
      </c>
      <c r="M1607" s="3">
        <v>0.69294815300000001</v>
      </c>
      <c r="N1607" s="1" t="s">
        <v>32</v>
      </c>
      <c r="O1607" s="1">
        <v>1.341891892</v>
      </c>
      <c r="P1607" s="1">
        <v>42.1</v>
      </c>
      <c r="Q1607" s="1">
        <v>74</v>
      </c>
      <c r="R1607" s="1">
        <v>0.61321287833333338</v>
      </c>
      <c r="S1607" s="1">
        <v>0.25278928222749014</v>
      </c>
      <c r="T1607" t="s">
        <v>1754</v>
      </c>
      <c r="U1607" s="1">
        <v>532</v>
      </c>
      <c r="V1607">
        <f t="shared" si="100"/>
        <v>0.30287907025500538</v>
      </c>
      <c r="W1607" s="1">
        <f t="shared" si="101"/>
        <v>17.5</v>
      </c>
      <c r="X1607">
        <f t="shared" si="102"/>
        <v>0.56961253299999992</v>
      </c>
      <c r="Y1607">
        <f t="shared" si="103"/>
        <v>40.1</v>
      </c>
      <c r="Z1607" s="1">
        <v>4</v>
      </c>
      <c r="AA1607">
        <v>96</v>
      </c>
      <c r="AB1607">
        <v>4.1700000000000001E-2</v>
      </c>
      <c r="AC1607">
        <v>5</v>
      </c>
      <c r="AD1607">
        <v>95</v>
      </c>
      <c r="AE1607">
        <v>5.2600000000000001E-2</v>
      </c>
      <c r="AF1607" t="s">
        <v>2590</v>
      </c>
      <c r="AG1607" t="s">
        <v>2589</v>
      </c>
    </row>
    <row r="1608" spans="1:33">
      <c r="A1608" s="2" t="s">
        <v>91</v>
      </c>
      <c r="B1608" s="2" t="s">
        <v>33</v>
      </c>
      <c r="C1608" s="1">
        <v>0.37439919700000002</v>
      </c>
      <c r="D1608">
        <v>0.508839347</v>
      </c>
      <c r="E1608">
        <v>0.52701193599999996</v>
      </c>
      <c r="F1608" s="1" t="s">
        <v>92</v>
      </c>
      <c r="G1608" s="1">
        <v>1.911504425</v>
      </c>
      <c r="H1608" s="1">
        <v>24.6</v>
      </c>
      <c r="I1608" s="1">
        <v>33.9</v>
      </c>
      <c r="J1608" s="1">
        <v>0.47008349333333332</v>
      </c>
      <c r="K1608" s="1">
        <v>0.51347926600000005</v>
      </c>
      <c r="L1608" s="1">
        <v>0.63144379399999995</v>
      </c>
      <c r="M1608" s="3">
        <v>0.64189093500000005</v>
      </c>
      <c r="N1608" s="1" t="s">
        <v>34</v>
      </c>
      <c r="O1608" s="1">
        <v>2.3123667380000001</v>
      </c>
      <c r="P1608" s="1">
        <v>79.099999999999994</v>
      </c>
      <c r="Q1608" s="1">
        <v>93.8</v>
      </c>
      <c r="R1608" s="1">
        <v>0.59560466500000009</v>
      </c>
      <c r="S1608" s="1">
        <v>0.21811075266584767</v>
      </c>
      <c r="T1608" t="s">
        <v>1755</v>
      </c>
      <c r="U1608" s="1">
        <v>30133</v>
      </c>
      <c r="V1608">
        <f t="shared" si="100"/>
        <v>0.49767137462073674</v>
      </c>
      <c r="W1608" s="1">
        <f t="shared" si="101"/>
        <v>54.499999999999993</v>
      </c>
      <c r="X1608">
        <f t="shared" si="102"/>
        <v>0.40086231300000019</v>
      </c>
      <c r="Y1608">
        <f t="shared" si="103"/>
        <v>59.9</v>
      </c>
      <c r="Z1608" s="1">
        <v>8</v>
      </c>
      <c r="AA1608">
        <v>92</v>
      </c>
      <c r="AB1608">
        <v>8.6999999999999994E-2</v>
      </c>
      <c r="AC1608">
        <v>10</v>
      </c>
      <c r="AD1608">
        <v>84</v>
      </c>
      <c r="AE1608">
        <v>0.11899999999999999</v>
      </c>
      <c r="AF1608" t="s">
        <v>2590</v>
      </c>
      <c r="AG1608" t="s">
        <v>2590</v>
      </c>
    </row>
    <row r="1609" spans="1:33">
      <c r="A1609" s="2" t="s">
        <v>91</v>
      </c>
      <c r="B1609" s="2" t="s">
        <v>35</v>
      </c>
      <c r="C1609" s="1">
        <v>0.37439919700000002</v>
      </c>
      <c r="D1609">
        <v>0.508839347</v>
      </c>
      <c r="E1609">
        <v>0.52701193599999996</v>
      </c>
      <c r="F1609" s="1" t="s">
        <v>92</v>
      </c>
      <c r="G1609" s="1">
        <v>1.911504425</v>
      </c>
      <c r="H1609" s="1">
        <v>24.6</v>
      </c>
      <c r="I1609" s="1">
        <v>33.9</v>
      </c>
      <c r="J1609" s="1">
        <v>0.47008349333333332</v>
      </c>
      <c r="K1609" s="1">
        <v>0.52542897600000005</v>
      </c>
      <c r="L1609" s="1">
        <v>0.60774736299999998</v>
      </c>
      <c r="M1609" s="3">
        <v>0.62585751700000003</v>
      </c>
      <c r="N1609" s="1" t="s">
        <v>36</v>
      </c>
      <c r="O1609" s="1">
        <v>0.98848810399999998</v>
      </c>
      <c r="P1609" s="1">
        <v>54.2</v>
      </c>
      <c r="Q1609" s="1">
        <v>130.30000000000001</v>
      </c>
      <c r="R1609" s="1">
        <v>0.58634461866666665</v>
      </c>
      <c r="S1609" s="1">
        <v>0.20582331903133008</v>
      </c>
      <c r="T1609" t="s">
        <v>1756</v>
      </c>
      <c r="U1609" s="1">
        <v>343</v>
      </c>
      <c r="V1609">
        <f t="shared" si="100"/>
        <v>0.28169934667141894</v>
      </c>
      <c r="W1609" s="1">
        <f t="shared" si="101"/>
        <v>29.6</v>
      </c>
      <c r="X1609">
        <f t="shared" si="102"/>
        <v>0.92301632099999997</v>
      </c>
      <c r="Y1609">
        <f t="shared" si="103"/>
        <v>96.4</v>
      </c>
      <c r="Z1609" s="1">
        <v>3</v>
      </c>
      <c r="AA1609">
        <v>97</v>
      </c>
      <c r="AB1609">
        <v>3.09E-2</v>
      </c>
      <c r="AC1609">
        <v>4</v>
      </c>
      <c r="AD1609">
        <v>89</v>
      </c>
      <c r="AE1609">
        <v>4.4900000000000002E-2</v>
      </c>
      <c r="AF1609" t="s">
        <v>2590</v>
      </c>
      <c r="AG1609" t="s">
        <v>2589</v>
      </c>
    </row>
    <row r="1610" spans="1:33">
      <c r="A1610" s="2" t="s">
        <v>91</v>
      </c>
      <c r="B1610" s="2" t="s">
        <v>37</v>
      </c>
      <c r="C1610" s="1">
        <v>0.37439919700000002</v>
      </c>
      <c r="D1610">
        <v>0.508839347</v>
      </c>
      <c r="E1610">
        <v>0.52701193599999996</v>
      </c>
      <c r="F1610" s="1" t="s">
        <v>92</v>
      </c>
      <c r="G1610" s="1">
        <v>1.911504425</v>
      </c>
      <c r="H1610" s="1">
        <v>24.6</v>
      </c>
      <c r="I1610" s="1">
        <v>33.9</v>
      </c>
      <c r="J1610" s="1">
        <v>0.47008349333333332</v>
      </c>
      <c r="K1610" s="1">
        <v>0.50856695500000004</v>
      </c>
      <c r="L1610" s="1">
        <v>0.654733224</v>
      </c>
      <c r="M1610" s="3">
        <v>0.61418267199999999</v>
      </c>
      <c r="N1610" s="1" t="s">
        <v>38</v>
      </c>
      <c r="O1610" s="1">
        <v>0.64065708399999999</v>
      </c>
      <c r="P1610" s="1">
        <v>41.9</v>
      </c>
      <c r="Q1610" s="1">
        <v>146.1</v>
      </c>
      <c r="R1610" s="1">
        <v>0.59249428366666679</v>
      </c>
      <c r="S1610" s="1">
        <v>0.21652886146567021</v>
      </c>
      <c r="T1610" t="s">
        <v>1757</v>
      </c>
      <c r="U1610" s="1">
        <v>11204</v>
      </c>
      <c r="V1610">
        <f t="shared" si="100"/>
        <v>0.44993034446128122</v>
      </c>
      <c r="W1610" s="1">
        <f t="shared" si="101"/>
        <v>17.299999999999997</v>
      </c>
      <c r="X1610">
        <f t="shared" si="102"/>
        <v>1.2708473410000001</v>
      </c>
      <c r="Y1610">
        <f t="shared" si="103"/>
        <v>112.19999999999999</v>
      </c>
      <c r="Z1610" s="1">
        <v>6</v>
      </c>
      <c r="AA1610">
        <v>94</v>
      </c>
      <c r="AB1610">
        <v>6.3799999999999996E-2</v>
      </c>
      <c r="AC1610">
        <v>6</v>
      </c>
      <c r="AD1610">
        <v>86</v>
      </c>
      <c r="AE1610">
        <v>6.9800000000000001E-2</v>
      </c>
      <c r="AF1610" t="s">
        <v>2590</v>
      </c>
      <c r="AG1610" t="s">
        <v>2590</v>
      </c>
    </row>
    <row r="1611" spans="1:33">
      <c r="A1611" s="2" t="s">
        <v>91</v>
      </c>
      <c r="B1611" s="2" t="s">
        <v>39</v>
      </c>
      <c r="C1611" s="1">
        <v>0.37439919700000002</v>
      </c>
      <c r="D1611">
        <v>0.508839347</v>
      </c>
      <c r="E1611">
        <v>0.52701193599999996</v>
      </c>
      <c r="F1611" s="1" t="s">
        <v>92</v>
      </c>
      <c r="G1611" s="1">
        <v>1.911504425</v>
      </c>
      <c r="H1611" s="1">
        <v>24.6</v>
      </c>
      <c r="I1611" s="1">
        <v>33.9</v>
      </c>
      <c r="J1611" s="1">
        <v>0.47008349333333332</v>
      </c>
      <c r="K1611" s="1">
        <v>0.60811616199999996</v>
      </c>
      <c r="L1611" s="1">
        <v>0.721105683</v>
      </c>
      <c r="M1611" s="3">
        <v>0.741016169</v>
      </c>
      <c r="N1611" s="1" t="s">
        <v>40</v>
      </c>
      <c r="O1611" s="1">
        <v>1.0601915180000001</v>
      </c>
      <c r="P1611" s="1">
        <v>34</v>
      </c>
      <c r="Q1611" s="1">
        <v>73.099999999999994</v>
      </c>
      <c r="R1611" s="1">
        <v>0.69007933799999999</v>
      </c>
      <c r="S1611" s="1">
        <v>0.38141634583430534</v>
      </c>
      <c r="T1611" t="s">
        <v>1758</v>
      </c>
      <c r="U1611" s="1">
        <v>589</v>
      </c>
      <c r="V1611">
        <f t="shared" si="100"/>
        <v>0.30779058830967793</v>
      </c>
      <c r="W1611" s="1">
        <f t="shared" si="101"/>
        <v>9.3999999999999986</v>
      </c>
      <c r="X1611">
        <f t="shared" si="102"/>
        <v>0.85131290699999984</v>
      </c>
      <c r="Y1611">
        <f t="shared" si="103"/>
        <v>39.199999999999996</v>
      </c>
      <c r="Z1611" s="1">
        <v>1</v>
      </c>
      <c r="AA1611">
        <v>99</v>
      </c>
      <c r="AB1611">
        <v>1.01E-2</v>
      </c>
      <c r="AC1611">
        <v>2</v>
      </c>
      <c r="AD1611">
        <v>93</v>
      </c>
      <c r="AE1611">
        <v>2.1499999999999998E-2</v>
      </c>
      <c r="AF1611" t="s">
        <v>2590</v>
      </c>
      <c r="AG1611" t="s">
        <v>2589</v>
      </c>
    </row>
    <row r="1612" spans="1:33">
      <c r="A1612" s="2" t="s">
        <v>91</v>
      </c>
      <c r="B1612" s="2" t="s">
        <v>41</v>
      </c>
      <c r="C1612" s="1">
        <v>0.37439919700000002</v>
      </c>
      <c r="D1612">
        <v>0.508839347</v>
      </c>
      <c r="E1612">
        <v>0.52701193599999996</v>
      </c>
      <c r="F1612" s="1" t="s">
        <v>92</v>
      </c>
      <c r="G1612" s="1">
        <v>1.911504425</v>
      </c>
      <c r="H1612" s="1">
        <v>24.6</v>
      </c>
      <c r="I1612" s="1">
        <v>33.9</v>
      </c>
      <c r="J1612" s="1">
        <v>0.47008349333333332</v>
      </c>
      <c r="K1612" s="1">
        <v>0.60402244999999999</v>
      </c>
      <c r="L1612" s="1">
        <v>0.669189213</v>
      </c>
      <c r="M1612" s="3">
        <v>0.69821693799999995</v>
      </c>
      <c r="N1612" s="1" t="s">
        <v>42</v>
      </c>
      <c r="O1612" s="1">
        <v>1.3243902439999999</v>
      </c>
      <c r="P1612" s="1">
        <v>23</v>
      </c>
      <c r="Q1612" s="1">
        <v>41</v>
      </c>
      <c r="R1612" s="1">
        <v>0.65714286700000002</v>
      </c>
      <c r="S1612" s="1">
        <v>0.32825305871284727</v>
      </c>
      <c r="T1612" t="s">
        <v>1759</v>
      </c>
      <c r="U1612" s="1">
        <v>964</v>
      </c>
      <c r="V1612">
        <f t="shared" si="100"/>
        <v>0.33156411487809234</v>
      </c>
      <c r="W1612" s="1">
        <f t="shared" si="101"/>
        <v>1.6000000000000014</v>
      </c>
      <c r="X1612">
        <f t="shared" si="102"/>
        <v>0.58711418100000001</v>
      </c>
      <c r="Y1612">
        <f t="shared" si="103"/>
        <v>7.1000000000000014</v>
      </c>
      <c r="Z1612" s="1">
        <v>0</v>
      </c>
      <c r="AA1612">
        <v>100</v>
      </c>
      <c r="AB1612">
        <v>0</v>
      </c>
      <c r="AC1612">
        <v>0</v>
      </c>
      <c r="AD1612">
        <v>109</v>
      </c>
      <c r="AE1612">
        <v>0</v>
      </c>
      <c r="AF1612" t="s">
        <v>2590</v>
      </c>
      <c r="AG1612" t="s">
        <v>2591</v>
      </c>
    </row>
    <row r="1613" spans="1:33">
      <c r="A1613" s="2" t="s">
        <v>91</v>
      </c>
      <c r="B1613" s="2" t="s">
        <v>43</v>
      </c>
      <c r="C1613" s="1">
        <v>0.37439919700000002</v>
      </c>
      <c r="D1613">
        <v>0.508839347</v>
      </c>
      <c r="E1613">
        <v>0.52701193599999996</v>
      </c>
      <c r="F1613" s="1" t="s">
        <v>92</v>
      </c>
      <c r="G1613" s="1">
        <v>1.911504425</v>
      </c>
      <c r="H1613" s="1">
        <v>24.6</v>
      </c>
      <c r="I1613" s="1">
        <v>33.9</v>
      </c>
      <c r="J1613" s="1">
        <v>0.47008349333333332</v>
      </c>
      <c r="K1613" s="1">
        <v>0.54180634699999997</v>
      </c>
      <c r="L1613" s="1">
        <v>0.59470779900000004</v>
      </c>
      <c r="M1613" s="3">
        <v>0.69518155599999998</v>
      </c>
      <c r="N1613" s="1" t="s">
        <v>44</v>
      </c>
      <c r="O1613" s="1">
        <v>1.7403685090000001</v>
      </c>
      <c r="P1613" s="1">
        <v>41.2</v>
      </c>
      <c r="Q1613" s="1">
        <v>59.7</v>
      </c>
      <c r="R1613" s="1">
        <v>0.61056523400000007</v>
      </c>
      <c r="S1613" s="1">
        <v>0.25234810482930758</v>
      </c>
      <c r="T1613" t="s">
        <v>1760</v>
      </c>
      <c r="U1613" s="1">
        <v>541</v>
      </c>
      <c r="V1613">
        <f t="shared" si="100"/>
        <v>0.30368858501184104</v>
      </c>
      <c r="W1613" s="1">
        <f t="shared" si="101"/>
        <v>16.600000000000001</v>
      </c>
      <c r="X1613">
        <f t="shared" si="102"/>
        <v>0.17113591599999989</v>
      </c>
      <c r="Y1613">
        <f t="shared" si="103"/>
        <v>25.800000000000004</v>
      </c>
      <c r="Z1613" s="1">
        <v>5</v>
      </c>
      <c r="AA1613">
        <v>95</v>
      </c>
      <c r="AB1613">
        <v>5.2600000000000001E-2</v>
      </c>
      <c r="AC1613">
        <v>5</v>
      </c>
      <c r="AD1613">
        <v>126</v>
      </c>
      <c r="AE1613">
        <v>3.9699999999999999E-2</v>
      </c>
      <c r="AF1613" t="s">
        <v>2590</v>
      </c>
      <c r="AG1613" t="s">
        <v>2589</v>
      </c>
    </row>
    <row r="1614" spans="1:33">
      <c r="A1614" s="2" t="s">
        <v>91</v>
      </c>
      <c r="B1614" s="2" t="s">
        <v>45</v>
      </c>
      <c r="C1614" s="1">
        <v>0.37439919700000002</v>
      </c>
      <c r="D1614">
        <v>0.508839347</v>
      </c>
      <c r="E1614">
        <v>0.52701193599999996</v>
      </c>
      <c r="F1614" s="1" t="s">
        <v>92</v>
      </c>
      <c r="G1614" s="1">
        <v>1.911504425</v>
      </c>
      <c r="H1614" s="1">
        <v>24.6</v>
      </c>
      <c r="I1614" s="1">
        <v>33.9</v>
      </c>
      <c r="J1614" s="1">
        <v>0.47008349333333332</v>
      </c>
      <c r="K1614" s="1">
        <v>0.50907007599999998</v>
      </c>
      <c r="L1614" s="1">
        <v>0.68428041399999995</v>
      </c>
      <c r="M1614" s="3">
        <v>0.67454742099999998</v>
      </c>
      <c r="N1614" s="1" t="s">
        <v>46</v>
      </c>
      <c r="O1614" s="1">
        <v>0.98140043799999999</v>
      </c>
      <c r="P1614" s="1">
        <v>38.9</v>
      </c>
      <c r="Q1614" s="1">
        <v>91.4</v>
      </c>
      <c r="R1614" s="1">
        <v>0.62263263699999993</v>
      </c>
      <c r="S1614" s="1">
        <v>0.26586186822279784</v>
      </c>
      <c r="T1614" t="s">
        <v>1761</v>
      </c>
      <c r="U1614" s="1">
        <v>490</v>
      </c>
      <c r="V1614">
        <f t="shared" si="100"/>
        <v>0.29891067555872375</v>
      </c>
      <c r="W1614" s="1">
        <f t="shared" si="101"/>
        <v>14.299999999999997</v>
      </c>
      <c r="X1614">
        <f t="shared" si="102"/>
        <v>0.93010398699999997</v>
      </c>
      <c r="Y1614">
        <f t="shared" si="103"/>
        <v>57.500000000000007</v>
      </c>
      <c r="Z1614" s="1">
        <v>3</v>
      </c>
      <c r="AA1614">
        <v>97</v>
      </c>
      <c r="AB1614">
        <v>3.09E-2</v>
      </c>
      <c r="AC1614">
        <v>4</v>
      </c>
      <c r="AD1614">
        <v>107</v>
      </c>
      <c r="AE1614">
        <v>3.7400000000000003E-2</v>
      </c>
      <c r="AF1614" t="s">
        <v>2590</v>
      </c>
      <c r="AG1614" t="s">
        <v>2589</v>
      </c>
    </row>
    <row r="1615" spans="1:33">
      <c r="A1615" s="2" t="s">
        <v>91</v>
      </c>
      <c r="B1615" s="2" t="s">
        <v>47</v>
      </c>
      <c r="C1615" s="1">
        <v>0.37439919700000002</v>
      </c>
      <c r="D1615">
        <v>0.508839347</v>
      </c>
      <c r="E1615">
        <v>0.52701193599999996</v>
      </c>
      <c r="F1615" s="1" t="s">
        <v>92</v>
      </c>
      <c r="G1615" s="1">
        <v>1.911504425</v>
      </c>
      <c r="H1615" s="1">
        <v>24.6</v>
      </c>
      <c r="I1615" s="1">
        <v>33.9</v>
      </c>
      <c r="J1615" s="1">
        <v>0.47008349333333332</v>
      </c>
      <c r="K1615" s="1">
        <v>0.50612154099999995</v>
      </c>
      <c r="L1615" s="1">
        <v>0.55940039100000005</v>
      </c>
      <c r="M1615" s="3">
        <v>0.66789001699999995</v>
      </c>
      <c r="N1615" s="1" t="s">
        <v>48</v>
      </c>
      <c r="O1615" s="1">
        <v>1.242622951</v>
      </c>
      <c r="P1615" s="1">
        <v>17.8</v>
      </c>
      <c r="Q1615" s="1">
        <v>30.5</v>
      </c>
      <c r="R1615" s="1">
        <v>0.57780398300000002</v>
      </c>
      <c r="S1615" s="1">
        <v>0.1993836221595616</v>
      </c>
      <c r="T1615" t="s">
        <v>1762</v>
      </c>
      <c r="U1615" s="1">
        <v>7260</v>
      </c>
      <c r="V1615">
        <f t="shared" si="100"/>
        <v>0.42899295785556596</v>
      </c>
      <c r="W1615" s="1">
        <f t="shared" si="101"/>
        <v>6.8000000000000007</v>
      </c>
      <c r="X1615">
        <f t="shared" si="102"/>
        <v>0.66888147399999998</v>
      </c>
      <c r="Y1615">
        <f t="shared" si="103"/>
        <v>3.3999999999999986</v>
      </c>
      <c r="Z1615" s="1">
        <v>1</v>
      </c>
      <c r="AA1615">
        <v>99</v>
      </c>
      <c r="AB1615">
        <v>1.01E-2</v>
      </c>
      <c r="AC1615">
        <v>2</v>
      </c>
      <c r="AD1615">
        <v>116</v>
      </c>
      <c r="AE1615">
        <v>1.72E-2</v>
      </c>
      <c r="AF1615" t="s">
        <v>2590</v>
      </c>
      <c r="AG1615" t="s">
        <v>2590</v>
      </c>
    </row>
    <row r="1616" spans="1:33">
      <c r="A1616" s="2" t="s">
        <v>91</v>
      </c>
      <c r="B1616" s="2" t="s">
        <v>49</v>
      </c>
      <c r="C1616" s="1">
        <v>0.37439919700000002</v>
      </c>
      <c r="D1616">
        <v>0.508839347</v>
      </c>
      <c r="E1616">
        <v>0.52701193599999996</v>
      </c>
      <c r="F1616" s="1" t="s">
        <v>92</v>
      </c>
      <c r="G1616" s="1">
        <v>1.911504425</v>
      </c>
      <c r="H1616" s="1">
        <v>24.6</v>
      </c>
      <c r="I1616" s="1">
        <v>33.9</v>
      </c>
      <c r="J1616" s="1">
        <v>0.47008349333333332</v>
      </c>
      <c r="K1616" s="1">
        <v>0.50647110500000003</v>
      </c>
      <c r="L1616" s="1">
        <v>0.55713136799999996</v>
      </c>
      <c r="M1616" s="3">
        <v>0.63402682300000002</v>
      </c>
      <c r="N1616" s="1" t="s">
        <v>50</v>
      </c>
      <c r="O1616" s="1">
        <v>1.876675603</v>
      </c>
      <c r="P1616" s="1">
        <v>28.8</v>
      </c>
      <c r="Q1616" s="1">
        <v>37.299999999999997</v>
      </c>
      <c r="R1616" s="1">
        <v>0.56587643200000004</v>
      </c>
      <c r="S1616" s="1">
        <v>0.17671246196759213</v>
      </c>
      <c r="T1616" t="s">
        <v>1763</v>
      </c>
      <c r="U1616" s="1">
        <v>2320</v>
      </c>
      <c r="V1616">
        <f t="shared" si="100"/>
        <v>0.37394310943232223</v>
      </c>
      <c r="W1616" s="1">
        <f t="shared" si="101"/>
        <v>4.1999999999999993</v>
      </c>
      <c r="X1616">
        <f t="shared" si="102"/>
        <v>3.4828821999999926E-2</v>
      </c>
      <c r="Y1616">
        <f t="shared" si="103"/>
        <v>3.3999999999999986</v>
      </c>
      <c r="Z1616" s="1">
        <v>8</v>
      </c>
      <c r="AA1616">
        <v>92</v>
      </c>
      <c r="AB1616">
        <v>8.6999999999999994E-2</v>
      </c>
      <c r="AC1616">
        <v>8</v>
      </c>
      <c r="AD1616">
        <v>84</v>
      </c>
      <c r="AE1616">
        <v>9.5200000000000007E-2</v>
      </c>
      <c r="AF1616" t="s">
        <v>2590</v>
      </c>
      <c r="AG1616" t="s">
        <v>2590</v>
      </c>
    </row>
    <row r="1617" spans="1:33">
      <c r="A1617" s="2" t="s">
        <v>91</v>
      </c>
      <c r="B1617" s="2" t="s">
        <v>51</v>
      </c>
      <c r="C1617" s="1">
        <v>0.37439919700000002</v>
      </c>
      <c r="D1617">
        <v>0.508839347</v>
      </c>
      <c r="E1617">
        <v>0.52701193599999996</v>
      </c>
      <c r="F1617" s="1" t="s">
        <v>92</v>
      </c>
      <c r="G1617" s="1">
        <v>1.911504425</v>
      </c>
      <c r="H1617" s="1">
        <v>24.6</v>
      </c>
      <c r="I1617" s="1">
        <v>33.9</v>
      </c>
      <c r="J1617" s="1">
        <v>0.47008349333333332</v>
      </c>
      <c r="K1617" s="1">
        <v>0.60067161999999996</v>
      </c>
      <c r="L1617" s="1">
        <v>0.68094129999999997</v>
      </c>
      <c r="M1617" s="3">
        <v>0.73595931299999995</v>
      </c>
      <c r="N1617" s="1" t="s">
        <v>52</v>
      </c>
      <c r="O1617" s="1">
        <v>1.858638743</v>
      </c>
      <c r="P1617" s="1">
        <v>29.4</v>
      </c>
      <c r="Q1617" s="1">
        <v>38.200000000000003</v>
      </c>
      <c r="R1617" s="1">
        <v>0.67252407766666666</v>
      </c>
      <c r="S1617" s="1">
        <v>0.35281340392888311</v>
      </c>
      <c r="T1617" t="s">
        <v>1764</v>
      </c>
      <c r="U1617" s="1">
        <v>626</v>
      </c>
      <c r="V1617">
        <f t="shared" si="100"/>
        <v>0.3107304814678255</v>
      </c>
      <c r="W1617" s="1">
        <f t="shared" si="101"/>
        <v>4.7999999999999972</v>
      </c>
      <c r="X1617">
        <f t="shared" si="102"/>
        <v>5.2865681999999969E-2</v>
      </c>
      <c r="Y1617">
        <f t="shared" si="103"/>
        <v>4.3000000000000043</v>
      </c>
      <c r="Z1617" s="1">
        <v>2</v>
      </c>
      <c r="AA1617">
        <v>98</v>
      </c>
      <c r="AB1617">
        <v>2.0400000000000001E-2</v>
      </c>
      <c r="AC1617">
        <v>3</v>
      </c>
      <c r="AD1617">
        <v>98</v>
      </c>
      <c r="AE1617">
        <v>3.0599999999999999E-2</v>
      </c>
      <c r="AF1617" t="s">
        <v>2590</v>
      </c>
      <c r="AG1617" t="s">
        <v>2591</v>
      </c>
    </row>
    <row r="1618" spans="1:33">
      <c r="A1618" s="2" t="s">
        <v>91</v>
      </c>
      <c r="B1618" s="2" t="s">
        <v>53</v>
      </c>
      <c r="C1618" s="1">
        <v>0.37439919700000002</v>
      </c>
      <c r="D1618">
        <v>0.508839347</v>
      </c>
      <c r="E1618">
        <v>0.52701193599999996</v>
      </c>
      <c r="F1618" s="1" t="s">
        <v>92</v>
      </c>
      <c r="G1618" s="1">
        <v>1.911504425</v>
      </c>
      <c r="H1618" s="1">
        <v>24.6</v>
      </c>
      <c r="I1618" s="1">
        <v>33.9</v>
      </c>
      <c r="J1618" s="1">
        <v>0.47008349333333332</v>
      </c>
      <c r="K1618" s="1">
        <v>0.54695832700000002</v>
      </c>
      <c r="L1618" s="1">
        <v>0.659790137</v>
      </c>
      <c r="M1618" s="3">
        <v>0.70662085500000005</v>
      </c>
      <c r="N1618" s="1" t="s">
        <v>54</v>
      </c>
      <c r="O1618" s="1">
        <v>2.5053995680000001</v>
      </c>
      <c r="P1618" s="1">
        <v>43.9</v>
      </c>
      <c r="Q1618" s="1">
        <v>46.3</v>
      </c>
      <c r="R1618" s="1">
        <v>0.63778977300000006</v>
      </c>
      <c r="S1618" s="1">
        <v>0.29124243875563466</v>
      </c>
      <c r="T1618" t="s">
        <v>1765</v>
      </c>
      <c r="U1618" s="1">
        <v>850</v>
      </c>
      <c r="V1618">
        <f t="shared" si="100"/>
        <v>0.32549099174603252</v>
      </c>
      <c r="W1618" s="1">
        <f t="shared" si="101"/>
        <v>19.299999999999997</v>
      </c>
      <c r="X1618">
        <f t="shared" si="102"/>
        <v>0.59389514300000013</v>
      </c>
      <c r="Y1618">
        <f t="shared" si="103"/>
        <v>12.399999999999999</v>
      </c>
      <c r="Z1618" s="1">
        <v>1</v>
      </c>
      <c r="AA1618">
        <v>99</v>
      </c>
      <c r="AB1618">
        <v>1.01E-2</v>
      </c>
      <c r="AC1618">
        <v>2</v>
      </c>
      <c r="AD1618">
        <v>99</v>
      </c>
      <c r="AE1618">
        <v>2.0199999999999999E-2</v>
      </c>
      <c r="AF1618" t="s">
        <v>2590</v>
      </c>
      <c r="AG1618" t="s">
        <v>2593</v>
      </c>
    </row>
    <row r="1619" spans="1:33">
      <c r="A1619" s="2" t="s">
        <v>91</v>
      </c>
      <c r="B1619" s="2" t="s">
        <v>55</v>
      </c>
      <c r="C1619" s="1">
        <v>0.37439919700000002</v>
      </c>
      <c r="D1619">
        <v>0.508839347</v>
      </c>
      <c r="E1619">
        <v>0.52701193599999996</v>
      </c>
      <c r="F1619" s="1" t="s">
        <v>92</v>
      </c>
      <c r="G1619" s="1">
        <v>1.911504425</v>
      </c>
      <c r="H1619" s="1">
        <v>24.6</v>
      </c>
      <c r="I1619" s="1">
        <v>33.9</v>
      </c>
      <c r="J1619" s="1">
        <v>0.47008349333333332</v>
      </c>
      <c r="K1619" s="1">
        <v>0.52971861799999997</v>
      </c>
      <c r="L1619" s="1">
        <v>0.62258244500000004</v>
      </c>
      <c r="M1619" s="3">
        <v>0.63939760400000001</v>
      </c>
      <c r="N1619" s="1" t="s">
        <v>56</v>
      </c>
      <c r="O1619" s="1">
        <v>1.0796934869999999</v>
      </c>
      <c r="P1619" s="1">
        <v>55.3</v>
      </c>
      <c r="Q1619" s="1">
        <v>130.5</v>
      </c>
      <c r="R1619" s="1">
        <v>0.59723288899999993</v>
      </c>
      <c r="S1619" s="1">
        <v>0.22291736866879414</v>
      </c>
      <c r="T1619" t="s">
        <v>1766</v>
      </c>
      <c r="U1619" s="1">
        <v>1346</v>
      </c>
      <c r="V1619">
        <f t="shared" si="100"/>
        <v>0.34767167332088422</v>
      </c>
      <c r="W1619" s="1">
        <f t="shared" si="101"/>
        <v>30.699999999999996</v>
      </c>
      <c r="X1619">
        <f t="shared" si="102"/>
        <v>0.83181093800000006</v>
      </c>
      <c r="Y1619">
        <f t="shared" si="103"/>
        <v>96.6</v>
      </c>
      <c r="Z1619" s="1">
        <v>5</v>
      </c>
      <c r="AA1619">
        <v>95</v>
      </c>
      <c r="AB1619">
        <v>5.2600000000000001E-2</v>
      </c>
      <c r="AC1619">
        <v>5</v>
      </c>
      <c r="AD1619">
        <v>88</v>
      </c>
      <c r="AE1619">
        <v>5.6800000000000003E-2</v>
      </c>
      <c r="AF1619" t="s">
        <v>2590</v>
      </c>
      <c r="AG1619" t="s">
        <v>2592</v>
      </c>
    </row>
    <row r="1620" spans="1:33">
      <c r="A1620" s="2" t="s">
        <v>91</v>
      </c>
      <c r="B1620" s="2" t="s">
        <v>57</v>
      </c>
      <c r="C1620" s="1">
        <v>0.37439919700000002</v>
      </c>
      <c r="D1620">
        <v>0.508839347</v>
      </c>
      <c r="E1620">
        <v>0.52701193599999996</v>
      </c>
      <c r="F1620" s="1" t="s">
        <v>92</v>
      </c>
      <c r="G1620" s="1">
        <v>1.911504425</v>
      </c>
      <c r="H1620" s="1">
        <v>24.6</v>
      </c>
      <c r="I1620" s="1">
        <v>33.9</v>
      </c>
      <c r="J1620" s="1">
        <v>0.47008349333333332</v>
      </c>
      <c r="K1620" s="1">
        <v>0.528732855</v>
      </c>
      <c r="L1620" s="1">
        <v>0.63387497599999998</v>
      </c>
      <c r="M1620" s="3">
        <v>0.63337360200000004</v>
      </c>
      <c r="N1620" s="1" t="s">
        <v>58</v>
      </c>
      <c r="O1620" s="1">
        <v>1.386610879</v>
      </c>
      <c r="P1620" s="1">
        <v>69</v>
      </c>
      <c r="Q1620" s="1">
        <v>119.5</v>
      </c>
      <c r="R1620" s="1">
        <v>0.59866047766666663</v>
      </c>
      <c r="S1620" s="1">
        <v>0.22531220673852131</v>
      </c>
      <c r="T1620" t="s">
        <v>1767</v>
      </c>
      <c r="U1620" s="1">
        <v>358</v>
      </c>
      <c r="V1620">
        <f t="shared" si="100"/>
        <v>0.28376478073820827</v>
      </c>
      <c r="W1620" s="1">
        <f t="shared" si="101"/>
        <v>44.4</v>
      </c>
      <c r="X1620">
        <f t="shared" si="102"/>
        <v>0.52489354599999993</v>
      </c>
      <c r="Y1620">
        <f t="shared" si="103"/>
        <v>85.6</v>
      </c>
      <c r="Z1620" s="1">
        <v>4</v>
      </c>
      <c r="AA1620">
        <v>96</v>
      </c>
      <c r="AB1620">
        <v>4.1700000000000001E-2</v>
      </c>
      <c r="AC1620">
        <v>5</v>
      </c>
      <c r="AD1620">
        <v>94</v>
      </c>
      <c r="AE1620">
        <v>5.3199999999999997E-2</v>
      </c>
      <c r="AF1620" t="s">
        <v>2590</v>
      </c>
      <c r="AG1620" t="s">
        <v>2589</v>
      </c>
    </row>
    <row r="1621" spans="1:33">
      <c r="A1621" s="2" t="s">
        <v>91</v>
      </c>
      <c r="B1621" s="2" t="s">
        <v>59</v>
      </c>
      <c r="C1621" s="1">
        <v>0.37439919700000002</v>
      </c>
      <c r="D1621">
        <v>0.508839347</v>
      </c>
      <c r="E1621">
        <v>0.52701193599999996</v>
      </c>
      <c r="F1621" s="1" t="s">
        <v>92</v>
      </c>
      <c r="G1621" s="1">
        <v>1.911504425</v>
      </c>
      <c r="H1621" s="1">
        <v>24.6</v>
      </c>
      <c r="I1621" s="1">
        <v>33.9</v>
      </c>
      <c r="J1621" s="1">
        <v>0.47008349333333332</v>
      </c>
      <c r="K1621" s="1">
        <v>0.56225432799999997</v>
      </c>
      <c r="L1621" s="1">
        <v>0.68100706499999997</v>
      </c>
      <c r="M1621" s="3">
        <v>0.67505263699999996</v>
      </c>
      <c r="N1621" s="1" t="s">
        <v>60</v>
      </c>
      <c r="O1621" s="1">
        <v>1.1501154730000001</v>
      </c>
      <c r="P1621" s="1">
        <v>60.5</v>
      </c>
      <c r="Q1621" s="1">
        <v>129.9</v>
      </c>
      <c r="R1621" s="1">
        <v>0.63943801</v>
      </c>
      <c r="S1621" s="1">
        <v>0.2946986978541406</v>
      </c>
      <c r="T1621" t="s">
        <v>1768</v>
      </c>
      <c r="U1621" s="1">
        <v>1531</v>
      </c>
      <c r="V1621">
        <f t="shared" si="100"/>
        <v>0.35388613229980675</v>
      </c>
      <c r="W1621" s="1">
        <f t="shared" si="101"/>
        <v>35.9</v>
      </c>
      <c r="X1621">
        <f t="shared" si="102"/>
        <v>0.7613889519999999</v>
      </c>
      <c r="Y1621">
        <f t="shared" si="103"/>
        <v>96</v>
      </c>
      <c r="Z1621" s="1">
        <v>4</v>
      </c>
      <c r="AA1621">
        <v>96</v>
      </c>
      <c r="AB1621">
        <v>4.1700000000000001E-2</v>
      </c>
      <c r="AC1621">
        <v>5</v>
      </c>
      <c r="AD1621">
        <v>113</v>
      </c>
      <c r="AE1621">
        <v>4.4200000000000003E-2</v>
      </c>
      <c r="AF1621" t="s">
        <v>2590</v>
      </c>
      <c r="AG1621" t="s">
        <v>2589</v>
      </c>
    </row>
    <row r="1622" spans="1:33">
      <c r="A1622" s="2" t="s">
        <v>91</v>
      </c>
      <c r="B1622" s="2" t="s">
        <v>61</v>
      </c>
      <c r="C1622" s="1">
        <v>0.37439919700000002</v>
      </c>
      <c r="D1622">
        <v>0.508839347</v>
      </c>
      <c r="E1622">
        <v>0.52701193599999996</v>
      </c>
      <c r="F1622" s="1" t="s">
        <v>92</v>
      </c>
      <c r="G1622" s="1">
        <v>1.911504425</v>
      </c>
      <c r="H1622" s="1">
        <v>24.6</v>
      </c>
      <c r="I1622" s="1">
        <v>33.9</v>
      </c>
      <c r="J1622" s="1">
        <v>0.47008349333333332</v>
      </c>
      <c r="K1622" s="1">
        <v>0.62063455999999995</v>
      </c>
      <c r="L1622" s="1">
        <v>0.67798104299999995</v>
      </c>
      <c r="M1622" s="3">
        <v>0.72175371600000005</v>
      </c>
      <c r="N1622" s="1" t="s">
        <v>62</v>
      </c>
      <c r="O1622" s="1">
        <v>7.5471698109999998</v>
      </c>
      <c r="P1622" s="1">
        <v>26.4</v>
      </c>
      <c r="Q1622" s="1">
        <v>10.6</v>
      </c>
      <c r="R1622" s="1">
        <v>0.6734564396666668</v>
      </c>
      <c r="S1622" s="1">
        <v>0.35660219880851346</v>
      </c>
      <c r="T1622" t="s">
        <v>1769</v>
      </c>
      <c r="U1622" s="1">
        <v>2500</v>
      </c>
      <c r="V1622">
        <f t="shared" si="100"/>
        <v>0.37754888985244861</v>
      </c>
      <c r="W1622" s="1">
        <f t="shared" si="101"/>
        <v>1.7999999999999972</v>
      </c>
      <c r="X1622">
        <f t="shared" si="102"/>
        <v>5.6356653859999994</v>
      </c>
      <c r="Y1622">
        <f t="shared" si="103"/>
        <v>23.299999999999997</v>
      </c>
      <c r="Z1622" s="1">
        <v>0</v>
      </c>
      <c r="AA1622">
        <v>100</v>
      </c>
      <c r="AB1622">
        <v>0</v>
      </c>
      <c r="AC1622">
        <v>0</v>
      </c>
      <c r="AD1622">
        <v>93</v>
      </c>
      <c r="AE1622">
        <v>0</v>
      </c>
      <c r="AF1622" t="s">
        <v>2590</v>
      </c>
      <c r="AG1622" t="s">
        <v>2588</v>
      </c>
    </row>
    <row r="1623" spans="1:33">
      <c r="A1623" s="2" t="s">
        <v>91</v>
      </c>
      <c r="B1623" s="2" t="s">
        <v>63</v>
      </c>
      <c r="C1623" s="1">
        <v>0.37439919700000002</v>
      </c>
      <c r="D1623">
        <v>0.508839347</v>
      </c>
      <c r="E1623">
        <v>0.52701193599999996</v>
      </c>
      <c r="F1623" s="1" t="s">
        <v>92</v>
      </c>
      <c r="G1623" s="1">
        <v>1.911504425</v>
      </c>
      <c r="H1623" s="1">
        <v>24.6</v>
      </c>
      <c r="I1623" s="1">
        <v>33.9</v>
      </c>
      <c r="J1623" s="1">
        <v>0.47008349333333332</v>
      </c>
      <c r="K1623" s="1">
        <v>0.44311141399999998</v>
      </c>
      <c r="L1623" s="1">
        <v>0.57053969199999999</v>
      </c>
      <c r="M1623" s="3">
        <v>0.59266330599999995</v>
      </c>
      <c r="N1623" s="1" t="s">
        <v>64</v>
      </c>
      <c r="O1623" s="1">
        <v>0.89618138400000003</v>
      </c>
      <c r="P1623" s="1">
        <v>29.7</v>
      </c>
      <c r="Q1623" s="1">
        <v>83.8</v>
      </c>
      <c r="R1623" s="1">
        <v>0.53543813733333334</v>
      </c>
      <c r="S1623" s="1">
        <v>0.11330667994893773</v>
      </c>
      <c r="T1623" t="s">
        <v>1770</v>
      </c>
      <c r="U1623" s="1">
        <v>42026</v>
      </c>
      <c r="V1623">
        <f t="shared" si="100"/>
        <v>0.51372422846467325</v>
      </c>
      <c r="W1623" s="1">
        <f t="shared" si="101"/>
        <v>5.0999999999999979</v>
      </c>
      <c r="X1623">
        <f t="shared" si="102"/>
        <v>1.0153230409999998</v>
      </c>
      <c r="Y1623">
        <f t="shared" si="103"/>
        <v>49.9</v>
      </c>
      <c r="Z1623" s="1">
        <v>16</v>
      </c>
      <c r="AA1623">
        <v>84</v>
      </c>
      <c r="AB1623">
        <v>0.1905</v>
      </c>
      <c r="AC1623">
        <v>19</v>
      </c>
      <c r="AD1623">
        <v>81</v>
      </c>
      <c r="AE1623">
        <v>0.2346</v>
      </c>
      <c r="AF1623" t="s">
        <v>2590</v>
      </c>
      <c r="AG1623" t="s">
        <v>2590</v>
      </c>
    </row>
    <row r="1624" spans="1:33">
      <c r="A1624" s="2" t="s">
        <v>91</v>
      </c>
      <c r="B1624" s="2" t="s">
        <v>65</v>
      </c>
      <c r="C1624" s="1">
        <v>0.37439919700000002</v>
      </c>
      <c r="D1624">
        <v>0.508839347</v>
      </c>
      <c r="E1624">
        <v>0.52701193599999996</v>
      </c>
      <c r="F1624" s="1" t="s">
        <v>92</v>
      </c>
      <c r="G1624" s="1">
        <v>1.911504425</v>
      </c>
      <c r="H1624" s="1">
        <v>24.6</v>
      </c>
      <c r="I1624" s="1">
        <v>33.9</v>
      </c>
      <c r="J1624" s="1">
        <v>0.47008349333333332</v>
      </c>
      <c r="K1624" s="1">
        <v>0.67377447499999998</v>
      </c>
      <c r="L1624" s="1">
        <v>0.69144672900000004</v>
      </c>
      <c r="M1624" s="3">
        <v>0.73046409700000003</v>
      </c>
      <c r="N1624" s="1" t="s">
        <v>66</v>
      </c>
      <c r="O1624" s="1">
        <v>1.8507462690000001</v>
      </c>
      <c r="P1624" s="1">
        <v>34.5</v>
      </c>
      <c r="Q1624" s="1">
        <v>46.9</v>
      </c>
      <c r="R1624" s="1">
        <v>0.69856176700000006</v>
      </c>
      <c r="S1624" s="1">
        <v>0.4054180494921768</v>
      </c>
      <c r="T1624" t="s">
        <v>1771</v>
      </c>
      <c r="U1624" s="1">
        <v>612</v>
      </c>
      <c r="V1624">
        <f t="shared" si="100"/>
        <v>0.30963904690506239</v>
      </c>
      <c r="W1624" s="1">
        <f t="shared" si="101"/>
        <v>9.8999999999999986</v>
      </c>
      <c r="X1624">
        <f t="shared" si="102"/>
        <v>6.0758155999999897E-2</v>
      </c>
      <c r="Y1624">
        <f t="shared" si="103"/>
        <v>13</v>
      </c>
      <c r="Z1624" s="1">
        <v>0</v>
      </c>
      <c r="AA1624">
        <v>100</v>
      </c>
      <c r="AB1624">
        <v>0</v>
      </c>
      <c r="AC1624">
        <v>0</v>
      </c>
      <c r="AD1624">
        <v>82</v>
      </c>
      <c r="AE1624">
        <v>0</v>
      </c>
      <c r="AF1624" t="s">
        <v>2590</v>
      </c>
      <c r="AG1624" t="s">
        <v>2593</v>
      </c>
    </row>
    <row r="1625" spans="1:33">
      <c r="A1625" s="2" t="s">
        <v>91</v>
      </c>
      <c r="B1625" s="2" t="s">
        <v>67</v>
      </c>
      <c r="C1625" s="1">
        <v>0.37439919700000002</v>
      </c>
      <c r="D1625">
        <v>0.508839347</v>
      </c>
      <c r="E1625">
        <v>0.52701193599999996</v>
      </c>
      <c r="F1625" s="1" t="s">
        <v>92</v>
      </c>
      <c r="G1625" s="1">
        <v>1.911504425</v>
      </c>
      <c r="H1625" s="1">
        <v>24.6</v>
      </c>
      <c r="I1625" s="1">
        <v>33.9</v>
      </c>
      <c r="J1625" s="1">
        <v>0.47008349333333332</v>
      </c>
      <c r="K1625" s="1">
        <v>0.53971122199999999</v>
      </c>
      <c r="L1625" s="1">
        <v>0.621203065</v>
      </c>
      <c r="M1625" s="3">
        <v>0.67806811499999997</v>
      </c>
      <c r="N1625" s="1" t="s">
        <v>68</v>
      </c>
      <c r="O1625" s="1">
        <v>1.5131894480000001</v>
      </c>
      <c r="P1625" s="1">
        <v>27.2</v>
      </c>
      <c r="Q1625" s="1">
        <v>41.7</v>
      </c>
      <c r="R1625" s="1">
        <v>0.61299413400000002</v>
      </c>
      <c r="S1625" s="1">
        <v>0.25054269086617587</v>
      </c>
      <c r="T1625" t="s">
        <v>1772</v>
      </c>
      <c r="U1625" s="1">
        <v>5174</v>
      </c>
      <c r="V1625">
        <f t="shared" si="100"/>
        <v>0.41264738048672495</v>
      </c>
      <c r="W1625" s="1">
        <f t="shared" si="101"/>
        <v>2.5999999999999979</v>
      </c>
      <c r="X1625">
        <f t="shared" si="102"/>
        <v>0.39831497699999985</v>
      </c>
      <c r="Y1625">
        <f t="shared" si="103"/>
        <v>7.8000000000000043</v>
      </c>
      <c r="Z1625" s="1">
        <v>1</v>
      </c>
      <c r="AA1625">
        <v>99</v>
      </c>
      <c r="AB1625">
        <v>1.01E-2</v>
      </c>
      <c r="AC1625">
        <v>2</v>
      </c>
      <c r="AD1625">
        <v>91</v>
      </c>
      <c r="AE1625">
        <v>2.1999999999999999E-2</v>
      </c>
      <c r="AF1625" t="s">
        <v>2590</v>
      </c>
      <c r="AG1625" t="s">
        <v>2588</v>
      </c>
    </row>
    <row r="1626" spans="1:33">
      <c r="A1626" s="2" t="s">
        <v>91</v>
      </c>
      <c r="B1626" s="2" t="s">
        <v>69</v>
      </c>
      <c r="C1626" s="1">
        <v>0.37439919700000002</v>
      </c>
      <c r="D1626">
        <v>0.508839347</v>
      </c>
      <c r="E1626">
        <v>0.52701193599999996</v>
      </c>
      <c r="F1626" s="1" t="s">
        <v>92</v>
      </c>
      <c r="G1626" s="1">
        <v>1.911504425</v>
      </c>
      <c r="H1626" s="1">
        <v>24.6</v>
      </c>
      <c r="I1626" s="1">
        <v>33.9</v>
      </c>
      <c r="J1626" s="1">
        <v>0.47008349333333332</v>
      </c>
      <c r="K1626" s="1">
        <v>0.50188385300000005</v>
      </c>
      <c r="L1626" s="1">
        <v>0.64580031500000001</v>
      </c>
      <c r="M1626" s="3">
        <v>0.66006355800000005</v>
      </c>
      <c r="N1626" s="1" t="s">
        <v>70</v>
      </c>
      <c r="O1626" s="1">
        <v>1.2401055409999999</v>
      </c>
      <c r="P1626" s="1">
        <v>43.4</v>
      </c>
      <c r="Q1626" s="1">
        <v>75.8</v>
      </c>
      <c r="R1626" s="1">
        <v>0.60258257533333337</v>
      </c>
      <c r="S1626" s="1">
        <v>0.22959394240215983</v>
      </c>
      <c r="T1626" t="s">
        <v>1773</v>
      </c>
      <c r="U1626" s="1">
        <v>318</v>
      </c>
      <c r="V1626">
        <f t="shared" si="100"/>
        <v>0.27804745777604806</v>
      </c>
      <c r="W1626" s="1">
        <f t="shared" si="101"/>
        <v>18.799999999999997</v>
      </c>
      <c r="X1626">
        <f t="shared" si="102"/>
        <v>0.67139888400000003</v>
      </c>
      <c r="Y1626">
        <f t="shared" si="103"/>
        <v>41.9</v>
      </c>
      <c r="Z1626" s="1">
        <v>5</v>
      </c>
      <c r="AA1626">
        <v>95</v>
      </c>
      <c r="AB1626">
        <v>5.2600000000000001E-2</v>
      </c>
      <c r="AC1626">
        <v>5</v>
      </c>
      <c r="AD1626">
        <v>95</v>
      </c>
      <c r="AE1626">
        <v>5.2600000000000001E-2</v>
      </c>
      <c r="AF1626" t="s">
        <v>2590</v>
      </c>
      <c r="AG1626" t="s">
        <v>2589</v>
      </c>
    </row>
    <row r="1627" spans="1:33">
      <c r="A1627" s="2" t="s">
        <v>91</v>
      </c>
      <c r="B1627" s="2" t="s">
        <v>71</v>
      </c>
      <c r="C1627" s="1">
        <v>0.37439919700000002</v>
      </c>
      <c r="D1627">
        <v>0.508839347</v>
      </c>
      <c r="E1627">
        <v>0.52701193599999996</v>
      </c>
      <c r="F1627" s="1" t="s">
        <v>92</v>
      </c>
      <c r="G1627" s="1">
        <v>1.911504425</v>
      </c>
      <c r="H1627" s="1">
        <v>24.6</v>
      </c>
      <c r="I1627" s="1">
        <v>33.9</v>
      </c>
      <c r="J1627" s="1">
        <v>0.47008349333333332</v>
      </c>
      <c r="K1627" s="1">
        <v>0.53267569100000001</v>
      </c>
      <c r="L1627" s="1">
        <v>0.64507433599999997</v>
      </c>
      <c r="M1627" s="3">
        <v>0.66598465100000004</v>
      </c>
      <c r="N1627" s="1" t="s">
        <v>72</v>
      </c>
      <c r="O1627" s="1">
        <v>0.97289666900000005</v>
      </c>
      <c r="P1627" s="1">
        <v>64.8</v>
      </c>
      <c r="Q1627" s="1">
        <v>177.1</v>
      </c>
      <c r="R1627" s="1">
        <v>0.61457822600000001</v>
      </c>
      <c r="S1627" s="1">
        <v>0.25084823359002029</v>
      </c>
      <c r="T1627" t="s">
        <v>1774</v>
      </c>
      <c r="U1627" s="1">
        <v>460</v>
      </c>
      <c r="V1627">
        <f t="shared" si="100"/>
        <v>0.29586198129795266</v>
      </c>
      <c r="W1627" s="1">
        <f t="shared" si="101"/>
        <v>40.199999999999996</v>
      </c>
      <c r="X1627">
        <f t="shared" si="102"/>
        <v>0.9386077559999999</v>
      </c>
      <c r="Y1627">
        <f t="shared" si="103"/>
        <v>143.19999999999999</v>
      </c>
      <c r="Z1627" s="1">
        <v>4</v>
      </c>
      <c r="AA1627">
        <v>96</v>
      </c>
      <c r="AB1627">
        <v>4.1700000000000001E-2</v>
      </c>
      <c r="AC1627">
        <v>5</v>
      </c>
      <c r="AD1627">
        <v>106</v>
      </c>
      <c r="AE1627">
        <v>4.7199999999999999E-2</v>
      </c>
      <c r="AF1627" t="s">
        <v>2590</v>
      </c>
      <c r="AG1627" t="s">
        <v>2589</v>
      </c>
    </row>
    <row r="1628" spans="1:33">
      <c r="A1628" s="2" t="s">
        <v>91</v>
      </c>
      <c r="B1628" s="2" t="s">
        <v>73</v>
      </c>
      <c r="C1628" s="1">
        <v>0.37439919700000002</v>
      </c>
      <c r="D1628">
        <v>0.508839347</v>
      </c>
      <c r="E1628">
        <v>0.52701193599999996</v>
      </c>
      <c r="F1628" s="1" t="s">
        <v>92</v>
      </c>
      <c r="G1628" s="1">
        <v>1.911504425</v>
      </c>
      <c r="H1628" s="1">
        <v>24.6</v>
      </c>
      <c r="I1628" s="1">
        <v>33.9</v>
      </c>
      <c r="J1628" s="1">
        <v>0.47008349333333332</v>
      </c>
      <c r="K1628" s="1">
        <v>0.55697925299999995</v>
      </c>
      <c r="L1628" s="1">
        <v>0.64461978399999997</v>
      </c>
      <c r="M1628" s="3">
        <v>0.69570690000000002</v>
      </c>
      <c r="N1628" s="1" t="s">
        <v>74</v>
      </c>
      <c r="O1628" s="1">
        <v>1.23433584</v>
      </c>
      <c r="P1628" s="1">
        <v>44</v>
      </c>
      <c r="Q1628" s="1">
        <v>79.8</v>
      </c>
      <c r="R1628" s="1">
        <v>0.63243531233333328</v>
      </c>
      <c r="S1628" s="1">
        <v>0.28324864483318429</v>
      </c>
      <c r="T1628" t="s">
        <v>1775</v>
      </c>
      <c r="U1628" s="1">
        <v>240</v>
      </c>
      <c r="V1628">
        <f t="shared" si="100"/>
        <v>0.26446791574573397</v>
      </c>
      <c r="W1628" s="1">
        <f t="shared" si="101"/>
        <v>19.399999999999999</v>
      </c>
      <c r="X1628">
        <f t="shared" si="102"/>
        <v>0.67716858499999999</v>
      </c>
      <c r="Y1628">
        <f t="shared" si="103"/>
        <v>45.9</v>
      </c>
      <c r="Z1628" s="1">
        <v>3</v>
      </c>
      <c r="AA1628">
        <v>97</v>
      </c>
      <c r="AB1628">
        <v>3.09E-2</v>
      </c>
      <c r="AC1628">
        <v>4</v>
      </c>
      <c r="AD1628">
        <v>92</v>
      </c>
      <c r="AE1628">
        <v>4.3499999999999997E-2</v>
      </c>
      <c r="AF1628" t="s">
        <v>2590</v>
      </c>
      <c r="AG1628" t="s">
        <v>2589</v>
      </c>
    </row>
    <row r="1629" spans="1:33">
      <c r="A1629" s="2" t="s">
        <v>91</v>
      </c>
      <c r="B1629" s="2" t="s">
        <v>75</v>
      </c>
      <c r="C1629" s="1">
        <v>0.37439919700000002</v>
      </c>
      <c r="D1629">
        <v>0.508839347</v>
      </c>
      <c r="E1629">
        <v>0.52701193599999996</v>
      </c>
      <c r="F1629" s="1" t="s">
        <v>92</v>
      </c>
      <c r="G1629" s="1">
        <v>1.911504425</v>
      </c>
      <c r="H1629" s="1">
        <v>24.6</v>
      </c>
      <c r="I1629" s="1">
        <v>33.9</v>
      </c>
      <c r="J1629" s="1">
        <v>0.47008349333333332</v>
      </c>
      <c r="K1629" s="1">
        <v>0.50354843500000002</v>
      </c>
      <c r="L1629" s="1">
        <v>0.59724402499999996</v>
      </c>
      <c r="M1629" s="3">
        <v>0.70308254199999998</v>
      </c>
      <c r="N1629" s="1" t="s">
        <v>76</v>
      </c>
      <c r="O1629" s="1">
        <v>1.2696850390000001</v>
      </c>
      <c r="P1629" s="1">
        <v>26.6</v>
      </c>
      <c r="Q1629" s="1">
        <v>50.8</v>
      </c>
      <c r="R1629" s="1">
        <v>0.60129166733333339</v>
      </c>
      <c r="S1629" s="1">
        <v>0.23557540420313738</v>
      </c>
      <c r="T1629" t="s">
        <v>1776</v>
      </c>
      <c r="U1629" s="1">
        <v>725</v>
      </c>
      <c r="V1629">
        <f t="shared" si="100"/>
        <v>0.31781533406344376</v>
      </c>
      <c r="W1629" s="1">
        <f t="shared" si="101"/>
        <v>2</v>
      </c>
      <c r="X1629">
        <f t="shared" si="102"/>
        <v>0.64181938599999988</v>
      </c>
      <c r="Y1629">
        <f t="shared" si="103"/>
        <v>16.899999999999999</v>
      </c>
      <c r="Z1629" s="1">
        <v>4</v>
      </c>
      <c r="AA1629">
        <v>96</v>
      </c>
      <c r="AB1629">
        <v>4.1700000000000001E-2</v>
      </c>
      <c r="AC1629">
        <v>4</v>
      </c>
      <c r="AD1629">
        <v>92</v>
      </c>
      <c r="AE1629">
        <v>4.3499999999999997E-2</v>
      </c>
      <c r="AF1629" t="s">
        <v>2590</v>
      </c>
      <c r="AG1629" t="s">
        <v>2594</v>
      </c>
    </row>
    <row r="1630" spans="1:33">
      <c r="A1630" s="2" t="s">
        <v>91</v>
      </c>
      <c r="B1630" s="2" t="s">
        <v>77</v>
      </c>
      <c r="C1630" s="1">
        <v>0.37439919700000002</v>
      </c>
      <c r="D1630">
        <v>0.508839347</v>
      </c>
      <c r="E1630">
        <v>0.52701193599999996</v>
      </c>
      <c r="F1630" s="1" t="s">
        <v>92</v>
      </c>
      <c r="G1630" s="1">
        <v>1.911504425</v>
      </c>
      <c r="H1630" s="1">
        <v>24.6</v>
      </c>
      <c r="I1630" s="1">
        <v>33.9</v>
      </c>
      <c r="J1630" s="1">
        <v>0.47008349333333332</v>
      </c>
      <c r="K1630" s="1">
        <v>0.54630843299999998</v>
      </c>
      <c r="L1630" s="1">
        <v>0.68935555900000001</v>
      </c>
      <c r="M1630" s="3">
        <v>0.65478744899999997</v>
      </c>
      <c r="N1630" s="1" t="s">
        <v>78</v>
      </c>
      <c r="O1630" s="1">
        <v>1.3914285710000001</v>
      </c>
      <c r="P1630" s="1">
        <v>56.5</v>
      </c>
      <c r="Q1630" s="1">
        <v>105</v>
      </c>
      <c r="R1630" s="1">
        <v>0.63015048033333343</v>
      </c>
      <c r="S1630" s="1">
        <v>0.28011688620885711</v>
      </c>
      <c r="T1630" t="s">
        <v>1777</v>
      </c>
      <c r="U1630" s="1">
        <v>6430</v>
      </c>
      <c r="V1630">
        <f t="shared" si="100"/>
        <v>0.42313455254713578</v>
      </c>
      <c r="W1630" s="1">
        <f t="shared" si="101"/>
        <v>31.9</v>
      </c>
      <c r="X1630">
        <f t="shared" si="102"/>
        <v>0.52007585399999989</v>
      </c>
      <c r="Y1630">
        <f t="shared" si="103"/>
        <v>71.099999999999994</v>
      </c>
      <c r="Z1630" s="1">
        <v>3</v>
      </c>
      <c r="AA1630">
        <v>97</v>
      </c>
      <c r="AB1630">
        <v>3.09E-2</v>
      </c>
      <c r="AC1630">
        <v>4</v>
      </c>
      <c r="AD1630">
        <v>81</v>
      </c>
      <c r="AE1630">
        <v>4.9399999999999999E-2</v>
      </c>
      <c r="AF1630" t="s">
        <v>2590</v>
      </c>
      <c r="AG1630" t="s">
        <v>2590</v>
      </c>
    </row>
    <row r="1631" spans="1:33">
      <c r="A1631" s="2" t="s">
        <v>91</v>
      </c>
      <c r="B1631" s="2" t="s">
        <v>79</v>
      </c>
      <c r="C1631" s="1">
        <v>0.37439919700000002</v>
      </c>
      <c r="D1631">
        <v>0.508839347</v>
      </c>
      <c r="E1631">
        <v>0.52701193599999996</v>
      </c>
      <c r="F1631" s="1" t="s">
        <v>92</v>
      </c>
      <c r="G1631" s="1">
        <v>1.911504425</v>
      </c>
      <c r="H1631" s="1">
        <v>24.6</v>
      </c>
      <c r="I1631" s="1">
        <v>33.9</v>
      </c>
      <c r="J1631" s="1">
        <v>0.47008349333333332</v>
      </c>
      <c r="K1631" s="1">
        <v>0.63652882899999996</v>
      </c>
      <c r="L1631" s="1">
        <v>0.77536518600000004</v>
      </c>
      <c r="M1631" s="3">
        <v>0.610415606</v>
      </c>
      <c r="N1631" s="1" t="s">
        <v>80</v>
      </c>
      <c r="O1631" s="1">
        <v>0.95325542600000002</v>
      </c>
      <c r="P1631" s="1">
        <v>45.6</v>
      </c>
      <c r="Q1631" s="1">
        <v>119.8</v>
      </c>
      <c r="R1631" s="1">
        <v>0.67410320700000004</v>
      </c>
      <c r="S1631" s="1">
        <v>0.38301976319320419</v>
      </c>
      <c r="T1631" t="s">
        <v>1778</v>
      </c>
      <c r="U1631" s="1">
        <v>10958</v>
      </c>
      <c r="V1631">
        <f t="shared" si="100"/>
        <v>0.44885903289985457</v>
      </c>
      <c r="W1631" s="1">
        <f t="shared" si="101"/>
        <v>21</v>
      </c>
      <c r="X1631">
        <f t="shared" si="102"/>
        <v>0.95824899899999993</v>
      </c>
      <c r="Y1631">
        <f t="shared" si="103"/>
        <v>85.9</v>
      </c>
      <c r="Z1631" s="1">
        <v>0</v>
      </c>
      <c r="AA1631">
        <v>100</v>
      </c>
      <c r="AB1631">
        <v>0</v>
      </c>
      <c r="AC1631">
        <v>1</v>
      </c>
      <c r="AD1631">
        <v>75</v>
      </c>
      <c r="AE1631">
        <v>1.3299999999999999E-2</v>
      </c>
      <c r="AF1631" t="s">
        <v>2590</v>
      </c>
      <c r="AG1631" t="s">
        <v>2590</v>
      </c>
    </row>
    <row r="1632" spans="1:33">
      <c r="A1632" s="2" t="s">
        <v>91</v>
      </c>
      <c r="B1632" s="2" t="s">
        <v>81</v>
      </c>
      <c r="C1632" s="1">
        <v>0.37439919700000002</v>
      </c>
      <c r="D1632">
        <v>0.508839347</v>
      </c>
      <c r="E1632">
        <v>0.52701193599999996</v>
      </c>
      <c r="F1632" s="1" t="s">
        <v>92</v>
      </c>
      <c r="G1632" s="1">
        <v>1.911504425</v>
      </c>
      <c r="H1632" s="1">
        <v>24.6</v>
      </c>
      <c r="I1632" s="1">
        <v>33.9</v>
      </c>
      <c r="J1632" s="1">
        <v>0.47008349333333332</v>
      </c>
      <c r="K1632" s="1">
        <v>0.50183280699999999</v>
      </c>
      <c r="L1632" s="1">
        <v>0.68550824600000004</v>
      </c>
      <c r="M1632" s="3">
        <v>0.66941488999999998</v>
      </c>
      <c r="N1632" s="1" t="s">
        <v>82</v>
      </c>
      <c r="O1632" s="1">
        <v>1.4359576970000001</v>
      </c>
      <c r="P1632" s="1">
        <v>51</v>
      </c>
      <c r="Q1632" s="1">
        <v>85.1</v>
      </c>
      <c r="R1632" s="1">
        <v>0.61891864766666671</v>
      </c>
      <c r="S1632" s="1">
        <v>0.26024954589668436</v>
      </c>
      <c r="T1632" t="s">
        <v>1779</v>
      </c>
      <c r="U1632" s="1">
        <v>537</v>
      </c>
      <c r="V1632">
        <f t="shared" si="100"/>
        <v>0.30333047618883952</v>
      </c>
      <c r="W1632" s="1">
        <f t="shared" si="101"/>
        <v>26.4</v>
      </c>
      <c r="X1632">
        <f t="shared" si="102"/>
        <v>0.47554672799999986</v>
      </c>
      <c r="Y1632">
        <f t="shared" si="103"/>
        <v>51.199999999999996</v>
      </c>
      <c r="Z1632" s="1">
        <v>0</v>
      </c>
      <c r="AA1632">
        <v>100</v>
      </c>
      <c r="AB1632">
        <v>0</v>
      </c>
      <c r="AC1632">
        <v>0</v>
      </c>
      <c r="AD1632">
        <v>87</v>
      </c>
      <c r="AE1632">
        <v>0</v>
      </c>
      <c r="AF1632" t="s">
        <v>2590</v>
      </c>
      <c r="AG1632" t="s">
        <v>2589</v>
      </c>
    </row>
    <row r="1633" spans="1:33">
      <c r="A1633" s="2" t="s">
        <v>91</v>
      </c>
      <c r="B1633" s="2" t="s">
        <v>83</v>
      </c>
      <c r="C1633" s="1">
        <v>0.37439919700000002</v>
      </c>
      <c r="D1633">
        <v>0.508839347</v>
      </c>
      <c r="E1633">
        <v>0.52701193599999996</v>
      </c>
      <c r="F1633" s="1" t="s">
        <v>92</v>
      </c>
      <c r="G1633" s="1">
        <v>1.911504425</v>
      </c>
      <c r="H1633" s="1">
        <v>24.6</v>
      </c>
      <c r="I1633" s="1">
        <v>33.9</v>
      </c>
      <c r="J1633" s="1">
        <v>0.47008349333333332</v>
      </c>
      <c r="K1633" s="1">
        <v>0.51815179099999997</v>
      </c>
      <c r="L1633" s="1">
        <v>0.50115949400000004</v>
      </c>
      <c r="M1633" s="3">
        <v>0.68053170600000001</v>
      </c>
      <c r="N1633" s="1" t="s">
        <v>84</v>
      </c>
      <c r="O1633" s="1">
        <v>1.760323887</v>
      </c>
      <c r="P1633" s="1">
        <v>83.4</v>
      </c>
      <c r="Q1633" s="1">
        <v>123.5</v>
      </c>
      <c r="R1633" s="1">
        <v>0.56661433033333342</v>
      </c>
      <c r="S1633" s="1">
        <v>0.21045690343793275</v>
      </c>
      <c r="T1633" t="s">
        <v>1780</v>
      </c>
      <c r="U1633" s="1">
        <v>362</v>
      </c>
      <c r="V1633">
        <f t="shared" si="100"/>
        <v>0.28430095228146285</v>
      </c>
      <c r="W1633" s="1">
        <f t="shared" si="101"/>
        <v>58.800000000000004</v>
      </c>
      <c r="X1633">
        <f t="shared" si="102"/>
        <v>0.15118053799999998</v>
      </c>
      <c r="Y1633">
        <f t="shared" si="103"/>
        <v>89.6</v>
      </c>
      <c r="Z1633" s="1">
        <v>2</v>
      </c>
      <c r="AA1633">
        <v>98</v>
      </c>
      <c r="AB1633">
        <v>2.0400000000000001E-2</v>
      </c>
      <c r="AC1633">
        <v>3</v>
      </c>
      <c r="AD1633">
        <v>79</v>
      </c>
      <c r="AE1633">
        <v>3.7999999999999999E-2</v>
      </c>
      <c r="AF1633" t="s">
        <v>2590</v>
      </c>
      <c r="AG1633" t="s">
        <v>2589</v>
      </c>
    </row>
    <row r="1634" spans="1:33">
      <c r="A1634" s="2" t="s">
        <v>91</v>
      </c>
      <c r="B1634" s="2" t="s">
        <v>85</v>
      </c>
      <c r="C1634" s="1">
        <v>0.37439919700000002</v>
      </c>
      <c r="D1634">
        <v>0.508839347</v>
      </c>
      <c r="E1634">
        <v>0.52701193599999996</v>
      </c>
      <c r="F1634" s="1" t="s">
        <v>92</v>
      </c>
      <c r="G1634" s="1">
        <v>1.911504425</v>
      </c>
      <c r="H1634" s="1">
        <v>24.6</v>
      </c>
      <c r="I1634" s="1">
        <v>33.9</v>
      </c>
      <c r="J1634" s="1">
        <v>0.47008349333333332</v>
      </c>
      <c r="K1634" s="1">
        <v>0.522280945</v>
      </c>
      <c r="L1634" s="1">
        <v>0.58016629799999997</v>
      </c>
      <c r="M1634" s="3">
        <v>0.62446713499999995</v>
      </c>
      <c r="N1634" s="1" t="s">
        <v>86</v>
      </c>
      <c r="O1634" s="1">
        <v>0.57177615599999998</v>
      </c>
      <c r="P1634" s="1">
        <v>19.5</v>
      </c>
      <c r="Q1634" s="1">
        <v>82.2</v>
      </c>
      <c r="R1634" s="1">
        <v>0.57563812599999997</v>
      </c>
      <c r="S1634" s="1">
        <v>0.19092946640741834</v>
      </c>
      <c r="T1634" t="s">
        <v>1781</v>
      </c>
      <c r="U1634" s="1">
        <v>1597</v>
      </c>
      <c r="V1634">
        <f t="shared" si="100"/>
        <v>0.35592276845983145</v>
      </c>
      <c r="W1634" s="1">
        <f t="shared" si="101"/>
        <v>5.1000000000000014</v>
      </c>
      <c r="X1634">
        <f t="shared" si="102"/>
        <v>1.3397282690000001</v>
      </c>
      <c r="Y1634">
        <f t="shared" si="103"/>
        <v>48.300000000000004</v>
      </c>
      <c r="Z1634" s="1">
        <v>1</v>
      </c>
      <c r="AA1634">
        <v>99</v>
      </c>
      <c r="AB1634">
        <v>1.01E-2</v>
      </c>
      <c r="AC1634">
        <v>2</v>
      </c>
      <c r="AD1634">
        <v>145</v>
      </c>
      <c r="AE1634">
        <v>1.38E-2</v>
      </c>
      <c r="AF1634" t="s">
        <v>2590</v>
      </c>
      <c r="AG1634" t="s">
        <v>2590</v>
      </c>
    </row>
    <row r="1635" spans="1:33">
      <c r="A1635" s="2" t="s">
        <v>91</v>
      </c>
      <c r="B1635" s="2" t="s">
        <v>87</v>
      </c>
      <c r="C1635" s="1">
        <v>0.37439919700000002</v>
      </c>
      <c r="D1635">
        <v>0.508839347</v>
      </c>
      <c r="E1635">
        <v>0.52701193599999996</v>
      </c>
      <c r="F1635" s="1" t="s">
        <v>92</v>
      </c>
      <c r="G1635" s="1">
        <v>1.911504425</v>
      </c>
      <c r="H1635" s="1">
        <v>24.6</v>
      </c>
      <c r="I1635" s="1">
        <v>33.9</v>
      </c>
      <c r="J1635" s="1">
        <v>0.47008349333333332</v>
      </c>
      <c r="K1635" s="1">
        <v>0.46780425199999998</v>
      </c>
      <c r="L1635" s="1">
        <v>0.54149707400000002</v>
      </c>
      <c r="M1635" s="3">
        <v>0.61626236400000001</v>
      </c>
      <c r="N1635" s="1" t="s">
        <v>88</v>
      </c>
      <c r="O1635" s="1">
        <v>1.395454545</v>
      </c>
      <c r="P1635" s="1">
        <v>65.2</v>
      </c>
      <c r="Q1635" s="1">
        <v>110</v>
      </c>
      <c r="R1635" s="1">
        <v>0.54185456333333337</v>
      </c>
      <c r="S1635" s="1">
        <v>0.13325415689779715</v>
      </c>
      <c r="T1635" t="s">
        <v>1782</v>
      </c>
      <c r="U1635" s="1">
        <v>714</v>
      </c>
      <c r="V1635">
        <f t="shared" si="100"/>
        <v>0.31707757908624162</v>
      </c>
      <c r="W1635" s="1">
        <f t="shared" si="101"/>
        <v>40.6</v>
      </c>
      <c r="X1635">
        <f t="shared" si="102"/>
        <v>0.51604987999999996</v>
      </c>
      <c r="Y1635">
        <f t="shared" si="103"/>
        <v>76.099999999999994</v>
      </c>
      <c r="Z1635" s="1">
        <v>3</v>
      </c>
      <c r="AA1635">
        <v>97</v>
      </c>
      <c r="AB1635">
        <v>3.09E-2</v>
      </c>
      <c r="AC1635">
        <v>4</v>
      </c>
      <c r="AD1635">
        <v>76</v>
      </c>
      <c r="AE1635">
        <v>5.2600000000000001E-2</v>
      </c>
      <c r="AF1635" t="s">
        <v>2590</v>
      </c>
      <c r="AG1635" t="s">
        <v>2590</v>
      </c>
    </row>
    <row r="1636" spans="1:33">
      <c r="A1636" s="2" t="s">
        <v>91</v>
      </c>
      <c r="B1636" s="2" t="s">
        <v>89</v>
      </c>
      <c r="C1636" s="1">
        <v>0.37439919700000002</v>
      </c>
      <c r="D1636">
        <v>0.508839347</v>
      </c>
      <c r="E1636">
        <v>0.52701193599999996</v>
      </c>
      <c r="F1636" s="1" t="s">
        <v>92</v>
      </c>
      <c r="G1636" s="1">
        <v>1.911504425</v>
      </c>
      <c r="H1636" s="1">
        <v>24.6</v>
      </c>
      <c r="I1636" s="1">
        <v>33.9</v>
      </c>
      <c r="J1636" s="1">
        <v>0.47008349333333332</v>
      </c>
      <c r="K1636" s="1">
        <v>0.51097051500000001</v>
      </c>
      <c r="L1636" s="1">
        <v>0.61917891400000002</v>
      </c>
      <c r="M1636" s="3">
        <v>0.60984479800000002</v>
      </c>
      <c r="N1636" s="1" t="s">
        <v>90</v>
      </c>
      <c r="O1636" s="1">
        <v>1.429752066</v>
      </c>
      <c r="P1636" s="1">
        <v>59.8</v>
      </c>
      <c r="Q1636" s="1">
        <v>108.9</v>
      </c>
      <c r="R1636" s="1">
        <v>0.57999807566666661</v>
      </c>
      <c r="S1636" s="1">
        <v>0.19413353129512601</v>
      </c>
      <c r="T1636" t="s">
        <v>1783</v>
      </c>
      <c r="U1636" s="1">
        <v>423</v>
      </c>
      <c r="V1636">
        <f t="shared" si="100"/>
        <v>0.2918155963750047</v>
      </c>
      <c r="W1636" s="1">
        <f t="shared" si="101"/>
        <v>35.199999999999996</v>
      </c>
      <c r="X1636">
        <f t="shared" si="102"/>
        <v>0.48175235899999991</v>
      </c>
      <c r="Y1636">
        <f t="shared" si="103"/>
        <v>75</v>
      </c>
      <c r="Z1636" s="1">
        <v>4</v>
      </c>
      <c r="AA1636">
        <v>96</v>
      </c>
      <c r="AB1636">
        <v>4.1700000000000001E-2</v>
      </c>
      <c r="AC1636">
        <v>5</v>
      </c>
      <c r="AD1636">
        <v>84</v>
      </c>
      <c r="AE1636">
        <v>5.9499999999999997E-2</v>
      </c>
      <c r="AF1636" t="s">
        <v>2590</v>
      </c>
      <c r="AG1636" t="s">
        <v>2589</v>
      </c>
    </row>
    <row r="1637" spans="1:33">
      <c r="A1637" s="2" t="s">
        <v>89</v>
      </c>
      <c r="B1637" s="2" t="s">
        <v>10</v>
      </c>
      <c r="C1637" s="1">
        <v>0.51097051500000001</v>
      </c>
      <c r="D1637">
        <v>0.61917891400000002</v>
      </c>
      <c r="E1637">
        <v>0.60984479800000002</v>
      </c>
      <c r="F1637" s="1" t="s">
        <v>90</v>
      </c>
      <c r="G1637" s="1">
        <v>1.429752066</v>
      </c>
      <c r="H1637" s="1">
        <v>59.8</v>
      </c>
      <c r="I1637" s="1">
        <v>108.9</v>
      </c>
      <c r="J1637" s="1">
        <v>0.57999807566666661</v>
      </c>
      <c r="K1637" s="1">
        <v>0.52456325500000001</v>
      </c>
      <c r="L1637" s="1">
        <v>0.61925627999999999</v>
      </c>
      <c r="M1637" s="3">
        <v>0.72111139899999999</v>
      </c>
      <c r="N1637" s="1" t="s">
        <v>12</v>
      </c>
      <c r="O1637" s="1">
        <v>0.61690647499999995</v>
      </c>
      <c r="P1637" s="1">
        <v>30</v>
      </c>
      <c r="Q1637" s="1">
        <v>111.2</v>
      </c>
      <c r="R1637" s="1">
        <v>0.62164364466666666</v>
      </c>
      <c r="S1637" s="1">
        <v>0.11209382259651399</v>
      </c>
      <c r="T1637" t="s">
        <v>1784</v>
      </c>
      <c r="U1637" s="1">
        <v>9866</v>
      </c>
      <c r="V1637">
        <f t="shared" si="100"/>
        <v>0.44379345679179139</v>
      </c>
      <c r="W1637" s="1">
        <f t="shared" si="101"/>
        <v>29.799999999999997</v>
      </c>
      <c r="X1637">
        <f t="shared" si="102"/>
        <v>0.81284559100000009</v>
      </c>
      <c r="Y1637">
        <f t="shared" si="103"/>
        <v>2.2999999999999972</v>
      </c>
      <c r="Z1637" s="1">
        <v>5</v>
      </c>
      <c r="AA1637">
        <v>95</v>
      </c>
      <c r="AB1637">
        <v>5.2600000000000001E-2</v>
      </c>
      <c r="AC1637">
        <v>7</v>
      </c>
      <c r="AD1637">
        <v>141</v>
      </c>
      <c r="AE1637">
        <v>4.9599999999999998E-2</v>
      </c>
      <c r="AF1637" t="s">
        <v>2589</v>
      </c>
      <c r="AG1637" t="s">
        <v>2588</v>
      </c>
    </row>
    <row r="1638" spans="1:33">
      <c r="A1638" s="2" t="s">
        <v>89</v>
      </c>
      <c r="B1638" s="2" t="s">
        <v>13</v>
      </c>
      <c r="C1638" s="1">
        <v>0.51097051500000001</v>
      </c>
      <c r="D1638">
        <v>0.61917891400000002</v>
      </c>
      <c r="E1638">
        <v>0.60984479800000002</v>
      </c>
      <c r="F1638" s="1" t="s">
        <v>90</v>
      </c>
      <c r="G1638" s="1">
        <v>1.429752066</v>
      </c>
      <c r="H1638" s="1">
        <v>59.8</v>
      </c>
      <c r="I1638" s="1">
        <v>108.9</v>
      </c>
      <c r="J1638" s="1">
        <v>0.57999807566666661</v>
      </c>
      <c r="K1638" s="1">
        <v>0.48695497399999998</v>
      </c>
      <c r="L1638" s="1">
        <v>0.54991327199999995</v>
      </c>
      <c r="M1638" s="3">
        <v>0.67282609299999996</v>
      </c>
      <c r="N1638" s="1" t="s">
        <v>14</v>
      </c>
      <c r="O1638" s="1">
        <v>1.6052009460000001</v>
      </c>
      <c r="P1638" s="1">
        <v>26.6</v>
      </c>
      <c r="Q1638" s="1">
        <v>42.3</v>
      </c>
      <c r="R1638" s="1">
        <v>0.56989811299999993</v>
      </c>
      <c r="S1638" s="1">
        <v>9.6649463997850876E-2</v>
      </c>
      <c r="T1638" t="s">
        <v>1785</v>
      </c>
      <c r="U1638" s="1">
        <v>1155</v>
      </c>
      <c r="V1638">
        <f t="shared" si="100"/>
        <v>0.3402868871364626</v>
      </c>
      <c r="W1638" s="1">
        <f t="shared" si="101"/>
        <v>33.199999999999996</v>
      </c>
      <c r="X1638">
        <f t="shared" si="102"/>
        <v>0.17544888000000003</v>
      </c>
      <c r="Y1638">
        <f t="shared" si="103"/>
        <v>66.600000000000009</v>
      </c>
      <c r="Z1638" s="1">
        <v>1</v>
      </c>
      <c r="AA1638">
        <v>99</v>
      </c>
      <c r="AB1638">
        <v>1.01E-2</v>
      </c>
      <c r="AC1638">
        <v>2</v>
      </c>
      <c r="AD1638">
        <v>93</v>
      </c>
      <c r="AE1638">
        <v>2.1499999999999998E-2</v>
      </c>
      <c r="AF1638" t="s">
        <v>2589</v>
      </c>
      <c r="AG1638" t="s">
        <v>2590</v>
      </c>
    </row>
    <row r="1639" spans="1:33">
      <c r="A1639" s="2" t="s">
        <v>89</v>
      </c>
      <c r="B1639" s="2" t="s">
        <v>15</v>
      </c>
      <c r="C1639" s="1">
        <v>0.51097051500000001</v>
      </c>
      <c r="D1639">
        <v>0.61917891400000002</v>
      </c>
      <c r="E1639">
        <v>0.60984479800000002</v>
      </c>
      <c r="F1639" s="1" t="s">
        <v>90</v>
      </c>
      <c r="G1639" s="1">
        <v>1.429752066</v>
      </c>
      <c r="H1639" s="1">
        <v>59.8</v>
      </c>
      <c r="I1639" s="1">
        <v>108.9</v>
      </c>
      <c r="J1639" s="1">
        <v>0.57999807566666661</v>
      </c>
      <c r="K1639" s="1">
        <v>0.54560998800000005</v>
      </c>
      <c r="L1639" s="1">
        <v>0.66721428400000005</v>
      </c>
      <c r="M1639" s="3">
        <v>0.72650398400000005</v>
      </c>
      <c r="N1639" s="1" t="s">
        <v>16</v>
      </c>
      <c r="O1639" s="1">
        <v>5.1392405060000002</v>
      </c>
      <c r="P1639" s="1">
        <v>35.9</v>
      </c>
      <c r="Q1639" s="1">
        <v>15.8</v>
      </c>
      <c r="R1639" s="1">
        <v>0.64644275200000012</v>
      </c>
      <c r="S1639" s="1">
        <v>0.13083063685137833</v>
      </c>
      <c r="T1639" t="s">
        <v>1786</v>
      </c>
      <c r="U1639" s="1">
        <v>1728</v>
      </c>
      <c r="V1639">
        <f t="shared" si="100"/>
        <v>0.35972708201587494</v>
      </c>
      <c r="W1639" s="1">
        <f t="shared" si="101"/>
        <v>23.9</v>
      </c>
      <c r="X1639">
        <f t="shared" si="102"/>
        <v>3.7094884400000003</v>
      </c>
      <c r="Y1639">
        <f t="shared" si="103"/>
        <v>93.100000000000009</v>
      </c>
      <c r="Z1639" s="1">
        <v>0</v>
      </c>
      <c r="AA1639">
        <v>100</v>
      </c>
      <c r="AB1639">
        <v>0</v>
      </c>
      <c r="AC1639">
        <v>0</v>
      </c>
      <c r="AD1639">
        <v>91</v>
      </c>
      <c r="AE1639">
        <v>0</v>
      </c>
      <c r="AF1639" t="s">
        <v>2589</v>
      </c>
      <c r="AG1639" t="s">
        <v>2591</v>
      </c>
    </row>
    <row r="1640" spans="1:33">
      <c r="A1640" s="2" t="s">
        <v>89</v>
      </c>
      <c r="B1640" s="2" t="s">
        <v>17</v>
      </c>
      <c r="C1640" s="1">
        <v>0.51097051500000001</v>
      </c>
      <c r="D1640">
        <v>0.61917891400000002</v>
      </c>
      <c r="E1640">
        <v>0.60984479800000002</v>
      </c>
      <c r="F1640" s="1" t="s">
        <v>90</v>
      </c>
      <c r="G1640" s="1">
        <v>1.429752066</v>
      </c>
      <c r="H1640" s="1">
        <v>59.8</v>
      </c>
      <c r="I1640" s="1">
        <v>108.9</v>
      </c>
      <c r="J1640" s="1">
        <v>0.57999807566666661</v>
      </c>
      <c r="K1640" s="1">
        <v>0.659112378</v>
      </c>
      <c r="L1640" s="1">
        <v>0.68333493499999998</v>
      </c>
      <c r="M1640" s="3">
        <v>0.70345495199999997</v>
      </c>
      <c r="N1640" s="1" t="s">
        <v>18</v>
      </c>
      <c r="O1640" s="1">
        <v>1.9463955639999999</v>
      </c>
      <c r="P1640" s="1">
        <v>46.3</v>
      </c>
      <c r="Q1640" s="1">
        <v>54.1</v>
      </c>
      <c r="R1640" s="1">
        <v>0.68196742166666668</v>
      </c>
      <c r="S1640" s="1">
        <v>0.18661422115039064</v>
      </c>
      <c r="T1640" t="s">
        <v>1787</v>
      </c>
      <c r="U1640" s="1">
        <v>5045</v>
      </c>
      <c r="V1640">
        <f t="shared" si="100"/>
        <v>0.41142901895254774</v>
      </c>
      <c r="W1640" s="1">
        <f t="shared" si="101"/>
        <v>13.5</v>
      </c>
      <c r="X1640">
        <f t="shared" si="102"/>
        <v>0.51664349799999987</v>
      </c>
      <c r="Y1640">
        <f t="shared" si="103"/>
        <v>54.800000000000004</v>
      </c>
      <c r="Z1640" s="1">
        <v>0</v>
      </c>
      <c r="AA1640">
        <v>100</v>
      </c>
      <c r="AB1640">
        <v>0</v>
      </c>
      <c r="AC1640">
        <v>0</v>
      </c>
      <c r="AD1640">
        <v>105</v>
      </c>
      <c r="AE1640">
        <v>0</v>
      </c>
      <c r="AF1640" t="s">
        <v>2589</v>
      </c>
      <c r="AG1640" t="s">
        <v>2591</v>
      </c>
    </row>
    <row r="1641" spans="1:33">
      <c r="A1641" s="2" t="s">
        <v>89</v>
      </c>
      <c r="B1641" s="2" t="s">
        <v>19</v>
      </c>
      <c r="C1641" s="1">
        <v>0.51097051500000001</v>
      </c>
      <c r="D1641">
        <v>0.61917891400000002</v>
      </c>
      <c r="E1641">
        <v>0.60984479800000002</v>
      </c>
      <c r="F1641" s="1" t="s">
        <v>90</v>
      </c>
      <c r="G1641" s="1">
        <v>1.429752066</v>
      </c>
      <c r="H1641" s="1">
        <v>59.8</v>
      </c>
      <c r="I1641" s="1">
        <v>108.9</v>
      </c>
      <c r="J1641" s="1">
        <v>0.57999807566666661</v>
      </c>
      <c r="K1641" s="1">
        <v>0.49391595300000002</v>
      </c>
      <c r="L1641" s="1">
        <v>0.603599314</v>
      </c>
      <c r="M1641" s="3">
        <v>0.63481471599999995</v>
      </c>
      <c r="N1641" s="1" t="s">
        <v>20</v>
      </c>
      <c r="O1641" s="1">
        <v>1.2140902870000001</v>
      </c>
      <c r="P1641" s="1">
        <v>64.900000000000006</v>
      </c>
      <c r="Q1641" s="1">
        <v>146.19999999999999</v>
      </c>
      <c r="R1641" s="1">
        <v>0.57744332766666662</v>
      </c>
      <c r="S1641" s="1">
        <v>3.4015861389924622E-2</v>
      </c>
      <c r="T1641" t="s">
        <v>1788</v>
      </c>
      <c r="U1641" s="1">
        <v>9552</v>
      </c>
      <c r="V1641">
        <f t="shared" si="100"/>
        <v>0.44223270153169936</v>
      </c>
      <c r="W1641" s="1">
        <f t="shared" si="101"/>
        <v>5.1000000000000085</v>
      </c>
      <c r="X1641">
        <f t="shared" si="102"/>
        <v>0.21566177899999994</v>
      </c>
      <c r="Y1641">
        <f t="shared" si="103"/>
        <v>37.299999999999983</v>
      </c>
      <c r="Z1641" s="1">
        <v>24</v>
      </c>
      <c r="AA1641">
        <v>76</v>
      </c>
      <c r="AB1641">
        <v>0.31580000000000003</v>
      </c>
      <c r="AC1641">
        <v>21</v>
      </c>
      <c r="AD1641">
        <v>64</v>
      </c>
      <c r="AE1641">
        <v>0.3281</v>
      </c>
      <c r="AF1641" t="s">
        <v>2589</v>
      </c>
      <c r="AG1641" t="s">
        <v>2593</v>
      </c>
    </row>
    <row r="1642" spans="1:33">
      <c r="A1642" s="2" t="s">
        <v>89</v>
      </c>
      <c r="B1642" s="2" t="s">
        <v>21</v>
      </c>
      <c r="C1642" s="1">
        <v>0.51097051500000001</v>
      </c>
      <c r="D1642">
        <v>0.61917891400000002</v>
      </c>
      <c r="E1642">
        <v>0.60984479800000002</v>
      </c>
      <c r="F1642" s="1" t="s">
        <v>90</v>
      </c>
      <c r="G1642" s="1">
        <v>1.429752066</v>
      </c>
      <c r="H1642" s="1">
        <v>59.8</v>
      </c>
      <c r="I1642" s="1">
        <v>108.9</v>
      </c>
      <c r="J1642" s="1">
        <v>0.57999807566666661</v>
      </c>
      <c r="K1642" s="1">
        <v>0.53276376800000003</v>
      </c>
      <c r="L1642" s="1">
        <v>0.65428149899999999</v>
      </c>
      <c r="M1642" s="3">
        <v>0.70160154799999996</v>
      </c>
      <c r="N1642" s="1" t="s">
        <v>22</v>
      </c>
      <c r="O1642" s="1">
        <v>1.2440604749999999</v>
      </c>
      <c r="P1642" s="1">
        <v>24.6</v>
      </c>
      <c r="Q1642" s="1">
        <v>46.3</v>
      </c>
      <c r="R1642" s="1">
        <v>0.62954893833333336</v>
      </c>
      <c r="S1642" s="1">
        <v>0.10063020679978116</v>
      </c>
      <c r="T1642" t="s">
        <v>1789</v>
      </c>
      <c r="U1642" s="1">
        <v>29233</v>
      </c>
      <c r="V1642">
        <f t="shared" si="100"/>
        <v>0.49620815406351121</v>
      </c>
      <c r="W1642" s="1">
        <f t="shared" si="101"/>
        <v>35.199999999999996</v>
      </c>
      <c r="X1642">
        <f t="shared" si="102"/>
        <v>0.1856915910000001</v>
      </c>
      <c r="Y1642">
        <f t="shared" si="103"/>
        <v>62.600000000000009</v>
      </c>
      <c r="Z1642" s="1">
        <v>3</v>
      </c>
      <c r="AA1642">
        <v>97</v>
      </c>
      <c r="AB1642">
        <v>3.09E-2</v>
      </c>
      <c r="AC1642">
        <v>4</v>
      </c>
      <c r="AD1642">
        <v>87</v>
      </c>
      <c r="AE1642">
        <v>4.5999999999999999E-2</v>
      </c>
      <c r="AF1642" t="s">
        <v>2589</v>
      </c>
      <c r="AG1642" t="s">
        <v>2589</v>
      </c>
    </row>
    <row r="1643" spans="1:33">
      <c r="A1643" s="2" t="s">
        <v>89</v>
      </c>
      <c r="B1643" s="2" t="s">
        <v>23</v>
      </c>
      <c r="C1643" s="1">
        <v>0.51097051500000001</v>
      </c>
      <c r="D1643">
        <v>0.61917891400000002</v>
      </c>
      <c r="E1643">
        <v>0.60984479800000002</v>
      </c>
      <c r="F1643" s="1" t="s">
        <v>90</v>
      </c>
      <c r="G1643" s="1">
        <v>1.429752066</v>
      </c>
      <c r="H1643" s="1">
        <v>59.8</v>
      </c>
      <c r="I1643" s="1">
        <v>108.9</v>
      </c>
      <c r="J1643" s="1">
        <v>0.57999807566666661</v>
      </c>
      <c r="K1643" s="1">
        <v>0.49415677200000002</v>
      </c>
      <c r="L1643" s="1">
        <v>0.62090818999999997</v>
      </c>
      <c r="M1643" s="3">
        <v>0.63381026900000004</v>
      </c>
      <c r="N1643" s="1" t="s">
        <v>24</v>
      </c>
      <c r="O1643" s="1">
        <v>1.141304348</v>
      </c>
      <c r="P1643" s="1">
        <v>44.4</v>
      </c>
      <c r="Q1643" s="1">
        <v>101.2</v>
      </c>
      <c r="R1643" s="1">
        <v>0.58295841033333329</v>
      </c>
      <c r="S1643" s="1">
        <v>2.9326372933011446E-2</v>
      </c>
      <c r="T1643" t="s">
        <v>1790</v>
      </c>
      <c r="U1643" s="1">
        <v>2295</v>
      </c>
      <c r="V1643">
        <f t="shared" si="100"/>
        <v>0.37342029887480893</v>
      </c>
      <c r="W1643" s="1">
        <f t="shared" si="101"/>
        <v>15.399999999999999</v>
      </c>
      <c r="X1643">
        <f t="shared" si="102"/>
        <v>0.28844771800000002</v>
      </c>
      <c r="Y1643">
        <f t="shared" si="103"/>
        <v>7.7000000000000028</v>
      </c>
      <c r="Z1643" s="1">
        <v>3</v>
      </c>
      <c r="AA1643">
        <v>97</v>
      </c>
      <c r="AB1643">
        <v>3.09E-2</v>
      </c>
      <c r="AC1643">
        <v>6</v>
      </c>
      <c r="AD1643">
        <v>81</v>
      </c>
      <c r="AE1643">
        <v>7.4099999999999999E-2</v>
      </c>
      <c r="AF1643" t="s">
        <v>2589</v>
      </c>
      <c r="AG1643" t="s">
        <v>2590</v>
      </c>
    </row>
    <row r="1644" spans="1:33">
      <c r="A1644" s="2" t="s">
        <v>89</v>
      </c>
      <c r="B1644" s="2" t="s">
        <v>25</v>
      </c>
      <c r="C1644" s="1">
        <v>0.51097051500000001</v>
      </c>
      <c r="D1644">
        <v>0.61917891400000002</v>
      </c>
      <c r="E1644">
        <v>0.60984479800000002</v>
      </c>
      <c r="F1644" s="1" t="s">
        <v>90</v>
      </c>
      <c r="G1644" s="1">
        <v>1.429752066</v>
      </c>
      <c r="H1644" s="1">
        <v>59.8</v>
      </c>
      <c r="I1644" s="1">
        <v>108.9</v>
      </c>
      <c r="J1644" s="1">
        <v>0.57999807566666661</v>
      </c>
      <c r="K1644" s="1">
        <v>0.53959274199999996</v>
      </c>
      <c r="L1644" s="1">
        <v>0.64971567399999997</v>
      </c>
      <c r="M1644" s="3">
        <v>0.65028459999999999</v>
      </c>
      <c r="N1644" s="1" t="s">
        <v>26</v>
      </c>
      <c r="O1644" s="1">
        <v>1.623046875</v>
      </c>
      <c r="P1644" s="1">
        <v>34.700000000000003</v>
      </c>
      <c r="Q1644" s="1">
        <v>51.2</v>
      </c>
      <c r="R1644" s="1">
        <v>0.61319767199999997</v>
      </c>
      <c r="S1644" s="1">
        <v>5.8198824520228273E-2</v>
      </c>
      <c r="T1644" t="s">
        <v>1791</v>
      </c>
      <c r="U1644" s="1">
        <v>3229</v>
      </c>
      <c r="V1644">
        <f t="shared" si="100"/>
        <v>0.38989644944635127</v>
      </c>
      <c r="W1644" s="1">
        <f t="shared" si="101"/>
        <v>25.099999999999994</v>
      </c>
      <c r="X1644">
        <f t="shared" si="102"/>
        <v>0.19329480899999996</v>
      </c>
      <c r="Y1644">
        <f t="shared" si="103"/>
        <v>57.7</v>
      </c>
      <c r="Z1644" s="1">
        <v>0</v>
      </c>
      <c r="AA1644">
        <v>100</v>
      </c>
      <c r="AB1644">
        <v>0</v>
      </c>
      <c r="AC1644">
        <v>0</v>
      </c>
      <c r="AD1644">
        <v>89</v>
      </c>
      <c r="AE1644">
        <v>0</v>
      </c>
      <c r="AF1644" t="s">
        <v>2589</v>
      </c>
      <c r="AG1644" t="s">
        <v>2594</v>
      </c>
    </row>
    <row r="1645" spans="1:33">
      <c r="A1645" s="2" t="s">
        <v>89</v>
      </c>
      <c r="B1645" s="2" t="s">
        <v>27</v>
      </c>
      <c r="C1645" s="1">
        <v>0.51097051500000001</v>
      </c>
      <c r="D1645">
        <v>0.61917891400000002</v>
      </c>
      <c r="E1645">
        <v>0.60984479800000002</v>
      </c>
      <c r="F1645" s="1" t="s">
        <v>90</v>
      </c>
      <c r="G1645" s="1">
        <v>1.429752066</v>
      </c>
      <c r="H1645" s="1">
        <v>59.8</v>
      </c>
      <c r="I1645" s="1">
        <v>108.9</v>
      </c>
      <c r="J1645" s="1">
        <v>0.57999807566666661</v>
      </c>
      <c r="K1645" s="1">
        <v>0.518608662</v>
      </c>
      <c r="L1645" s="1">
        <v>0.64320369700000002</v>
      </c>
      <c r="M1645" s="3">
        <v>0.62228994199999998</v>
      </c>
      <c r="N1645" s="1" t="s">
        <v>28</v>
      </c>
      <c r="O1645" s="1">
        <v>1.8717391299999999</v>
      </c>
      <c r="P1645" s="1">
        <v>33.700000000000003</v>
      </c>
      <c r="Q1645" s="1">
        <v>46</v>
      </c>
      <c r="R1645" s="1">
        <v>0.59470076699999996</v>
      </c>
      <c r="S1645" s="1">
        <v>2.8114286350029102E-2</v>
      </c>
      <c r="T1645" t="s">
        <v>1792</v>
      </c>
      <c r="U1645" s="1">
        <v>2084</v>
      </c>
      <c r="V1645">
        <f t="shared" si="100"/>
        <v>0.36876641273638744</v>
      </c>
      <c r="W1645" s="1">
        <f t="shared" si="101"/>
        <v>26.099999999999994</v>
      </c>
      <c r="X1645">
        <f t="shared" si="102"/>
        <v>0.44198706399999987</v>
      </c>
      <c r="Y1645">
        <f t="shared" si="103"/>
        <v>62.900000000000006</v>
      </c>
      <c r="Z1645" s="1">
        <v>2</v>
      </c>
      <c r="AA1645">
        <v>98</v>
      </c>
      <c r="AB1645">
        <v>2.0400000000000001E-2</v>
      </c>
      <c r="AC1645">
        <v>3</v>
      </c>
      <c r="AD1645">
        <v>93</v>
      </c>
      <c r="AE1645">
        <v>3.2300000000000002E-2</v>
      </c>
      <c r="AF1645" t="s">
        <v>2589</v>
      </c>
      <c r="AG1645" t="s">
        <v>2590</v>
      </c>
    </row>
    <row r="1646" spans="1:33">
      <c r="A1646" s="2" t="s">
        <v>89</v>
      </c>
      <c r="B1646" s="2" t="s">
        <v>29</v>
      </c>
      <c r="C1646" s="1">
        <v>0.51097051500000001</v>
      </c>
      <c r="D1646">
        <v>0.61917891400000002</v>
      </c>
      <c r="E1646">
        <v>0.60984479800000002</v>
      </c>
      <c r="F1646" s="1" t="s">
        <v>90</v>
      </c>
      <c r="G1646" s="1">
        <v>1.429752066</v>
      </c>
      <c r="H1646" s="1">
        <v>59.8</v>
      </c>
      <c r="I1646" s="1">
        <v>108.9</v>
      </c>
      <c r="J1646" s="1">
        <v>0.57999807566666661</v>
      </c>
      <c r="K1646" s="1">
        <v>0.59351545100000003</v>
      </c>
      <c r="L1646" s="1">
        <v>0.68136602400000001</v>
      </c>
      <c r="M1646" s="3">
        <v>0.73518087600000004</v>
      </c>
      <c r="N1646" s="1" t="s">
        <v>30</v>
      </c>
      <c r="O1646" s="1">
        <v>2.849112426</v>
      </c>
      <c r="P1646" s="1">
        <v>37.9</v>
      </c>
      <c r="Q1646" s="1">
        <v>33.799999999999997</v>
      </c>
      <c r="R1646" s="1">
        <v>0.67002078366666673</v>
      </c>
      <c r="S1646" s="1">
        <v>0.16245010174763908</v>
      </c>
      <c r="T1646" t="s">
        <v>1793</v>
      </c>
      <c r="U1646" s="1">
        <v>5677</v>
      </c>
      <c r="V1646">
        <f t="shared" si="100"/>
        <v>0.41712432158060142</v>
      </c>
      <c r="W1646" s="1">
        <f t="shared" si="101"/>
        <v>21.9</v>
      </c>
      <c r="X1646">
        <f t="shared" si="102"/>
        <v>1.41936036</v>
      </c>
      <c r="Y1646">
        <f t="shared" si="103"/>
        <v>75.100000000000009</v>
      </c>
      <c r="Z1646" s="1">
        <v>0</v>
      </c>
      <c r="AA1646">
        <v>100</v>
      </c>
      <c r="AB1646">
        <v>0</v>
      </c>
      <c r="AC1646">
        <v>0</v>
      </c>
      <c r="AD1646">
        <v>85</v>
      </c>
      <c r="AE1646">
        <v>0</v>
      </c>
      <c r="AF1646" t="s">
        <v>2589</v>
      </c>
      <c r="AG1646" t="s">
        <v>2593</v>
      </c>
    </row>
    <row r="1647" spans="1:33">
      <c r="A1647" s="2" t="s">
        <v>89</v>
      </c>
      <c r="B1647" s="2" t="s">
        <v>31</v>
      </c>
      <c r="C1647" s="1">
        <v>0.51097051500000001</v>
      </c>
      <c r="D1647">
        <v>0.61917891400000002</v>
      </c>
      <c r="E1647">
        <v>0.60984479800000002</v>
      </c>
      <c r="F1647" s="1" t="s">
        <v>90</v>
      </c>
      <c r="G1647" s="1">
        <v>1.429752066</v>
      </c>
      <c r="H1647" s="1">
        <v>59.8</v>
      </c>
      <c r="I1647" s="1">
        <v>108.9</v>
      </c>
      <c r="J1647" s="1">
        <v>0.57999807566666661</v>
      </c>
      <c r="K1647" s="1">
        <v>0.47727961800000002</v>
      </c>
      <c r="L1647" s="1">
        <v>0.66941086400000005</v>
      </c>
      <c r="M1647" s="3">
        <v>0.69294815300000001</v>
      </c>
      <c r="N1647" s="1" t="s">
        <v>32</v>
      </c>
      <c r="O1647" s="1">
        <v>1.341891892</v>
      </c>
      <c r="P1647" s="1">
        <v>42.1</v>
      </c>
      <c r="Q1647" s="1">
        <v>74</v>
      </c>
      <c r="R1647" s="1">
        <v>0.61321287833333338</v>
      </c>
      <c r="S1647" s="1">
        <v>0.10278371930283089</v>
      </c>
      <c r="T1647" t="s">
        <v>1794</v>
      </c>
      <c r="U1647" s="1">
        <v>28590</v>
      </c>
      <c r="V1647">
        <f t="shared" si="100"/>
        <v>0.49513490615088762</v>
      </c>
      <c r="W1647" s="1">
        <f t="shared" si="101"/>
        <v>17.699999999999996</v>
      </c>
      <c r="X1647">
        <f t="shared" si="102"/>
        <v>8.7860174000000013E-2</v>
      </c>
      <c r="Y1647">
        <f t="shared" si="103"/>
        <v>34.900000000000006</v>
      </c>
      <c r="Z1647" s="1">
        <v>11</v>
      </c>
      <c r="AA1647">
        <v>89</v>
      </c>
      <c r="AB1647">
        <v>0.1236</v>
      </c>
      <c r="AC1647">
        <v>13</v>
      </c>
      <c r="AD1647">
        <v>80</v>
      </c>
      <c r="AE1647">
        <v>0.16250000000000001</v>
      </c>
      <c r="AF1647" t="s">
        <v>2589</v>
      </c>
      <c r="AG1647" t="s">
        <v>2589</v>
      </c>
    </row>
    <row r="1648" spans="1:33">
      <c r="A1648" s="2" t="s">
        <v>89</v>
      </c>
      <c r="B1648" s="2" t="s">
        <v>33</v>
      </c>
      <c r="C1648" s="1">
        <v>0.51097051500000001</v>
      </c>
      <c r="D1648">
        <v>0.61917891400000002</v>
      </c>
      <c r="E1648">
        <v>0.60984479800000002</v>
      </c>
      <c r="F1648" s="1" t="s">
        <v>90</v>
      </c>
      <c r="G1648" s="1">
        <v>1.429752066</v>
      </c>
      <c r="H1648" s="1">
        <v>59.8</v>
      </c>
      <c r="I1648" s="1">
        <v>108.9</v>
      </c>
      <c r="J1648" s="1">
        <v>0.57999807566666661</v>
      </c>
      <c r="K1648" s="1">
        <v>0.51347926600000005</v>
      </c>
      <c r="L1648" s="1">
        <v>0.63144379399999995</v>
      </c>
      <c r="M1648" s="3">
        <v>0.64189093500000005</v>
      </c>
      <c r="N1648" s="1" t="s">
        <v>34</v>
      </c>
      <c r="O1648" s="1">
        <v>2.3123667380000001</v>
      </c>
      <c r="P1648" s="1">
        <v>79.099999999999994</v>
      </c>
      <c r="Q1648" s="1">
        <v>93.8</v>
      </c>
      <c r="R1648" s="1">
        <v>0.59560466500000009</v>
      </c>
      <c r="S1648" s="1">
        <v>3.4404592856436628E-2</v>
      </c>
      <c r="T1648" t="s">
        <v>1795</v>
      </c>
      <c r="U1648" s="1">
        <v>14079</v>
      </c>
      <c r="V1648">
        <f t="shared" si="100"/>
        <v>0.46095242321468416</v>
      </c>
      <c r="W1648" s="1">
        <f t="shared" si="101"/>
        <v>19.299999999999997</v>
      </c>
      <c r="X1648">
        <f t="shared" si="102"/>
        <v>0.8826146720000001</v>
      </c>
      <c r="Y1648">
        <f t="shared" si="103"/>
        <v>15.100000000000009</v>
      </c>
      <c r="Z1648" s="1">
        <v>15</v>
      </c>
      <c r="AA1648">
        <v>85</v>
      </c>
      <c r="AB1648">
        <v>0.17649999999999999</v>
      </c>
      <c r="AC1648">
        <v>16</v>
      </c>
      <c r="AD1648">
        <v>71</v>
      </c>
      <c r="AE1648">
        <v>0.22539999999999999</v>
      </c>
      <c r="AF1648" t="s">
        <v>2589</v>
      </c>
      <c r="AG1648" t="s">
        <v>2590</v>
      </c>
    </row>
    <row r="1649" spans="1:33">
      <c r="A1649" s="2" t="s">
        <v>89</v>
      </c>
      <c r="B1649" s="2" t="s">
        <v>35</v>
      </c>
      <c r="C1649" s="1">
        <v>0.51097051500000001</v>
      </c>
      <c r="D1649">
        <v>0.61917891400000002</v>
      </c>
      <c r="E1649">
        <v>0.60984479800000002</v>
      </c>
      <c r="F1649" s="1" t="s">
        <v>90</v>
      </c>
      <c r="G1649" s="1">
        <v>1.429752066</v>
      </c>
      <c r="H1649" s="1">
        <v>59.8</v>
      </c>
      <c r="I1649" s="1">
        <v>108.9</v>
      </c>
      <c r="J1649" s="1">
        <v>0.57999807566666661</v>
      </c>
      <c r="K1649" s="1">
        <v>0.52542897600000005</v>
      </c>
      <c r="L1649" s="1">
        <v>0.60774736299999998</v>
      </c>
      <c r="M1649" s="3">
        <v>0.62585751700000003</v>
      </c>
      <c r="N1649" s="1" t="s">
        <v>36</v>
      </c>
      <c r="O1649" s="1">
        <v>0.98848810399999998</v>
      </c>
      <c r="P1649" s="1">
        <v>54.2</v>
      </c>
      <c r="Q1649" s="1">
        <v>130.30000000000001</v>
      </c>
      <c r="R1649" s="1">
        <v>0.58634461866666665</v>
      </c>
      <c r="S1649" s="1">
        <v>2.4415868252574701E-2</v>
      </c>
      <c r="T1649" t="s">
        <v>1796</v>
      </c>
      <c r="U1649" s="1">
        <v>16585</v>
      </c>
      <c r="V1649">
        <f t="shared" si="100"/>
        <v>0.4688572750950557</v>
      </c>
      <c r="W1649" s="1">
        <f t="shared" si="101"/>
        <v>5.5999999999999943</v>
      </c>
      <c r="X1649">
        <f t="shared" si="102"/>
        <v>0.44126396200000007</v>
      </c>
      <c r="Y1649">
        <f t="shared" si="103"/>
        <v>21.400000000000006</v>
      </c>
      <c r="Z1649" s="1">
        <v>14</v>
      </c>
      <c r="AA1649">
        <v>86</v>
      </c>
      <c r="AB1649">
        <v>0.1628</v>
      </c>
      <c r="AC1649">
        <v>16</v>
      </c>
      <c r="AD1649">
        <v>70</v>
      </c>
      <c r="AE1649">
        <v>0.2286</v>
      </c>
      <c r="AF1649" t="s">
        <v>2589</v>
      </c>
      <c r="AG1649" t="s">
        <v>2589</v>
      </c>
    </row>
    <row r="1650" spans="1:33">
      <c r="A1650" s="2" t="s">
        <v>89</v>
      </c>
      <c r="B1650" s="2" t="s">
        <v>37</v>
      </c>
      <c r="C1650" s="1">
        <v>0.51097051500000001</v>
      </c>
      <c r="D1650">
        <v>0.61917891400000002</v>
      </c>
      <c r="E1650">
        <v>0.60984479800000002</v>
      </c>
      <c r="F1650" s="1" t="s">
        <v>90</v>
      </c>
      <c r="G1650" s="1">
        <v>1.429752066</v>
      </c>
      <c r="H1650" s="1">
        <v>59.8</v>
      </c>
      <c r="I1650" s="1">
        <v>108.9</v>
      </c>
      <c r="J1650" s="1">
        <v>0.57999807566666661</v>
      </c>
      <c r="K1650" s="1">
        <v>0.50856695500000004</v>
      </c>
      <c r="L1650" s="1">
        <v>0.654733224</v>
      </c>
      <c r="M1650" s="3">
        <v>0.61418267199999999</v>
      </c>
      <c r="N1650" s="1" t="s">
        <v>38</v>
      </c>
      <c r="O1650" s="1">
        <v>0.64065708399999999</v>
      </c>
      <c r="P1650" s="1">
        <v>41.9</v>
      </c>
      <c r="Q1650" s="1">
        <v>146.1</v>
      </c>
      <c r="R1650" s="1">
        <v>0.59249428366666679</v>
      </c>
      <c r="S1650" s="1">
        <v>3.5898512658459461E-2</v>
      </c>
      <c r="T1650" t="s">
        <v>1797</v>
      </c>
      <c r="U1650" s="1">
        <v>8335</v>
      </c>
      <c r="V1650">
        <f t="shared" si="100"/>
        <v>0.43565617824044711</v>
      </c>
      <c r="W1650" s="1">
        <f t="shared" si="101"/>
        <v>17.899999999999999</v>
      </c>
      <c r="X1650">
        <f t="shared" si="102"/>
        <v>0.78909498200000006</v>
      </c>
      <c r="Y1650">
        <f t="shared" si="103"/>
        <v>37.199999999999989</v>
      </c>
      <c r="Z1650" s="1">
        <v>10</v>
      </c>
      <c r="AA1650">
        <v>90</v>
      </c>
      <c r="AB1650">
        <v>0.1111</v>
      </c>
      <c r="AC1650">
        <v>11</v>
      </c>
      <c r="AD1650">
        <v>74</v>
      </c>
      <c r="AE1650">
        <v>0.14860000000000001</v>
      </c>
      <c r="AF1650" t="s">
        <v>2589</v>
      </c>
      <c r="AG1650" t="s">
        <v>2590</v>
      </c>
    </row>
    <row r="1651" spans="1:33">
      <c r="A1651" s="2" t="s">
        <v>89</v>
      </c>
      <c r="B1651" s="2" t="s">
        <v>39</v>
      </c>
      <c r="C1651" s="1">
        <v>0.51097051500000001</v>
      </c>
      <c r="D1651">
        <v>0.61917891400000002</v>
      </c>
      <c r="E1651">
        <v>0.60984479800000002</v>
      </c>
      <c r="F1651" s="1" t="s">
        <v>90</v>
      </c>
      <c r="G1651" s="1">
        <v>1.429752066</v>
      </c>
      <c r="H1651" s="1">
        <v>59.8</v>
      </c>
      <c r="I1651" s="1">
        <v>108.9</v>
      </c>
      <c r="J1651" s="1">
        <v>0.57999807566666661</v>
      </c>
      <c r="K1651" s="1">
        <v>0.60811616199999996</v>
      </c>
      <c r="L1651" s="1">
        <v>0.721105683</v>
      </c>
      <c r="M1651" s="3">
        <v>0.741016169</v>
      </c>
      <c r="N1651" s="1" t="s">
        <v>40</v>
      </c>
      <c r="O1651" s="1">
        <v>1.0601915180000001</v>
      </c>
      <c r="P1651" s="1">
        <v>34</v>
      </c>
      <c r="Q1651" s="1">
        <v>73.099999999999994</v>
      </c>
      <c r="R1651" s="1">
        <v>0.69007933799999999</v>
      </c>
      <c r="S1651" s="1">
        <v>0.1924377082067015</v>
      </c>
      <c r="T1651" t="s">
        <v>1798</v>
      </c>
      <c r="U1651" s="1">
        <v>73377</v>
      </c>
      <c r="V1651">
        <f t="shared" si="100"/>
        <v>0.54061777241815057</v>
      </c>
      <c r="W1651" s="1">
        <f t="shared" si="101"/>
        <v>25.799999999999997</v>
      </c>
      <c r="X1651">
        <f t="shared" si="102"/>
        <v>0.36956054799999993</v>
      </c>
      <c r="Y1651">
        <f t="shared" si="103"/>
        <v>35.800000000000011</v>
      </c>
      <c r="Z1651" s="1">
        <v>4</v>
      </c>
      <c r="AA1651">
        <v>96</v>
      </c>
      <c r="AB1651">
        <v>4.1700000000000001E-2</v>
      </c>
      <c r="AC1651">
        <v>6</v>
      </c>
      <c r="AD1651">
        <v>82</v>
      </c>
      <c r="AE1651">
        <v>7.3200000000000001E-2</v>
      </c>
      <c r="AF1651" t="s">
        <v>2589</v>
      </c>
      <c r="AG1651" t="s">
        <v>2589</v>
      </c>
    </row>
    <row r="1652" spans="1:33">
      <c r="A1652" s="2" t="s">
        <v>89</v>
      </c>
      <c r="B1652" s="2" t="s">
        <v>41</v>
      </c>
      <c r="C1652" s="1">
        <v>0.51097051500000001</v>
      </c>
      <c r="D1652">
        <v>0.61917891400000002</v>
      </c>
      <c r="E1652">
        <v>0.60984479800000002</v>
      </c>
      <c r="F1652" s="1" t="s">
        <v>90</v>
      </c>
      <c r="G1652" s="1">
        <v>1.429752066</v>
      </c>
      <c r="H1652" s="1">
        <v>59.8</v>
      </c>
      <c r="I1652" s="1">
        <v>108.9</v>
      </c>
      <c r="J1652" s="1">
        <v>0.57999807566666661</v>
      </c>
      <c r="K1652" s="1">
        <v>0.60402244999999999</v>
      </c>
      <c r="L1652" s="1">
        <v>0.669189213</v>
      </c>
      <c r="M1652" s="3">
        <v>0.69821693799999995</v>
      </c>
      <c r="N1652" s="1" t="s">
        <v>42</v>
      </c>
      <c r="O1652" s="1">
        <v>1.3243902439999999</v>
      </c>
      <c r="P1652" s="1">
        <v>23</v>
      </c>
      <c r="Q1652" s="1">
        <v>41</v>
      </c>
      <c r="R1652" s="1">
        <v>0.65714286700000002</v>
      </c>
      <c r="S1652" s="1">
        <v>0.13772918260664008</v>
      </c>
      <c r="T1652" t="s">
        <v>1799</v>
      </c>
      <c r="U1652" s="1">
        <v>5863</v>
      </c>
      <c r="V1652">
        <f t="shared" si="100"/>
        <v>0.41867998824275526</v>
      </c>
      <c r="W1652" s="1">
        <f t="shared" si="101"/>
        <v>36.799999999999997</v>
      </c>
      <c r="X1652">
        <f t="shared" si="102"/>
        <v>0.1053618220000001</v>
      </c>
      <c r="Y1652">
        <f t="shared" si="103"/>
        <v>67.900000000000006</v>
      </c>
      <c r="Z1652" s="1">
        <v>0</v>
      </c>
      <c r="AA1652">
        <v>100</v>
      </c>
      <c r="AB1652">
        <v>0</v>
      </c>
      <c r="AC1652">
        <v>0</v>
      </c>
      <c r="AD1652">
        <v>102</v>
      </c>
      <c r="AE1652">
        <v>0</v>
      </c>
      <c r="AF1652" t="s">
        <v>2589</v>
      </c>
      <c r="AG1652" t="s">
        <v>2591</v>
      </c>
    </row>
    <row r="1653" spans="1:33">
      <c r="A1653" s="2" t="s">
        <v>89</v>
      </c>
      <c r="B1653" s="2" t="s">
        <v>43</v>
      </c>
      <c r="C1653" s="1">
        <v>0.51097051500000001</v>
      </c>
      <c r="D1653">
        <v>0.61917891400000002</v>
      </c>
      <c r="E1653">
        <v>0.60984479800000002</v>
      </c>
      <c r="F1653" s="1" t="s">
        <v>90</v>
      </c>
      <c r="G1653" s="1">
        <v>1.429752066</v>
      </c>
      <c r="H1653" s="1">
        <v>59.8</v>
      </c>
      <c r="I1653" s="1">
        <v>108.9</v>
      </c>
      <c r="J1653" s="1">
        <v>0.57999807566666661</v>
      </c>
      <c r="K1653" s="1">
        <v>0.54180634699999997</v>
      </c>
      <c r="L1653" s="1">
        <v>0.59470779900000004</v>
      </c>
      <c r="M1653" s="3">
        <v>0.69518155599999998</v>
      </c>
      <c r="N1653" s="1" t="s">
        <v>44</v>
      </c>
      <c r="O1653" s="1">
        <v>1.7403685090000001</v>
      </c>
      <c r="P1653" s="1">
        <v>41.2</v>
      </c>
      <c r="Q1653" s="1">
        <v>59.7</v>
      </c>
      <c r="R1653" s="1">
        <v>0.61056523400000007</v>
      </c>
      <c r="S1653" s="1">
        <v>9.3978967170457894E-2</v>
      </c>
      <c r="T1653" t="s">
        <v>1800</v>
      </c>
      <c r="U1653" s="1">
        <v>32756</v>
      </c>
      <c r="V1653">
        <f t="shared" si="100"/>
        <v>0.50169898471572472</v>
      </c>
      <c r="W1653" s="1">
        <f t="shared" si="101"/>
        <v>18.599999999999994</v>
      </c>
      <c r="X1653">
        <f t="shared" si="102"/>
        <v>0.31061644300000002</v>
      </c>
      <c r="Y1653">
        <f t="shared" si="103"/>
        <v>49.2</v>
      </c>
      <c r="Z1653" s="1">
        <v>11</v>
      </c>
      <c r="AA1653">
        <v>89</v>
      </c>
      <c r="AB1653">
        <v>0.1236</v>
      </c>
      <c r="AC1653">
        <v>13</v>
      </c>
      <c r="AD1653">
        <v>111</v>
      </c>
      <c r="AE1653">
        <v>0.1171</v>
      </c>
      <c r="AF1653" t="s">
        <v>2589</v>
      </c>
      <c r="AG1653" t="s">
        <v>2589</v>
      </c>
    </row>
    <row r="1654" spans="1:33">
      <c r="A1654" s="2" t="s">
        <v>89</v>
      </c>
      <c r="B1654" s="2" t="s">
        <v>45</v>
      </c>
      <c r="C1654" s="1">
        <v>0.51097051500000001</v>
      </c>
      <c r="D1654">
        <v>0.61917891400000002</v>
      </c>
      <c r="E1654">
        <v>0.60984479800000002</v>
      </c>
      <c r="F1654" s="1" t="s">
        <v>90</v>
      </c>
      <c r="G1654" s="1">
        <v>1.429752066</v>
      </c>
      <c r="H1654" s="1">
        <v>59.8</v>
      </c>
      <c r="I1654" s="1">
        <v>108.9</v>
      </c>
      <c r="J1654" s="1">
        <v>0.57999807566666661</v>
      </c>
      <c r="K1654" s="1">
        <v>0.50907007599999998</v>
      </c>
      <c r="L1654" s="1">
        <v>0.68428041399999995</v>
      </c>
      <c r="M1654" s="3">
        <v>0.67454742099999998</v>
      </c>
      <c r="N1654" s="1" t="s">
        <v>46</v>
      </c>
      <c r="O1654" s="1">
        <v>0.98140043799999999</v>
      </c>
      <c r="P1654" s="1">
        <v>38.9</v>
      </c>
      <c r="Q1654" s="1">
        <v>91.4</v>
      </c>
      <c r="R1654" s="1">
        <v>0.62263263699999993</v>
      </c>
      <c r="S1654" s="1">
        <v>9.1805481283651222E-2</v>
      </c>
      <c r="T1654" t="s">
        <v>1801</v>
      </c>
      <c r="U1654" s="1">
        <v>43596</v>
      </c>
      <c r="V1654">
        <f t="shared" si="100"/>
        <v>0.51549407154559335</v>
      </c>
      <c r="W1654" s="1">
        <f t="shared" si="101"/>
        <v>20.9</v>
      </c>
      <c r="X1654">
        <f t="shared" si="102"/>
        <v>0.44835162800000006</v>
      </c>
      <c r="Y1654">
        <f t="shared" si="103"/>
        <v>17.5</v>
      </c>
      <c r="Z1654" s="1">
        <v>13</v>
      </c>
      <c r="AA1654">
        <v>87</v>
      </c>
      <c r="AB1654">
        <v>0.14940000000000001</v>
      </c>
      <c r="AC1654">
        <v>16</v>
      </c>
      <c r="AD1654">
        <v>88</v>
      </c>
      <c r="AE1654">
        <v>0.18179999999999999</v>
      </c>
      <c r="AF1654" t="s">
        <v>2589</v>
      </c>
      <c r="AG1654" t="s">
        <v>2589</v>
      </c>
    </row>
    <row r="1655" spans="1:33">
      <c r="A1655" s="2" t="s">
        <v>89</v>
      </c>
      <c r="B1655" s="2" t="s">
        <v>47</v>
      </c>
      <c r="C1655" s="1">
        <v>0.51097051500000001</v>
      </c>
      <c r="D1655">
        <v>0.61917891400000002</v>
      </c>
      <c r="E1655">
        <v>0.60984479800000002</v>
      </c>
      <c r="F1655" s="1" t="s">
        <v>90</v>
      </c>
      <c r="G1655" s="1">
        <v>1.429752066</v>
      </c>
      <c r="H1655" s="1">
        <v>59.8</v>
      </c>
      <c r="I1655" s="1">
        <v>108.9</v>
      </c>
      <c r="J1655" s="1">
        <v>0.57999807566666661</v>
      </c>
      <c r="K1655" s="1">
        <v>0.50612154099999995</v>
      </c>
      <c r="L1655" s="1">
        <v>0.55940039100000005</v>
      </c>
      <c r="M1655" s="3">
        <v>0.66789001699999995</v>
      </c>
      <c r="N1655" s="1" t="s">
        <v>48</v>
      </c>
      <c r="O1655" s="1">
        <v>1.242622951</v>
      </c>
      <c r="P1655" s="1">
        <v>17.8</v>
      </c>
      <c r="Q1655" s="1">
        <v>30.5</v>
      </c>
      <c r="R1655" s="1">
        <v>0.57780398300000002</v>
      </c>
      <c r="S1655" s="1">
        <v>8.3463955152341993E-2</v>
      </c>
      <c r="T1655" t="s">
        <v>1802</v>
      </c>
      <c r="U1655" s="1">
        <v>6752</v>
      </c>
      <c r="V1655">
        <f t="shared" si="100"/>
        <v>0.4254924926241776</v>
      </c>
      <c r="W1655" s="1">
        <f t="shared" si="101"/>
        <v>42</v>
      </c>
      <c r="X1655">
        <f t="shared" si="102"/>
        <v>0.18712911500000007</v>
      </c>
      <c r="Y1655">
        <f t="shared" si="103"/>
        <v>78.400000000000006</v>
      </c>
      <c r="Z1655" s="1">
        <v>1</v>
      </c>
      <c r="AA1655">
        <v>99</v>
      </c>
      <c r="AB1655">
        <v>1.01E-2</v>
      </c>
      <c r="AC1655">
        <v>2</v>
      </c>
      <c r="AD1655">
        <v>109</v>
      </c>
      <c r="AE1655">
        <v>1.83E-2</v>
      </c>
      <c r="AF1655" t="s">
        <v>2589</v>
      </c>
      <c r="AG1655" t="s">
        <v>2590</v>
      </c>
    </row>
    <row r="1656" spans="1:33">
      <c r="A1656" s="2" t="s">
        <v>89</v>
      </c>
      <c r="B1656" s="2" t="s">
        <v>49</v>
      </c>
      <c r="C1656" s="1">
        <v>0.51097051500000001</v>
      </c>
      <c r="D1656">
        <v>0.61917891400000002</v>
      </c>
      <c r="E1656">
        <v>0.60984479800000002</v>
      </c>
      <c r="F1656" s="1" t="s">
        <v>90</v>
      </c>
      <c r="G1656" s="1">
        <v>1.429752066</v>
      </c>
      <c r="H1656" s="1">
        <v>59.8</v>
      </c>
      <c r="I1656" s="1">
        <v>108.9</v>
      </c>
      <c r="J1656" s="1">
        <v>0.57999807566666661</v>
      </c>
      <c r="K1656" s="1">
        <v>0.50647110500000003</v>
      </c>
      <c r="L1656" s="1">
        <v>0.55713136799999996</v>
      </c>
      <c r="M1656" s="3">
        <v>0.63402682300000002</v>
      </c>
      <c r="N1656" s="1" t="s">
        <v>50</v>
      </c>
      <c r="O1656" s="1">
        <v>1.876675603</v>
      </c>
      <c r="P1656" s="1">
        <v>28.8</v>
      </c>
      <c r="Q1656" s="1">
        <v>37.299999999999997</v>
      </c>
      <c r="R1656" s="1">
        <v>0.56587643200000004</v>
      </c>
      <c r="S1656" s="1">
        <v>6.6745134564781941E-2</v>
      </c>
      <c r="T1656" t="s">
        <v>1803</v>
      </c>
      <c r="U1656" s="1">
        <v>7281</v>
      </c>
      <c r="V1656">
        <f t="shared" si="100"/>
        <v>0.42913233678351076</v>
      </c>
      <c r="W1656" s="1">
        <f t="shared" si="101"/>
        <v>30.999999999999996</v>
      </c>
      <c r="X1656">
        <f t="shared" si="102"/>
        <v>0.44692353699999998</v>
      </c>
      <c r="Y1656">
        <f t="shared" si="103"/>
        <v>71.600000000000009</v>
      </c>
      <c r="Z1656" s="1">
        <v>4</v>
      </c>
      <c r="AA1656">
        <v>96</v>
      </c>
      <c r="AB1656">
        <v>4.1700000000000001E-2</v>
      </c>
      <c r="AC1656">
        <v>6</v>
      </c>
      <c r="AD1656">
        <v>79</v>
      </c>
      <c r="AE1656">
        <v>7.5899999999999995E-2</v>
      </c>
      <c r="AF1656" t="s">
        <v>2589</v>
      </c>
      <c r="AG1656" t="s">
        <v>2590</v>
      </c>
    </row>
    <row r="1657" spans="1:33">
      <c r="A1657" s="2" t="s">
        <v>89</v>
      </c>
      <c r="B1657" s="2" t="s">
        <v>51</v>
      </c>
      <c r="C1657" s="1">
        <v>0.51097051500000001</v>
      </c>
      <c r="D1657">
        <v>0.61917891400000002</v>
      </c>
      <c r="E1657">
        <v>0.60984479800000002</v>
      </c>
      <c r="F1657" s="1" t="s">
        <v>90</v>
      </c>
      <c r="G1657" s="1">
        <v>1.429752066</v>
      </c>
      <c r="H1657" s="1">
        <v>59.8</v>
      </c>
      <c r="I1657" s="1">
        <v>108.9</v>
      </c>
      <c r="J1657" s="1">
        <v>0.57999807566666661</v>
      </c>
      <c r="K1657" s="1">
        <v>0.60067161999999996</v>
      </c>
      <c r="L1657" s="1">
        <v>0.68094129999999997</v>
      </c>
      <c r="M1657" s="3">
        <v>0.73595931299999995</v>
      </c>
      <c r="N1657" s="1" t="s">
        <v>52</v>
      </c>
      <c r="O1657" s="1">
        <v>1.858638743</v>
      </c>
      <c r="P1657" s="1">
        <v>29.4</v>
      </c>
      <c r="Q1657" s="1">
        <v>38.200000000000003</v>
      </c>
      <c r="R1657" s="1">
        <v>0.67252407766666666</v>
      </c>
      <c r="S1657" s="1">
        <v>0.16663058379637039</v>
      </c>
      <c r="T1657" t="s">
        <v>1804</v>
      </c>
      <c r="U1657" s="1">
        <v>779</v>
      </c>
      <c r="V1657">
        <f t="shared" si="100"/>
        <v>0.32128193974139602</v>
      </c>
      <c r="W1657" s="1">
        <f t="shared" si="101"/>
        <v>30.4</v>
      </c>
      <c r="X1657">
        <f t="shared" si="102"/>
        <v>0.42888667699999994</v>
      </c>
      <c r="Y1657">
        <f t="shared" si="103"/>
        <v>70.7</v>
      </c>
      <c r="Z1657" s="1">
        <v>3</v>
      </c>
      <c r="AA1657">
        <v>97</v>
      </c>
      <c r="AB1657">
        <v>3.09E-2</v>
      </c>
      <c r="AC1657">
        <v>4</v>
      </c>
      <c r="AD1657">
        <v>90</v>
      </c>
      <c r="AE1657">
        <v>4.4400000000000002E-2</v>
      </c>
      <c r="AF1657" t="s">
        <v>2589</v>
      </c>
      <c r="AG1657" t="s">
        <v>2591</v>
      </c>
    </row>
    <row r="1658" spans="1:33">
      <c r="A1658" s="2" t="s">
        <v>89</v>
      </c>
      <c r="B1658" s="2" t="s">
        <v>53</v>
      </c>
      <c r="C1658" s="1">
        <v>0.51097051500000001</v>
      </c>
      <c r="D1658">
        <v>0.61917891400000002</v>
      </c>
      <c r="E1658">
        <v>0.60984479800000002</v>
      </c>
      <c r="F1658" s="1" t="s">
        <v>90</v>
      </c>
      <c r="G1658" s="1">
        <v>1.429752066</v>
      </c>
      <c r="H1658" s="1">
        <v>59.8</v>
      </c>
      <c r="I1658" s="1">
        <v>108.9</v>
      </c>
      <c r="J1658" s="1">
        <v>0.57999807566666661</v>
      </c>
      <c r="K1658" s="1">
        <v>0.54695832700000002</v>
      </c>
      <c r="L1658" s="1">
        <v>0.659790137</v>
      </c>
      <c r="M1658" s="3">
        <v>0.70662085500000005</v>
      </c>
      <c r="N1658" s="1" t="s">
        <v>54</v>
      </c>
      <c r="O1658" s="1">
        <v>2.5053995680000001</v>
      </c>
      <c r="P1658" s="1">
        <v>43.9</v>
      </c>
      <c r="Q1658" s="1">
        <v>46.3</v>
      </c>
      <c r="R1658" s="1">
        <v>0.63778977300000006</v>
      </c>
      <c r="S1658" s="1">
        <v>0.11095043602695</v>
      </c>
      <c r="T1658" t="s">
        <v>1805</v>
      </c>
      <c r="U1658" s="1">
        <v>7594</v>
      </c>
      <c r="V1658">
        <f t="shared" si="100"/>
        <v>0.43116339920041979</v>
      </c>
      <c r="W1658" s="1">
        <f t="shared" si="101"/>
        <v>15.899999999999999</v>
      </c>
      <c r="X1658">
        <f t="shared" si="102"/>
        <v>1.075647502</v>
      </c>
      <c r="Y1658">
        <f t="shared" si="103"/>
        <v>62.600000000000009</v>
      </c>
      <c r="Z1658" s="1">
        <v>1</v>
      </c>
      <c r="AA1658">
        <v>99</v>
      </c>
      <c r="AB1658">
        <v>1.01E-2</v>
      </c>
      <c r="AC1658">
        <v>2</v>
      </c>
      <c r="AD1658">
        <v>92</v>
      </c>
      <c r="AE1658">
        <v>2.1700000000000001E-2</v>
      </c>
      <c r="AF1658" t="s">
        <v>2589</v>
      </c>
      <c r="AG1658" t="s">
        <v>2593</v>
      </c>
    </row>
    <row r="1659" spans="1:33">
      <c r="A1659" s="2" t="s">
        <v>89</v>
      </c>
      <c r="B1659" s="2" t="s">
        <v>55</v>
      </c>
      <c r="C1659" s="1">
        <v>0.51097051500000001</v>
      </c>
      <c r="D1659">
        <v>0.61917891400000002</v>
      </c>
      <c r="E1659">
        <v>0.60984479800000002</v>
      </c>
      <c r="F1659" s="1" t="s">
        <v>90</v>
      </c>
      <c r="G1659" s="1">
        <v>1.429752066</v>
      </c>
      <c r="H1659" s="1">
        <v>59.8</v>
      </c>
      <c r="I1659" s="1">
        <v>108.9</v>
      </c>
      <c r="J1659" s="1">
        <v>0.57999807566666661</v>
      </c>
      <c r="K1659" s="1">
        <v>0.52971861799999997</v>
      </c>
      <c r="L1659" s="1">
        <v>0.62258244500000004</v>
      </c>
      <c r="M1659" s="3">
        <v>0.63939760400000001</v>
      </c>
      <c r="N1659" s="1" t="s">
        <v>56</v>
      </c>
      <c r="O1659" s="1">
        <v>1.0796934869999999</v>
      </c>
      <c r="P1659" s="1">
        <v>55.3</v>
      </c>
      <c r="Q1659" s="1">
        <v>130.5</v>
      </c>
      <c r="R1659" s="1">
        <v>0.59723288899999993</v>
      </c>
      <c r="S1659" s="1">
        <v>3.5163101851802034E-2</v>
      </c>
      <c r="T1659" t="s">
        <v>1806</v>
      </c>
      <c r="U1659" s="1">
        <v>57652</v>
      </c>
      <c r="V1659">
        <f t="shared" si="100"/>
        <v>0.5289793753289167</v>
      </c>
      <c r="W1659" s="1">
        <f t="shared" si="101"/>
        <v>4.5</v>
      </c>
      <c r="X1659">
        <f t="shared" si="102"/>
        <v>0.35005857900000015</v>
      </c>
      <c r="Y1659">
        <f t="shared" si="103"/>
        <v>21.599999999999994</v>
      </c>
      <c r="Z1659" s="1">
        <v>31</v>
      </c>
      <c r="AA1659">
        <v>69</v>
      </c>
      <c r="AB1659">
        <v>0.44929999999999998</v>
      </c>
      <c r="AC1659">
        <v>27</v>
      </c>
      <c r="AD1659">
        <v>59</v>
      </c>
      <c r="AE1659">
        <v>0.45760000000000001</v>
      </c>
      <c r="AF1659" t="s">
        <v>2589</v>
      </c>
      <c r="AG1659" t="s">
        <v>2592</v>
      </c>
    </row>
    <row r="1660" spans="1:33">
      <c r="A1660" s="2" t="s">
        <v>89</v>
      </c>
      <c r="B1660" s="2" t="s">
        <v>57</v>
      </c>
      <c r="C1660" s="1">
        <v>0.51097051500000001</v>
      </c>
      <c r="D1660">
        <v>0.61917891400000002</v>
      </c>
      <c r="E1660">
        <v>0.60984479800000002</v>
      </c>
      <c r="F1660" s="1" t="s">
        <v>90</v>
      </c>
      <c r="G1660" s="1">
        <v>1.429752066</v>
      </c>
      <c r="H1660" s="1">
        <v>59.8</v>
      </c>
      <c r="I1660" s="1">
        <v>108.9</v>
      </c>
      <c r="J1660" s="1">
        <v>0.57999807566666661</v>
      </c>
      <c r="K1660" s="1">
        <v>0.528732855</v>
      </c>
      <c r="L1660" s="1">
        <v>0.63387497599999998</v>
      </c>
      <c r="M1660" s="3">
        <v>0.63337360200000004</v>
      </c>
      <c r="N1660" s="1" t="s">
        <v>58</v>
      </c>
      <c r="O1660" s="1">
        <v>1.386610879</v>
      </c>
      <c r="P1660" s="1">
        <v>69</v>
      </c>
      <c r="Q1660" s="1">
        <v>119.5</v>
      </c>
      <c r="R1660" s="1">
        <v>0.59866047766666663</v>
      </c>
      <c r="S1660" s="1">
        <v>3.2940546113473267E-2</v>
      </c>
      <c r="T1660" t="s">
        <v>1807</v>
      </c>
      <c r="U1660" s="1">
        <v>16263</v>
      </c>
      <c r="V1660">
        <f t="shared" si="100"/>
        <v>0.46791118466669523</v>
      </c>
      <c r="W1660" s="1">
        <f t="shared" si="101"/>
        <v>9.2000000000000028</v>
      </c>
      <c r="X1660">
        <f t="shared" si="102"/>
        <v>4.3141187000000025E-2</v>
      </c>
      <c r="Y1660">
        <f t="shared" si="103"/>
        <v>10.599999999999994</v>
      </c>
      <c r="Z1660" s="1">
        <v>24</v>
      </c>
      <c r="AA1660">
        <v>76</v>
      </c>
      <c r="AB1660">
        <v>0.31580000000000003</v>
      </c>
      <c r="AC1660">
        <v>20</v>
      </c>
      <c r="AD1660">
        <v>72</v>
      </c>
      <c r="AE1660">
        <v>0.27779999999999999</v>
      </c>
      <c r="AF1660" t="s">
        <v>2589</v>
      </c>
      <c r="AG1660" t="s">
        <v>2589</v>
      </c>
    </row>
    <row r="1661" spans="1:33">
      <c r="A1661" s="2" t="s">
        <v>89</v>
      </c>
      <c r="B1661" s="2" t="s">
        <v>59</v>
      </c>
      <c r="C1661" s="1">
        <v>0.51097051500000001</v>
      </c>
      <c r="D1661">
        <v>0.61917891400000002</v>
      </c>
      <c r="E1661">
        <v>0.60984479800000002</v>
      </c>
      <c r="F1661" s="1" t="s">
        <v>90</v>
      </c>
      <c r="G1661" s="1">
        <v>1.429752066</v>
      </c>
      <c r="H1661" s="1">
        <v>59.8</v>
      </c>
      <c r="I1661" s="1">
        <v>108.9</v>
      </c>
      <c r="J1661" s="1">
        <v>0.57999807566666661</v>
      </c>
      <c r="K1661" s="1">
        <v>0.56225432799999997</v>
      </c>
      <c r="L1661" s="1">
        <v>0.68100706499999997</v>
      </c>
      <c r="M1661" s="3">
        <v>0.67505263699999996</v>
      </c>
      <c r="N1661" s="1" t="s">
        <v>60</v>
      </c>
      <c r="O1661" s="1">
        <v>1.1501154730000001</v>
      </c>
      <c r="P1661" s="1">
        <v>60.5</v>
      </c>
      <c r="Q1661" s="1">
        <v>129.9</v>
      </c>
      <c r="R1661" s="1">
        <v>0.63943801</v>
      </c>
      <c r="S1661" s="1">
        <v>0.10346406138823118</v>
      </c>
      <c r="T1661" t="s">
        <v>1808</v>
      </c>
      <c r="U1661" s="1">
        <v>20630</v>
      </c>
      <c r="V1661">
        <f t="shared" si="100"/>
        <v>0.47938880310812798</v>
      </c>
      <c r="W1661" s="1">
        <f t="shared" si="101"/>
        <v>0.70000000000000284</v>
      </c>
      <c r="X1661">
        <f t="shared" si="102"/>
        <v>0.27963659299999999</v>
      </c>
      <c r="Y1661">
        <f t="shared" si="103"/>
        <v>21</v>
      </c>
      <c r="Z1661" s="1">
        <v>13</v>
      </c>
      <c r="AA1661">
        <v>87</v>
      </c>
      <c r="AB1661">
        <v>0.14940000000000001</v>
      </c>
      <c r="AC1661">
        <v>15</v>
      </c>
      <c r="AD1661">
        <v>96</v>
      </c>
      <c r="AE1661">
        <v>0.15620000000000001</v>
      </c>
      <c r="AF1661" t="s">
        <v>2589</v>
      </c>
      <c r="AG1661" t="s">
        <v>2589</v>
      </c>
    </row>
    <row r="1662" spans="1:33">
      <c r="A1662" s="2" t="s">
        <v>89</v>
      </c>
      <c r="B1662" s="2" t="s">
        <v>61</v>
      </c>
      <c r="C1662" s="1">
        <v>0.51097051500000001</v>
      </c>
      <c r="D1662">
        <v>0.61917891400000002</v>
      </c>
      <c r="E1662">
        <v>0.60984479800000002</v>
      </c>
      <c r="F1662" s="1" t="s">
        <v>90</v>
      </c>
      <c r="G1662" s="1">
        <v>1.429752066</v>
      </c>
      <c r="H1662" s="1">
        <v>59.8</v>
      </c>
      <c r="I1662" s="1">
        <v>108.9</v>
      </c>
      <c r="J1662" s="1">
        <v>0.57999807566666661</v>
      </c>
      <c r="K1662" s="1">
        <v>0.62063455999999995</v>
      </c>
      <c r="L1662" s="1">
        <v>0.67798104299999995</v>
      </c>
      <c r="M1662" s="3">
        <v>0.72175371600000005</v>
      </c>
      <c r="N1662" s="1" t="s">
        <v>62</v>
      </c>
      <c r="O1662" s="1">
        <v>7.5471698109999998</v>
      </c>
      <c r="P1662" s="1">
        <v>26.4</v>
      </c>
      <c r="Q1662" s="1">
        <v>10.6</v>
      </c>
      <c r="R1662" s="1">
        <v>0.6734564396666668</v>
      </c>
      <c r="S1662" s="1">
        <v>0.16735441156009415</v>
      </c>
      <c r="T1662" t="s">
        <v>1809</v>
      </c>
      <c r="U1662" s="1">
        <v>12884</v>
      </c>
      <c r="V1662">
        <f t="shared" si="100"/>
        <v>0.45667230179418372</v>
      </c>
      <c r="W1662" s="1">
        <f t="shared" si="101"/>
        <v>33.4</v>
      </c>
      <c r="X1662">
        <f t="shared" si="102"/>
        <v>6.117417745</v>
      </c>
      <c r="Y1662">
        <f t="shared" si="103"/>
        <v>98.300000000000011</v>
      </c>
      <c r="Z1662" s="1">
        <v>0</v>
      </c>
      <c r="AA1662">
        <v>100</v>
      </c>
      <c r="AB1662">
        <v>0</v>
      </c>
      <c r="AC1662">
        <v>0</v>
      </c>
      <c r="AD1662">
        <v>86</v>
      </c>
      <c r="AE1662">
        <v>0</v>
      </c>
      <c r="AF1662" t="s">
        <v>2589</v>
      </c>
      <c r="AG1662" t="s">
        <v>2588</v>
      </c>
    </row>
    <row r="1663" spans="1:33">
      <c r="A1663" s="2" t="s">
        <v>89</v>
      </c>
      <c r="B1663" s="2" t="s">
        <v>63</v>
      </c>
      <c r="C1663" s="1">
        <v>0.51097051500000001</v>
      </c>
      <c r="D1663">
        <v>0.61917891400000002</v>
      </c>
      <c r="E1663">
        <v>0.60984479800000002</v>
      </c>
      <c r="F1663" s="1" t="s">
        <v>90</v>
      </c>
      <c r="G1663" s="1">
        <v>1.429752066</v>
      </c>
      <c r="H1663" s="1">
        <v>59.8</v>
      </c>
      <c r="I1663" s="1">
        <v>108.9</v>
      </c>
      <c r="J1663" s="1">
        <v>0.57999807566666661</v>
      </c>
      <c r="K1663" s="1">
        <v>0.44311141399999998</v>
      </c>
      <c r="L1663" s="1">
        <v>0.57053969199999999</v>
      </c>
      <c r="M1663" s="3">
        <v>0.59266330599999995</v>
      </c>
      <c r="N1663" s="1" t="s">
        <v>64</v>
      </c>
      <c r="O1663" s="1">
        <v>0.89618138400000003</v>
      </c>
      <c r="P1663" s="1">
        <v>29.7</v>
      </c>
      <c r="Q1663" s="1">
        <v>83.8</v>
      </c>
      <c r="R1663" s="1">
        <v>0.53543813733333334</v>
      </c>
      <c r="S1663" s="1">
        <v>8.523986844569599E-2</v>
      </c>
      <c r="T1663" t="s">
        <v>1810</v>
      </c>
      <c r="U1663" s="1">
        <v>6645</v>
      </c>
      <c r="V1663">
        <f t="shared" si="100"/>
        <v>0.42472166503097231</v>
      </c>
      <c r="W1663" s="1">
        <f t="shared" si="101"/>
        <v>30.099999999999998</v>
      </c>
      <c r="X1663">
        <f t="shared" si="102"/>
        <v>0.53357068200000002</v>
      </c>
      <c r="Y1663">
        <f t="shared" si="103"/>
        <v>25.100000000000009</v>
      </c>
      <c r="Z1663" s="1">
        <v>6</v>
      </c>
      <c r="AA1663">
        <v>94</v>
      </c>
      <c r="AB1663">
        <v>6.3799999999999996E-2</v>
      </c>
      <c r="AC1663">
        <v>11</v>
      </c>
      <c r="AD1663">
        <v>82</v>
      </c>
      <c r="AE1663">
        <v>0.1341</v>
      </c>
      <c r="AF1663" t="s">
        <v>2589</v>
      </c>
      <c r="AG1663" t="s">
        <v>2590</v>
      </c>
    </row>
    <row r="1664" spans="1:33">
      <c r="A1664" s="2" t="s">
        <v>89</v>
      </c>
      <c r="B1664" s="2" t="s">
        <v>65</v>
      </c>
      <c r="C1664" s="1">
        <v>0.51097051500000001</v>
      </c>
      <c r="D1664">
        <v>0.61917891400000002</v>
      </c>
      <c r="E1664">
        <v>0.60984479800000002</v>
      </c>
      <c r="F1664" s="1" t="s">
        <v>90</v>
      </c>
      <c r="G1664" s="1">
        <v>1.429752066</v>
      </c>
      <c r="H1664" s="1">
        <v>59.8</v>
      </c>
      <c r="I1664" s="1">
        <v>108.9</v>
      </c>
      <c r="J1664" s="1">
        <v>0.57999807566666661</v>
      </c>
      <c r="K1664" s="1">
        <v>0.67377447499999998</v>
      </c>
      <c r="L1664" s="1">
        <v>0.69144672900000004</v>
      </c>
      <c r="M1664" s="3">
        <v>0.73046409700000003</v>
      </c>
      <c r="N1664" s="1" t="s">
        <v>66</v>
      </c>
      <c r="O1664" s="1">
        <v>1.8507462690000001</v>
      </c>
      <c r="P1664" s="1">
        <v>34.5</v>
      </c>
      <c r="Q1664" s="1">
        <v>46.9</v>
      </c>
      <c r="R1664" s="1">
        <v>0.69856176700000006</v>
      </c>
      <c r="S1664" s="1">
        <v>0.21512038900998487</v>
      </c>
      <c r="T1664" t="s">
        <v>1811</v>
      </c>
      <c r="U1664" s="1">
        <v>2430</v>
      </c>
      <c r="V1664">
        <f t="shared" si="100"/>
        <v>0.37617847484425693</v>
      </c>
      <c r="W1664" s="1">
        <f t="shared" si="101"/>
        <v>25.299999999999997</v>
      </c>
      <c r="X1664">
        <f t="shared" si="102"/>
        <v>0.42099420300000001</v>
      </c>
      <c r="Y1664">
        <f t="shared" si="103"/>
        <v>62.000000000000007</v>
      </c>
      <c r="Z1664" s="1">
        <v>0</v>
      </c>
      <c r="AA1664">
        <v>100</v>
      </c>
      <c r="AB1664">
        <v>0</v>
      </c>
      <c r="AC1664">
        <v>0</v>
      </c>
      <c r="AD1664">
        <v>75</v>
      </c>
      <c r="AE1664">
        <v>0</v>
      </c>
      <c r="AF1664" t="s">
        <v>2589</v>
      </c>
      <c r="AG1664" t="s">
        <v>2593</v>
      </c>
    </row>
    <row r="1665" spans="1:33">
      <c r="A1665" s="2" t="s">
        <v>89</v>
      </c>
      <c r="B1665" s="2" t="s">
        <v>67</v>
      </c>
      <c r="C1665" s="1">
        <v>0.51097051500000001</v>
      </c>
      <c r="D1665">
        <v>0.61917891400000002</v>
      </c>
      <c r="E1665">
        <v>0.60984479800000002</v>
      </c>
      <c r="F1665" s="1" t="s">
        <v>90</v>
      </c>
      <c r="G1665" s="1">
        <v>1.429752066</v>
      </c>
      <c r="H1665" s="1">
        <v>59.8</v>
      </c>
      <c r="I1665" s="1">
        <v>108.9</v>
      </c>
      <c r="J1665" s="1">
        <v>0.57999807566666661</v>
      </c>
      <c r="K1665" s="1">
        <v>0.53971122199999999</v>
      </c>
      <c r="L1665" s="1">
        <v>0.621203065</v>
      </c>
      <c r="M1665" s="3">
        <v>0.67806811499999997</v>
      </c>
      <c r="N1665" s="1" t="s">
        <v>68</v>
      </c>
      <c r="O1665" s="1">
        <v>1.5131894480000001</v>
      </c>
      <c r="P1665" s="1">
        <v>27.2</v>
      </c>
      <c r="Q1665" s="1">
        <v>41.7</v>
      </c>
      <c r="R1665" s="1">
        <v>0.61299413400000002</v>
      </c>
      <c r="S1665" s="1">
        <v>7.4057723490620009E-2</v>
      </c>
      <c r="T1665" t="s">
        <v>1812</v>
      </c>
      <c r="U1665" s="1">
        <v>1829</v>
      </c>
      <c r="V1665">
        <f t="shared" si="100"/>
        <v>0.36246818949737963</v>
      </c>
      <c r="W1665" s="1">
        <f t="shared" si="101"/>
        <v>32.599999999999994</v>
      </c>
      <c r="X1665">
        <f t="shared" si="102"/>
        <v>8.343738200000006E-2</v>
      </c>
      <c r="Y1665">
        <f t="shared" si="103"/>
        <v>67.2</v>
      </c>
      <c r="Z1665" s="1">
        <v>1</v>
      </c>
      <c r="AA1665">
        <v>99</v>
      </c>
      <c r="AB1665">
        <v>1.01E-2</v>
      </c>
      <c r="AC1665">
        <v>2</v>
      </c>
      <c r="AD1665">
        <v>84</v>
      </c>
      <c r="AE1665">
        <v>2.3800000000000002E-2</v>
      </c>
      <c r="AF1665" t="s">
        <v>2589</v>
      </c>
      <c r="AG1665" t="s">
        <v>2588</v>
      </c>
    </row>
    <row r="1666" spans="1:33">
      <c r="A1666" s="2" t="s">
        <v>89</v>
      </c>
      <c r="B1666" s="2" t="s">
        <v>69</v>
      </c>
      <c r="C1666" s="1">
        <v>0.51097051500000001</v>
      </c>
      <c r="D1666">
        <v>0.61917891400000002</v>
      </c>
      <c r="E1666">
        <v>0.60984479800000002</v>
      </c>
      <c r="F1666" s="1" t="s">
        <v>90</v>
      </c>
      <c r="G1666" s="1">
        <v>1.429752066</v>
      </c>
      <c r="H1666" s="1">
        <v>59.8</v>
      </c>
      <c r="I1666" s="1">
        <v>108.9</v>
      </c>
      <c r="J1666" s="1">
        <v>0.57999807566666661</v>
      </c>
      <c r="K1666" s="1">
        <v>0.50188385300000005</v>
      </c>
      <c r="L1666" s="1">
        <v>0.64580031500000001</v>
      </c>
      <c r="M1666" s="3">
        <v>0.66006355800000005</v>
      </c>
      <c r="N1666" s="1" t="s">
        <v>70</v>
      </c>
      <c r="O1666" s="1">
        <v>1.2401055409999999</v>
      </c>
      <c r="P1666" s="1">
        <v>43.4</v>
      </c>
      <c r="Q1666" s="1">
        <v>75.8</v>
      </c>
      <c r="R1666" s="1">
        <v>0.60258257533333337</v>
      </c>
      <c r="S1666" s="1">
        <v>5.7560318566201897E-2</v>
      </c>
      <c r="T1666" t="s">
        <v>1813</v>
      </c>
      <c r="U1666" s="1">
        <v>135368</v>
      </c>
      <c r="V1666">
        <f t="shared" ref="V1666:V1729" si="104">LOG10(U1666) / 9</f>
        <v>0.57016844582878368</v>
      </c>
      <c r="W1666" s="1">
        <f t="shared" ref="W1666:W1729" si="105">ABS(H1666-P1666)</f>
        <v>16.399999999999999</v>
      </c>
      <c r="X1666">
        <f t="shared" ref="X1666:X1729" si="106">ABS(G1666-O1666)</f>
        <v>0.18964652500000012</v>
      </c>
      <c r="Y1666">
        <f t="shared" ref="Y1666:Y1729" si="107">ABS(I1666-Q1666)</f>
        <v>33.100000000000009</v>
      </c>
      <c r="Z1666" s="1">
        <v>19</v>
      </c>
      <c r="AA1666">
        <v>81</v>
      </c>
      <c r="AB1666">
        <v>0.2346</v>
      </c>
      <c r="AC1666">
        <v>22</v>
      </c>
      <c r="AD1666">
        <v>71</v>
      </c>
      <c r="AE1666">
        <v>0.30990000000000001</v>
      </c>
      <c r="AF1666" t="s">
        <v>2589</v>
      </c>
      <c r="AG1666" t="s">
        <v>2589</v>
      </c>
    </row>
    <row r="1667" spans="1:33">
      <c r="A1667" s="2" t="s">
        <v>89</v>
      </c>
      <c r="B1667" s="2" t="s">
        <v>71</v>
      </c>
      <c r="C1667" s="1">
        <v>0.51097051500000001</v>
      </c>
      <c r="D1667">
        <v>0.61917891400000002</v>
      </c>
      <c r="E1667">
        <v>0.60984479800000002</v>
      </c>
      <c r="F1667" s="1" t="s">
        <v>90</v>
      </c>
      <c r="G1667" s="1">
        <v>1.429752066</v>
      </c>
      <c r="H1667" s="1">
        <v>59.8</v>
      </c>
      <c r="I1667" s="1">
        <v>108.9</v>
      </c>
      <c r="J1667" s="1">
        <v>0.57999807566666661</v>
      </c>
      <c r="K1667" s="1">
        <v>0.53267569100000001</v>
      </c>
      <c r="L1667" s="1">
        <v>0.64507433599999997</v>
      </c>
      <c r="M1667" s="3">
        <v>0.66598465100000004</v>
      </c>
      <c r="N1667" s="1" t="s">
        <v>72</v>
      </c>
      <c r="O1667" s="1">
        <v>0.97289666900000005</v>
      </c>
      <c r="P1667" s="1">
        <v>64.8</v>
      </c>
      <c r="Q1667" s="1">
        <v>177.1</v>
      </c>
      <c r="R1667" s="1">
        <v>0.61457822600000001</v>
      </c>
      <c r="S1667" s="1">
        <v>6.5523817353773495E-2</v>
      </c>
      <c r="T1667" t="s">
        <v>1814</v>
      </c>
      <c r="U1667" s="1">
        <v>39282</v>
      </c>
      <c r="V1667">
        <f t="shared" si="104"/>
        <v>0.5104659545895156</v>
      </c>
      <c r="W1667" s="1">
        <f t="shared" si="105"/>
        <v>5</v>
      </c>
      <c r="X1667">
        <f t="shared" si="106"/>
        <v>0.456855397</v>
      </c>
      <c r="Y1667">
        <f t="shared" si="107"/>
        <v>68.199999999999989</v>
      </c>
      <c r="Z1667" s="1">
        <v>17</v>
      </c>
      <c r="AA1667">
        <v>83</v>
      </c>
      <c r="AB1667">
        <v>0.20480000000000001</v>
      </c>
      <c r="AC1667">
        <v>18</v>
      </c>
      <c r="AD1667">
        <v>86</v>
      </c>
      <c r="AE1667">
        <v>0.20930000000000001</v>
      </c>
      <c r="AF1667" t="s">
        <v>2589</v>
      </c>
      <c r="AG1667" t="s">
        <v>2589</v>
      </c>
    </row>
    <row r="1668" spans="1:33">
      <c r="A1668" s="2" t="s">
        <v>89</v>
      </c>
      <c r="B1668" s="2" t="s">
        <v>73</v>
      </c>
      <c r="C1668" s="1">
        <v>0.51097051500000001</v>
      </c>
      <c r="D1668">
        <v>0.61917891400000002</v>
      </c>
      <c r="E1668">
        <v>0.60984479800000002</v>
      </c>
      <c r="F1668" s="1" t="s">
        <v>90</v>
      </c>
      <c r="G1668" s="1">
        <v>1.429752066</v>
      </c>
      <c r="H1668" s="1">
        <v>59.8</v>
      </c>
      <c r="I1668" s="1">
        <v>108.9</v>
      </c>
      <c r="J1668" s="1">
        <v>0.57999807566666661</v>
      </c>
      <c r="K1668" s="1">
        <v>0.55697925299999995</v>
      </c>
      <c r="L1668" s="1">
        <v>0.64461978399999997</v>
      </c>
      <c r="M1668" s="3">
        <v>0.69570690000000002</v>
      </c>
      <c r="N1668" s="1" t="s">
        <v>74</v>
      </c>
      <c r="O1668" s="1">
        <v>1.23433584</v>
      </c>
      <c r="P1668" s="1">
        <v>44</v>
      </c>
      <c r="Q1668" s="1">
        <v>79.8</v>
      </c>
      <c r="R1668" s="1">
        <v>0.63243531233333328</v>
      </c>
      <c r="S1668" s="1">
        <v>0.10067940404356761</v>
      </c>
      <c r="T1668" t="s">
        <v>1815</v>
      </c>
      <c r="U1668" s="1">
        <v>117583</v>
      </c>
      <c r="V1668">
        <f t="shared" si="104"/>
        <v>0.56337161517078482</v>
      </c>
      <c r="W1668" s="1">
        <f t="shared" si="105"/>
        <v>15.799999999999997</v>
      </c>
      <c r="X1668">
        <f t="shared" si="106"/>
        <v>0.19541622600000008</v>
      </c>
      <c r="Y1668">
        <f t="shared" si="107"/>
        <v>29.100000000000009</v>
      </c>
      <c r="Z1668" s="1">
        <v>17</v>
      </c>
      <c r="AA1668">
        <v>83</v>
      </c>
      <c r="AB1668">
        <v>0.20480000000000001</v>
      </c>
      <c r="AC1668">
        <v>19</v>
      </c>
      <c r="AD1668">
        <v>70</v>
      </c>
      <c r="AE1668">
        <v>0.27139999999999997</v>
      </c>
      <c r="AF1668" t="s">
        <v>2589</v>
      </c>
      <c r="AG1668" t="s">
        <v>2589</v>
      </c>
    </row>
    <row r="1669" spans="1:33">
      <c r="A1669" s="2" t="s">
        <v>89</v>
      </c>
      <c r="B1669" s="2" t="s">
        <v>75</v>
      </c>
      <c r="C1669" s="1">
        <v>0.51097051500000001</v>
      </c>
      <c r="D1669">
        <v>0.61917891400000002</v>
      </c>
      <c r="E1669">
        <v>0.60984479800000002</v>
      </c>
      <c r="F1669" s="1" t="s">
        <v>90</v>
      </c>
      <c r="G1669" s="1">
        <v>1.429752066</v>
      </c>
      <c r="H1669" s="1">
        <v>59.8</v>
      </c>
      <c r="I1669" s="1">
        <v>108.9</v>
      </c>
      <c r="J1669" s="1">
        <v>0.57999807566666661</v>
      </c>
      <c r="K1669" s="1">
        <v>0.50354843500000002</v>
      </c>
      <c r="L1669" s="1">
        <v>0.59724402499999996</v>
      </c>
      <c r="M1669" s="3">
        <v>0.70308254199999998</v>
      </c>
      <c r="N1669" s="1" t="s">
        <v>76</v>
      </c>
      <c r="O1669" s="1">
        <v>1.2696850390000001</v>
      </c>
      <c r="P1669" s="1">
        <v>26.6</v>
      </c>
      <c r="Q1669" s="1">
        <v>50.8</v>
      </c>
      <c r="R1669" s="1">
        <v>0.60129166733333339</v>
      </c>
      <c r="S1669" s="1">
        <v>9.6070305158140579E-2</v>
      </c>
      <c r="T1669" t="s">
        <v>1816</v>
      </c>
      <c r="U1669" s="1">
        <v>2302</v>
      </c>
      <c r="V1669">
        <f t="shared" si="104"/>
        <v>0.3735672576993081</v>
      </c>
      <c r="W1669" s="1">
        <f t="shared" si="105"/>
        <v>33.199999999999996</v>
      </c>
      <c r="X1669">
        <f t="shared" si="106"/>
        <v>0.16006702699999997</v>
      </c>
      <c r="Y1669">
        <f t="shared" si="107"/>
        <v>58.100000000000009</v>
      </c>
      <c r="Z1669" s="1">
        <v>2</v>
      </c>
      <c r="AA1669">
        <v>98</v>
      </c>
      <c r="AB1669">
        <v>2.0400000000000001E-2</v>
      </c>
      <c r="AC1669">
        <v>3</v>
      </c>
      <c r="AD1669">
        <v>86</v>
      </c>
      <c r="AE1669">
        <v>3.49E-2</v>
      </c>
      <c r="AF1669" t="s">
        <v>2589</v>
      </c>
      <c r="AG1669" t="s">
        <v>2594</v>
      </c>
    </row>
    <row r="1670" spans="1:33">
      <c r="A1670" s="2" t="s">
        <v>89</v>
      </c>
      <c r="B1670" s="2" t="s">
        <v>77</v>
      </c>
      <c r="C1670" s="1">
        <v>0.51097051500000001</v>
      </c>
      <c r="D1670">
        <v>0.61917891400000002</v>
      </c>
      <c r="E1670">
        <v>0.60984479800000002</v>
      </c>
      <c r="F1670" s="1" t="s">
        <v>90</v>
      </c>
      <c r="G1670" s="1">
        <v>1.429752066</v>
      </c>
      <c r="H1670" s="1">
        <v>59.8</v>
      </c>
      <c r="I1670" s="1">
        <v>108.9</v>
      </c>
      <c r="J1670" s="1">
        <v>0.57999807566666661</v>
      </c>
      <c r="K1670" s="1">
        <v>0.54630843299999998</v>
      </c>
      <c r="L1670" s="1">
        <v>0.68935555900000001</v>
      </c>
      <c r="M1670" s="3">
        <v>0.65478744899999997</v>
      </c>
      <c r="N1670" s="1" t="s">
        <v>78</v>
      </c>
      <c r="O1670" s="1">
        <v>1.3914285710000001</v>
      </c>
      <c r="P1670" s="1">
        <v>56.5</v>
      </c>
      <c r="Q1670" s="1">
        <v>105</v>
      </c>
      <c r="R1670" s="1">
        <v>0.63015048033333343</v>
      </c>
      <c r="S1670" s="1">
        <v>9.051724604150603E-2</v>
      </c>
      <c r="T1670" t="s">
        <v>1817</v>
      </c>
      <c r="U1670" s="1">
        <v>3476</v>
      </c>
      <c r="V1670">
        <f t="shared" si="104"/>
        <v>0.39345330753073654</v>
      </c>
      <c r="W1670" s="1">
        <f t="shared" si="105"/>
        <v>3.2999999999999972</v>
      </c>
      <c r="X1670">
        <f t="shared" si="106"/>
        <v>3.8323494999999985E-2</v>
      </c>
      <c r="Y1670">
        <f t="shared" si="107"/>
        <v>3.9000000000000057</v>
      </c>
      <c r="Z1670" s="1">
        <v>2</v>
      </c>
      <c r="AA1670">
        <v>98</v>
      </c>
      <c r="AB1670">
        <v>2.0400000000000001E-2</v>
      </c>
      <c r="AC1670">
        <v>4</v>
      </c>
      <c r="AD1670">
        <v>74</v>
      </c>
      <c r="AE1670">
        <v>5.4100000000000002E-2</v>
      </c>
      <c r="AF1670" t="s">
        <v>2589</v>
      </c>
      <c r="AG1670" t="s">
        <v>2590</v>
      </c>
    </row>
    <row r="1671" spans="1:33">
      <c r="A1671" s="2" t="s">
        <v>89</v>
      </c>
      <c r="B1671" s="2" t="s">
        <v>79</v>
      </c>
      <c r="C1671" s="1">
        <v>0.51097051500000001</v>
      </c>
      <c r="D1671">
        <v>0.61917891400000002</v>
      </c>
      <c r="E1671">
        <v>0.60984479800000002</v>
      </c>
      <c r="F1671" s="1" t="s">
        <v>90</v>
      </c>
      <c r="G1671" s="1">
        <v>1.429752066</v>
      </c>
      <c r="H1671" s="1">
        <v>59.8</v>
      </c>
      <c r="I1671" s="1">
        <v>108.9</v>
      </c>
      <c r="J1671" s="1">
        <v>0.57999807566666661</v>
      </c>
      <c r="K1671" s="1">
        <v>0.63652882899999996</v>
      </c>
      <c r="L1671" s="1">
        <v>0.77536518600000004</v>
      </c>
      <c r="M1671" s="3">
        <v>0.610415606</v>
      </c>
      <c r="N1671" s="1" t="s">
        <v>80</v>
      </c>
      <c r="O1671" s="1">
        <v>0.95325542600000002</v>
      </c>
      <c r="P1671" s="1">
        <v>45.6</v>
      </c>
      <c r="Q1671" s="1">
        <v>119.8</v>
      </c>
      <c r="R1671" s="1">
        <v>0.67410320700000004</v>
      </c>
      <c r="S1671" s="1">
        <v>0.20039802293823519</v>
      </c>
      <c r="T1671" t="s">
        <v>1818</v>
      </c>
      <c r="U1671" s="1">
        <v>3779</v>
      </c>
      <c r="V1671">
        <f t="shared" si="104"/>
        <v>0.39748632132411271</v>
      </c>
      <c r="W1671" s="1">
        <f t="shared" si="105"/>
        <v>14.199999999999996</v>
      </c>
      <c r="X1671">
        <f t="shared" si="106"/>
        <v>0.47649664000000003</v>
      </c>
      <c r="Y1671">
        <f t="shared" si="107"/>
        <v>10.899999999999991</v>
      </c>
      <c r="Z1671" s="1">
        <v>1</v>
      </c>
      <c r="AA1671">
        <v>99</v>
      </c>
      <c r="AB1671">
        <v>1.01E-2</v>
      </c>
      <c r="AC1671">
        <v>2</v>
      </c>
      <c r="AD1671">
        <v>67</v>
      </c>
      <c r="AE1671">
        <v>2.9899999999999999E-2</v>
      </c>
      <c r="AF1671" t="s">
        <v>2589</v>
      </c>
      <c r="AG1671" t="s">
        <v>2590</v>
      </c>
    </row>
    <row r="1672" spans="1:33">
      <c r="A1672" s="2" t="s">
        <v>89</v>
      </c>
      <c r="B1672" s="2" t="s">
        <v>81</v>
      </c>
      <c r="C1672" s="1">
        <v>0.51097051500000001</v>
      </c>
      <c r="D1672">
        <v>0.61917891400000002</v>
      </c>
      <c r="E1672">
        <v>0.60984479800000002</v>
      </c>
      <c r="F1672" s="1" t="s">
        <v>90</v>
      </c>
      <c r="G1672" s="1">
        <v>1.429752066</v>
      </c>
      <c r="H1672" s="1">
        <v>59.8</v>
      </c>
      <c r="I1672" s="1">
        <v>108.9</v>
      </c>
      <c r="J1672" s="1">
        <v>0.57999807566666661</v>
      </c>
      <c r="K1672" s="1">
        <v>0.50183280699999999</v>
      </c>
      <c r="L1672" s="1">
        <v>0.68550824600000004</v>
      </c>
      <c r="M1672" s="3">
        <v>0.66941488999999998</v>
      </c>
      <c r="N1672" s="1" t="s">
        <v>82</v>
      </c>
      <c r="O1672" s="1">
        <v>1.4359576970000001</v>
      </c>
      <c r="P1672" s="1">
        <v>51</v>
      </c>
      <c r="Q1672" s="1">
        <v>85.1</v>
      </c>
      <c r="R1672" s="1">
        <v>0.61891864766666671</v>
      </c>
      <c r="S1672" s="1">
        <v>8.9619606403665661E-2</v>
      </c>
      <c r="T1672" t="s">
        <v>1819</v>
      </c>
      <c r="U1672" s="1">
        <v>16972</v>
      </c>
      <c r="V1672">
        <f t="shared" si="104"/>
        <v>0.46997033589939757</v>
      </c>
      <c r="W1672" s="1">
        <f t="shared" si="105"/>
        <v>8.7999999999999972</v>
      </c>
      <c r="X1672">
        <f t="shared" si="106"/>
        <v>6.2056310000000448E-3</v>
      </c>
      <c r="Y1672">
        <f t="shared" si="107"/>
        <v>23.800000000000011</v>
      </c>
      <c r="Z1672" s="1">
        <v>0</v>
      </c>
      <c r="AA1672">
        <v>100</v>
      </c>
      <c r="AB1672">
        <v>0</v>
      </c>
      <c r="AC1672">
        <v>0</v>
      </c>
      <c r="AD1672">
        <v>80</v>
      </c>
      <c r="AE1672">
        <v>0</v>
      </c>
      <c r="AF1672" t="s">
        <v>2589</v>
      </c>
      <c r="AG1672" t="s">
        <v>2589</v>
      </c>
    </row>
    <row r="1673" spans="1:33">
      <c r="A1673" s="2" t="s">
        <v>89</v>
      </c>
      <c r="B1673" s="2" t="s">
        <v>83</v>
      </c>
      <c r="C1673" s="1">
        <v>0.51097051500000001</v>
      </c>
      <c r="D1673">
        <v>0.61917891400000002</v>
      </c>
      <c r="E1673">
        <v>0.60984479800000002</v>
      </c>
      <c r="F1673" s="1" t="s">
        <v>90</v>
      </c>
      <c r="G1673" s="1">
        <v>1.429752066</v>
      </c>
      <c r="H1673" s="1">
        <v>59.8</v>
      </c>
      <c r="I1673" s="1">
        <v>108.9</v>
      </c>
      <c r="J1673" s="1">
        <v>0.57999807566666661</v>
      </c>
      <c r="K1673" s="1">
        <v>0.51815179099999997</v>
      </c>
      <c r="L1673" s="1">
        <v>0.50115949400000004</v>
      </c>
      <c r="M1673" s="3">
        <v>0.68053170600000001</v>
      </c>
      <c r="N1673" s="1" t="s">
        <v>84</v>
      </c>
      <c r="O1673" s="1">
        <v>1.760323887</v>
      </c>
      <c r="P1673" s="1">
        <v>83.4</v>
      </c>
      <c r="Q1673" s="1">
        <v>123.5</v>
      </c>
      <c r="R1673" s="1">
        <v>0.56661433033333342</v>
      </c>
      <c r="S1673" s="1">
        <v>0.13775628183398764</v>
      </c>
      <c r="T1673" t="s">
        <v>1820</v>
      </c>
      <c r="U1673" s="1">
        <v>32777</v>
      </c>
      <c r="V1673">
        <f t="shared" si="104"/>
        <v>0.50172991123597543</v>
      </c>
      <c r="W1673" s="1">
        <f t="shared" si="105"/>
        <v>23.600000000000009</v>
      </c>
      <c r="X1673">
        <f t="shared" si="106"/>
        <v>0.33057182099999993</v>
      </c>
      <c r="Y1673">
        <f t="shared" si="107"/>
        <v>14.599999999999994</v>
      </c>
      <c r="Z1673" s="1">
        <v>6</v>
      </c>
      <c r="AA1673">
        <v>94</v>
      </c>
      <c r="AB1673">
        <v>6.3799999999999996E-2</v>
      </c>
      <c r="AC1673">
        <v>7</v>
      </c>
      <c r="AD1673">
        <v>68</v>
      </c>
      <c r="AE1673">
        <v>0.10290000000000001</v>
      </c>
      <c r="AF1673" t="s">
        <v>2589</v>
      </c>
      <c r="AG1673" t="s">
        <v>2589</v>
      </c>
    </row>
    <row r="1674" spans="1:33">
      <c r="A1674" s="2" t="s">
        <v>89</v>
      </c>
      <c r="B1674" s="2" t="s">
        <v>85</v>
      </c>
      <c r="C1674" s="1">
        <v>0.51097051500000001</v>
      </c>
      <c r="D1674">
        <v>0.61917891400000002</v>
      </c>
      <c r="E1674">
        <v>0.60984479800000002</v>
      </c>
      <c r="F1674" s="1" t="s">
        <v>90</v>
      </c>
      <c r="G1674" s="1">
        <v>1.429752066</v>
      </c>
      <c r="H1674" s="1">
        <v>59.8</v>
      </c>
      <c r="I1674" s="1">
        <v>108.9</v>
      </c>
      <c r="J1674" s="1">
        <v>0.57999807566666661</v>
      </c>
      <c r="K1674" s="1">
        <v>0.522280945</v>
      </c>
      <c r="L1674" s="1">
        <v>0.58016629799999997</v>
      </c>
      <c r="M1674" s="3">
        <v>0.62446713499999995</v>
      </c>
      <c r="N1674" s="1" t="s">
        <v>86</v>
      </c>
      <c r="O1674" s="1">
        <v>0.57177615599999998</v>
      </c>
      <c r="P1674" s="1">
        <v>19.5</v>
      </c>
      <c r="Q1674" s="1">
        <v>82.2</v>
      </c>
      <c r="R1674" s="1">
        <v>0.57563812599999997</v>
      </c>
      <c r="S1674" s="1">
        <v>4.3170855600623982E-2</v>
      </c>
      <c r="T1674" t="s">
        <v>1821</v>
      </c>
      <c r="U1674" s="1">
        <v>4505</v>
      </c>
      <c r="V1674">
        <f t="shared" si="104"/>
        <v>0.40596608836834241</v>
      </c>
      <c r="W1674" s="1">
        <f t="shared" si="105"/>
        <v>40.299999999999997</v>
      </c>
      <c r="X1674">
        <f t="shared" si="106"/>
        <v>0.85797591000000006</v>
      </c>
      <c r="Y1674">
        <f t="shared" si="107"/>
        <v>26.700000000000003</v>
      </c>
      <c r="Z1674" s="1">
        <v>1</v>
      </c>
      <c r="AA1674">
        <v>99</v>
      </c>
      <c r="AB1674">
        <v>1.01E-2</v>
      </c>
      <c r="AC1674">
        <v>2</v>
      </c>
      <c r="AD1674">
        <v>138</v>
      </c>
      <c r="AE1674">
        <v>1.4500000000000001E-2</v>
      </c>
      <c r="AF1674" t="s">
        <v>2589</v>
      </c>
      <c r="AG1674" t="s">
        <v>2590</v>
      </c>
    </row>
    <row r="1675" spans="1:33">
      <c r="A1675" s="2" t="s">
        <v>89</v>
      </c>
      <c r="B1675" s="2" t="s">
        <v>87</v>
      </c>
      <c r="C1675" s="1">
        <v>0.51097051500000001</v>
      </c>
      <c r="D1675">
        <v>0.61917891400000002</v>
      </c>
      <c r="E1675">
        <v>0.60984479800000002</v>
      </c>
      <c r="F1675" s="1" t="s">
        <v>90</v>
      </c>
      <c r="G1675" s="1">
        <v>1.429752066</v>
      </c>
      <c r="H1675" s="1">
        <v>59.8</v>
      </c>
      <c r="I1675" s="1">
        <v>108.9</v>
      </c>
      <c r="J1675" s="1">
        <v>0.57999807566666661</v>
      </c>
      <c r="K1675" s="1">
        <v>0.46780425199999998</v>
      </c>
      <c r="L1675" s="1">
        <v>0.54149707400000002</v>
      </c>
      <c r="M1675" s="3">
        <v>0.61626236400000001</v>
      </c>
      <c r="N1675" s="1" t="s">
        <v>88</v>
      </c>
      <c r="O1675" s="1">
        <v>1.395454545</v>
      </c>
      <c r="P1675" s="1">
        <v>65.2</v>
      </c>
      <c r="Q1675" s="1">
        <v>110</v>
      </c>
      <c r="R1675" s="1">
        <v>0.54185456333333337</v>
      </c>
      <c r="S1675" s="1">
        <v>8.9100952186467269E-2</v>
      </c>
      <c r="T1675" t="s">
        <v>1822</v>
      </c>
      <c r="U1675" s="1">
        <v>9430</v>
      </c>
      <c r="V1675">
        <f t="shared" si="104"/>
        <v>0.44161241030414761</v>
      </c>
      <c r="W1675" s="1">
        <f t="shared" si="105"/>
        <v>5.4000000000000057</v>
      </c>
      <c r="X1675">
        <f t="shared" si="106"/>
        <v>3.4297521000000053E-2</v>
      </c>
      <c r="Y1675">
        <f t="shared" si="107"/>
        <v>1.0999999999999943</v>
      </c>
      <c r="Z1675" s="1">
        <v>8</v>
      </c>
      <c r="AA1675">
        <v>92</v>
      </c>
      <c r="AB1675">
        <v>8.6999999999999994E-2</v>
      </c>
      <c r="AC1675">
        <v>10</v>
      </c>
      <c r="AD1675">
        <v>63</v>
      </c>
      <c r="AE1675">
        <v>0.15870000000000001</v>
      </c>
      <c r="AF1675" t="s">
        <v>2589</v>
      </c>
      <c r="AG1675" t="s">
        <v>2590</v>
      </c>
    </row>
    <row r="1676" spans="1:33">
      <c r="A1676" s="2" t="s">
        <v>87</v>
      </c>
      <c r="B1676" s="2" t="s">
        <v>10</v>
      </c>
      <c r="C1676" s="1">
        <v>0.46780425199999998</v>
      </c>
      <c r="D1676">
        <v>0.54149707400000002</v>
      </c>
      <c r="E1676">
        <v>0.61626236400000001</v>
      </c>
      <c r="F1676" s="1" t="s">
        <v>88</v>
      </c>
      <c r="G1676" s="1">
        <v>1.395454545</v>
      </c>
      <c r="H1676" s="1">
        <v>65.2</v>
      </c>
      <c r="I1676" s="1">
        <v>110</v>
      </c>
      <c r="J1676" s="1">
        <v>0.54185456333333337</v>
      </c>
      <c r="K1676" s="1">
        <v>0.52456325500000001</v>
      </c>
      <c r="L1676" s="1">
        <v>0.61925627999999999</v>
      </c>
      <c r="M1676" s="3">
        <v>0.72111139899999999</v>
      </c>
      <c r="N1676" s="1" t="s">
        <v>12</v>
      </c>
      <c r="O1676" s="1">
        <v>0.61690647499999995</v>
      </c>
      <c r="P1676" s="1">
        <v>30</v>
      </c>
      <c r="Q1676" s="1">
        <v>111.2</v>
      </c>
      <c r="R1676" s="1">
        <v>0.62164364466666666</v>
      </c>
      <c r="S1676" s="1">
        <v>0.14234253995111815</v>
      </c>
      <c r="T1676" t="s">
        <v>1823</v>
      </c>
      <c r="U1676" s="1">
        <v>2185</v>
      </c>
      <c r="V1676">
        <f t="shared" si="104"/>
        <v>0.37105016014516007</v>
      </c>
      <c r="W1676" s="1">
        <f t="shared" si="105"/>
        <v>35.200000000000003</v>
      </c>
      <c r="X1676">
        <f t="shared" si="106"/>
        <v>0.77854807000000004</v>
      </c>
      <c r="Y1676">
        <f t="shared" si="107"/>
        <v>1.2000000000000028</v>
      </c>
      <c r="Z1676" s="1">
        <v>3</v>
      </c>
      <c r="AA1676">
        <v>97</v>
      </c>
      <c r="AB1676">
        <v>3.09E-2</v>
      </c>
      <c r="AC1676">
        <v>4</v>
      </c>
      <c r="AD1676">
        <v>135</v>
      </c>
      <c r="AE1676">
        <v>2.9600000000000001E-2</v>
      </c>
      <c r="AF1676" t="s">
        <v>2590</v>
      </c>
      <c r="AG1676" t="s">
        <v>2588</v>
      </c>
    </row>
    <row r="1677" spans="1:33">
      <c r="A1677" s="2" t="s">
        <v>87</v>
      </c>
      <c r="B1677" s="2" t="s">
        <v>13</v>
      </c>
      <c r="C1677" s="1">
        <v>0.46780425199999998</v>
      </c>
      <c r="D1677">
        <v>0.54149707400000002</v>
      </c>
      <c r="E1677">
        <v>0.61626236400000001</v>
      </c>
      <c r="F1677" s="1" t="s">
        <v>88</v>
      </c>
      <c r="G1677" s="1">
        <v>1.395454545</v>
      </c>
      <c r="H1677" s="1">
        <v>65.2</v>
      </c>
      <c r="I1677" s="1">
        <v>110</v>
      </c>
      <c r="J1677" s="1">
        <v>0.54185456333333337</v>
      </c>
      <c r="K1677" s="1">
        <v>0.48695497399999998</v>
      </c>
      <c r="L1677" s="1">
        <v>0.54991327199999995</v>
      </c>
      <c r="M1677" s="3">
        <v>0.67282609299999996</v>
      </c>
      <c r="N1677" s="1" t="s">
        <v>14</v>
      </c>
      <c r="O1677" s="1">
        <v>1.6052009460000001</v>
      </c>
      <c r="P1677" s="1">
        <v>26.6</v>
      </c>
      <c r="Q1677" s="1">
        <v>42.3</v>
      </c>
      <c r="R1677" s="1">
        <v>0.56989811299999993</v>
      </c>
      <c r="S1677" s="1">
        <v>6.0307860020746236E-2</v>
      </c>
      <c r="T1677" t="s">
        <v>1824</v>
      </c>
      <c r="U1677" s="1">
        <v>328</v>
      </c>
      <c r="V1677">
        <f t="shared" si="104"/>
        <v>0.27954153819018657</v>
      </c>
      <c r="W1677" s="1">
        <f t="shared" si="105"/>
        <v>38.6</v>
      </c>
      <c r="X1677">
        <f t="shared" si="106"/>
        <v>0.20974640100000008</v>
      </c>
      <c r="Y1677">
        <f t="shared" si="107"/>
        <v>67.7</v>
      </c>
      <c r="Z1677" s="1">
        <v>1</v>
      </c>
      <c r="AA1677">
        <v>99</v>
      </c>
      <c r="AB1677">
        <v>1.01E-2</v>
      </c>
      <c r="AC1677">
        <v>2</v>
      </c>
      <c r="AD1677">
        <v>84</v>
      </c>
      <c r="AE1677">
        <v>2.3800000000000002E-2</v>
      </c>
      <c r="AF1677" t="s">
        <v>2590</v>
      </c>
      <c r="AG1677" t="s">
        <v>2590</v>
      </c>
    </row>
    <row r="1678" spans="1:33">
      <c r="A1678" s="2" t="s">
        <v>87</v>
      </c>
      <c r="B1678" s="2" t="s">
        <v>15</v>
      </c>
      <c r="C1678" s="1">
        <v>0.46780425199999998</v>
      </c>
      <c r="D1678">
        <v>0.54149707400000002</v>
      </c>
      <c r="E1678">
        <v>0.61626236400000001</v>
      </c>
      <c r="F1678" s="1" t="s">
        <v>88</v>
      </c>
      <c r="G1678" s="1">
        <v>1.395454545</v>
      </c>
      <c r="H1678" s="1">
        <v>65.2</v>
      </c>
      <c r="I1678" s="1">
        <v>110</v>
      </c>
      <c r="J1678" s="1">
        <v>0.54185456333333337</v>
      </c>
      <c r="K1678" s="1">
        <v>0.54560998800000005</v>
      </c>
      <c r="L1678" s="1">
        <v>0.66721428400000005</v>
      </c>
      <c r="M1678" s="3">
        <v>0.72650398400000005</v>
      </c>
      <c r="N1678" s="1" t="s">
        <v>16</v>
      </c>
      <c r="O1678" s="1">
        <v>5.1392405060000002</v>
      </c>
      <c r="P1678" s="1">
        <v>35.9</v>
      </c>
      <c r="Q1678" s="1">
        <v>15.8</v>
      </c>
      <c r="R1678" s="1">
        <v>0.64644275200000012</v>
      </c>
      <c r="S1678" s="1">
        <v>0.18442278662060776</v>
      </c>
      <c r="T1678" t="s">
        <v>1825</v>
      </c>
      <c r="U1678" s="1">
        <v>775</v>
      </c>
      <c r="V1678">
        <f t="shared" si="104"/>
        <v>0.32103352250070111</v>
      </c>
      <c r="W1678" s="1">
        <f t="shared" si="105"/>
        <v>29.300000000000004</v>
      </c>
      <c r="X1678">
        <f t="shared" si="106"/>
        <v>3.7437859610000004</v>
      </c>
      <c r="Y1678">
        <f t="shared" si="107"/>
        <v>94.2</v>
      </c>
      <c r="Z1678" s="1">
        <v>0</v>
      </c>
      <c r="AA1678">
        <v>100</v>
      </c>
      <c r="AB1678">
        <v>0</v>
      </c>
      <c r="AC1678">
        <v>0</v>
      </c>
      <c r="AD1678">
        <v>82</v>
      </c>
      <c r="AE1678">
        <v>0</v>
      </c>
      <c r="AF1678" t="s">
        <v>2590</v>
      </c>
      <c r="AG1678" t="s">
        <v>2591</v>
      </c>
    </row>
    <row r="1679" spans="1:33">
      <c r="A1679" s="2" t="s">
        <v>87</v>
      </c>
      <c r="B1679" s="2" t="s">
        <v>17</v>
      </c>
      <c r="C1679" s="1">
        <v>0.46780425199999998</v>
      </c>
      <c r="D1679">
        <v>0.54149707400000002</v>
      </c>
      <c r="E1679">
        <v>0.61626236400000001</v>
      </c>
      <c r="F1679" s="1" t="s">
        <v>88</v>
      </c>
      <c r="G1679" s="1">
        <v>1.395454545</v>
      </c>
      <c r="H1679" s="1">
        <v>65.2</v>
      </c>
      <c r="I1679" s="1">
        <v>110</v>
      </c>
      <c r="J1679" s="1">
        <v>0.54185456333333337</v>
      </c>
      <c r="K1679" s="1">
        <v>0.659112378</v>
      </c>
      <c r="L1679" s="1">
        <v>0.68333493499999998</v>
      </c>
      <c r="M1679" s="3">
        <v>0.70345495199999997</v>
      </c>
      <c r="N1679" s="1" t="s">
        <v>18</v>
      </c>
      <c r="O1679" s="1">
        <v>1.9463955639999999</v>
      </c>
      <c r="P1679" s="1">
        <v>46.3</v>
      </c>
      <c r="Q1679" s="1">
        <v>54.1</v>
      </c>
      <c r="R1679" s="1">
        <v>0.68196742166666668</v>
      </c>
      <c r="S1679" s="1">
        <v>0.25361254954915957</v>
      </c>
      <c r="T1679" t="s">
        <v>1826</v>
      </c>
      <c r="U1679" s="1">
        <v>6972</v>
      </c>
      <c r="V1679">
        <f t="shared" si="104"/>
        <v>0.42703970871532843</v>
      </c>
      <c r="W1679" s="1">
        <f t="shared" si="105"/>
        <v>18.900000000000006</v>
      </c>
      <c r="X1679">
        <f t="shared" si="106"/>
        <v>0.55094101899999992</v>
      </c>
      <c r="Y1679">
        <f t="shared" si="107"/>
        <v>55.9</v>
      </c>
      <c r="Z1679" s="1">
        <v>0</v>
      </c>
      <c r="AA1679">
        <v>100</v>
      </c>
      <c r="AB1679">
        <v>0</v>
      </c>
      <c r="AC1679">
        <v>0</v>
      </c>
      <c r="AD1679">
        <v>96</v>
      </c>
      <c r="AE1679">
        <v>0</v>
      </c>
      <c r="AF1679" t="s">
        <v>2590</v>
      </c>
      <c r="AG1679" t="s">
        <v>2591</v>
      </c>
    </row>
    <row r="1680" spans="1:33">
      <c r="A1680" s="2" t="s">
        <v>87</v>
      </c>
      <c r="B1680" s="2" t="s">
        <v>19</v>
      </c>
      <c r="C1680" s="1">
        <v>0.46780425199999998</v>
      </c>
      <c r="D1680">
        <v>0.54149707400000002</v>
      </c>
      <c r="E1680">
        <v>0.61626236400000001</v>
      </c>
      <c r="F1680" s="1" t="s">
        <v>88</v>
      </c>
      <c r="G1680" s="1">
        <v>1.395454545</v>
      </c>
      <c r="H1680" s="1">
        <v>65.2</v>
      </c>
      <c r="I1680" s="1">
        <v>110</v>
      </c>
      <c r="J1680" s="1">
        <v>0.54185456333333337</v>
      </c>
      <c r="K1680" s="1">
        <v>0.49391595300000002</v>
      </c>
      <c r="L1680" s="1">
        <v>0.603599314</v>
      </c>
      <c r="M1680" s="3">
        <v>0.63481471599999995</v>
      </c>
      <c r="N1680" s="1" t="s">
        <v>20</v>
      </c>
      <c r="O1680" s="1">
        <v>1.2140902870000001</v>
      </c>
      <c r="P1680" s="1">
        <v>64.900000000000006</v>
      </c>
      <c r="Q1680" s="1">
        <v>146.19999999999999</v>
      </c>
      <c r="R1680" s="1">
        <v>0.57744332766666662</v>
      </c>
      <c r="S1680" s="1">
        <v>6.9876311485816869E-2</v>
      </c>
      <c r="T1680" t="s">
        <v>1827</v>
      </c>
      <c r="U1680" s="1">
        <v>12186</v>
      </c>
      <c r="V1680">
        <f t="shared" si="104"/>
        <v>0.45398457486538341</v>
      </c>
      <c r="W1680" s="1">
        <f t="shared" si="105"/>
        <v>0.29999999999999716</v>
      </c>
      <c r="X1680">
        <f t="shared" si="106"/>
        <v>0.18136425799999989</v>
      </c>
      <c r="Y1680">
        <f t="shared" si="107"/>
        <v>36.199999999999989</v>
      </c>
      <c r="Z1680" s="1">
        <v>7</v>
      </c>
      <c r="AA1680">
        <v>93</v>
      </c>
      <c r="AB1680">
        <v>7.5300000000000006E-2</v>
      </c>
      <c r="AC1680">
        <v>8</v>
      </c>
      <c r="AD1680">
        <v>68</v>
      </c>
      <c r="AE1680">
        <v>0.1176</v>
      </c>
      <c r="AF1680" t="s">
        <v>2590</v>
      </c>
      <c r="AG1680" t="s">
        <v>2593</v>
      </c>
    </row>
    <row r="1681" spans="1:33">
      <c r="A1681" s="2" t="s">
        <v>87</v>
      </c>
      <c r="B1681" s="2" t="s">
        <v>21</v>
      </c>
      <c r="C1681" s="1">
        <v>0.46780425199999998</v>
      </c>
      <c r="D1681">
        <v>0.54149707400000002</v>
      </c>
      <c r="E1681">
        <v>0.61626236400000001</v>
      </c>
      <c r="F1681" s="1" t="s">
        <v>88</v>
      </c>
      <c r="G1681" s="1">
        <v>1.395454545</v>
      </c>
      <c r="H1681" s="1">
        <v>65.2</v>
      </c>
      <c r="I1681" s="1">
        <v>110</v>
      </c>
      <c r="J1681" s="1">
        <v>0.54185456333333337</v>
      </c>
      <c r="K1681" s="1">
        <v>0.53276376800000003</v>
      </c>
      <c r="L1681" s="1">
        <v>0.65428149899999999</v>
      </c>
      <c r="M1681" s="3">
        <v>0.70160154799999996</v>
      </c>
      <c r="N1681" s="1" t="s">
        <v>22</v>
      </c>
      <c r="O1681" s="1">
        <v>1.2440604749999999</v>
      </c>
      <c r="P1681" s="1">
        <v>24.6</v>
      </c>
      <c r="Q1681" s="1">
        <v>46.3</v>
      </c>
      <c r="R1681" s="1">
        <v>0.62954893833333336</v>
      </c>
      <c r="S1681" s="1">
        <v>0.15563689012352028</v>
      </c>
      <c r="T1681" t="s">
        <v>1828</v>
      </c>
      <c r="U1681" s="1">
        <v>24768</v>
      </c>
      <c r="V1681">
        <f t="shared" si="104"/>
        <v>0.48821010433364431</v>
      </c>
      <c r="W1681" s="1">
        <f t="shared" si="105"/>
        <v>40.6</v>
      </c>
      <c r="X1681">
        <f t="shared" si="106"/>
        <v>0.15139407000000005</v>
      </c>
      <c r="Y1681">
        <f t="shared" si="107"/>
        <v>63.7</v>
      </c>
      <c r="Z1681" s="1">
        <v>1</v>
      </c>
      <c r="AA1681">
        <v>99</v>
      </c>
      <c r="AB1681">
        <v>1.01E-2</v>
      </c>
      <c r="AC1681">
        <v>2</v>
      </c>
      <c r="AD1681">
        <v>80</v>
      </c>
      <c r="AE1681">
        <v>2.5000000000000001E-2</v>
      </c>
      <c r="AF1681" t="s">
        <v>2590</v>
      </c>
      <c r="AG1681" t="s">
        <v>2589</v>
      </c>
    </row>
    <row r="1682" spans="1:33">
      <c r="A1682" s="2" t="s">
        <v>87</v>
      </c>
      <c r="B1682" s="2" t="s">
        <v>23</v>
      </c>
      <c r="C1682" s="1">
        <v>0.46780425199999998</v>
      </c>
      <c r="D1682">
        <v>0.54149707400000002</v>
      </c>
      <c r="E1682">
        <v>0.61626236400000001</v>
      </c>
      <c r="F1682" s="1" t="s">
        <v>88</v>
      </c>
      <c r="G1682" s="1">
        <v>1.395454545</v>
      </c>
      <c r="H1682" s="1">
        <v>65.2</v>
      </c>
      <c r="I1682" s="1">
        <v>110</v>
      </c>
      <c r="J1682" s="1">
        <v>0.54185456333333337</v>
      </c>
      <c r="K1682" s="1">
        <v>0.49415677200000002</v>
      </c>
      <c r="L1682" s="1">
        <v>0.62090818999999997</v>
      </c>
      <c r="M1682" s="3">
        <v>0.63381026900000004</v>
      </c>
      <c r="N1682" s="1" t="s">
        <v>24</v>
      </c>
      <c r="O1682" s="1">
        <v>1.141304348</v>
      </c>
      <c r="P1682" s="1">
        <v>44.4</v>
      </c>
      <c r="Q1682" s="1">
        <v>101.2</v>
      </c>
      <c r="R1682" s="1">
        <v>0.58295841033333329</v>
      </c>
      <c r="S1682" s="1">
        <v>8.5489821760282525E-2</v>
      </c>
      <c r="T1682" t="s">
        <v>1829</v>
      </c>
      <c r="U1682" s="1">
        <v>1923</v>
      </c>
      <c r="V1682">
        <f t="shared" si="104"/>
        <v>0.36488658713760885</v>
      </c>
      <c r="W1682" s="1">
        <f t="shared" si="105"/>
        <v>20.800000000000004</v>
      </c>
      <c r="X1682">
        <f t="shared" si="106"/>
        <v>0.25415019699999997</v>
      </c>
      <c r="Y1682">
        <f t="shared" si="107"/>
        <v>8.7999999999999972</v>
      </c>
      <c r="Z1682" s="1">
        <v>3</v>
      </c>
      <c r="AA1682">
        <v>97</v>
      </c>
      <c r="AB1682">
        <v>3.09E-2</v>
      </c>
      <c r="AC1682">
        <v>5</v>
      </c>
      <c r="AD1682">
        <v>73</v>
      </c>
      <c r="AE1682">
        <v>6.8500000000000005E-2</v>
      </c>
      <c r="AF1682" t="s">
        <v>2590</v>
      </c>
      <c r="AG1682" t="s">
        <v>2590</v>
      </c>
    </row>
    <row r="1683" spans="1:33">
      <c r="A1683" s="2" t="s">
        <v>87</v>
      </c>
      <c r="B1683" s="2" t="s">
        <v>25</v>
      </c>
      <c r="C1683" s="1">
        <v>0.46780425199999998</v>
      </c>
      <c r="D1683">
        <v>0.54149707400000002</v>
      </c>
      <c r="E1683">
        <v>0.61626236400000001</v>
      </c>
      <c r="F1683" s="1" t="s">
        <v>88</v>
      </c>
      <c r="G1683" s="1">
        <v>1.395454545</v>
      </c>
      <c r="H1683" s="1">
        <v>65.2</v>
      </c>
      <c r="I1683" s="1">
        <v>110</v>
      </c>
      <c r="J1683" s="1">
        <v>0.54185456333333337</v>
      </c>
      <c r="K1683" s="1">
        <v>0.53959274199999996</v>
      </c>
      <c r="L1683" s="1">
        <v>0.64971567399999997</v>
      </c>
      <c r="M1683" s="3">
        <v>0.65028459999999999</v>
      </c>
      <c r="N1683" s="1" t="s">
        <v>26</v>
      </c>
      <c r="O1683" s="1">
        <v>1.623046875</v>
      </c>
      <c r="P1683" s="1">
        <v>34.700000000000003</v>
      </c>
      <c r="Q1683" s="1">
        <v>51.2</v>
      </c>
      <c r="R1683" s="1">
        <v>0.61319767199999997</v>
      </c>
      <c r="S1683" s="1">
        <v>0.13424740304706001</v>
      </c>
      <c r="T1683" t="s">
        <v>1830</v>
      </c>
      <c r="U1683" s="1">
        <v>3793</v>
      </c>
      <c r="V1683">
        <f t="shared" si="104"/>
        <v>0.39766476030031006</v>
      </c>
      <c r="W1683" s="1">
        <f t="shared" si="105"/>
        <v>30.5</v>
      </c>
      <c r="X1683">
        <f t="shared" si="106"/>
        <v>0.22759233000000001</v>
      </c>
      <c r="Y1683">
        <f t="shared" si="107"/>
        <v>58.8</v>
      </c>
      <c r="Z1683" s="1">
        <v>0</v>
      </c>
      <c r="AA1683">
        <v>100</v>
      </c>
      <c r="AB1683">
        <v>0</v>
      </c>
      <c r="AC1683">
        <v>0</v>
      </c>
      <c r="AD1683">
        <v>80</v>
      </c>
      <c r="AE1683">
        <v>0</v>
      </c>
      <c r="AF1683" t="s">
        <v>2590</v>
      </c>
      <c r="AG1683" t="s">
        <v>2594</v>
      </c>
    </row>
    <row r="1684" spans="1:33">
      <c r="A1684" s="2" t="s">
        <v>87</v>
      </c>
      <c r="B1684" s="2" t="s">
        <v>27</v>
      </c>
      <c r="C1684" s="1">
        <v>0.46780425199999998</v>
      </c>
      <c r="D1684">
        <v>0.54149707400000002</v>
      </c>
      <c r="E1684">
        <v>0.61626236400000001</v>
      </c>
      <c r="F1684" s="1" t="s">
        <v>88</v>
      </c>
      <c r="G1684" s="1">
        <v>1.395454545</v>
      </c>
      <c r="H1684" s="1">
        <v>65.2</v>
      </c>
      <c r="I1684" s="1">
        <v>110</v>
      </c>
      <c r="J1684" s="1">
        <v>0.54185456333333337</v>
      </c>
      <c r="K1684" s="1">
        <v>0.518608662</v>
      </c>
      <c r="L1684" s="1">
        <v>0.64320369700000002</v>
      </c>
      <c r="M1684" s="3">
        <v>0.62228994199999998</v>
      </c>
      <c r="N1684" s="1" t="s">
        <v>28</v>
      </c>
      <c r="O1684" s="1">
        <v>1.8717391299999999</v>
      </c>
      <c r="P1684" s="1">
        <v>33.700000000000003</v>
      </c>
      <c r="Q1684" s="1">
        <v>46</v>
      </c>
      <c r="R1684" s="1">
        <v>0.59470076699999996</v>
      </c>
      <c r="S1684" s="1">
        <v>0.11384927287452613</v>
      </c>
      <c r="T1684" t="s">
        <v>1831</v>
      </c>
      <c r="U1684" s="1">
        <v>16548</v>
      </c>
      <c r="V1684">
        <f t="shared" si="104"/>
        <v>0.46874950135816384</v>
      </c>
      <c r="W1684" s="1">
        <f t="shared" si="105"/>
        <v>31.5</v>
      </c>
      <c r="X1684">
        <f t="shared" si="106"/>
        <v>0.47628458499999993</v>
      </c>
      <c r="Y1684">
        <f t="shared" si="107"/>
        <v>64</v>
      </c>
      <c r="Z1684" s="1">
        <v>2</v>
      </c>
      <c r="AA1684">
        <v>98</v>
      </c>
      <c r="AB1684">
        <v>2.0400000000000001E-2</v>
      </c>
      <c r="AC1684">
        <v>3</v>
      </c>
      <c r="AD1684">
        <v>84</v>
      </c>
      <c r="AE1684">
        <v>3.5700000000000003E-2</v>
      </c>
      <c r="AF1684" t="s">
        <v>2590</v>
      </c>
      <c r="AG1684" t="s">
        <v>2590</v>
      </c>
    </row>
    <row r="1685" spans="1:33">
      <c r="A1685" s="2" t="s">
        <v>87</v>
      </c>
      <c r="B1685" s="2" t="s">
        <v>29</v>
      </c>
      <c r="C1685" s="1">
        <v>0.46780425199999998</v>
      </c>
      <c r="D1685">
        <v>0.54149707400000002</v>
      </c>
      <c r="E1685">
        <v>0.61626236400000001</v>
      </c>
      <c r="F1685" s="1" t="s">
        <v>88</v>
      </c>
      <c r="G1685" s="1">
        <v>1.395454545</v>
      </c>
      <c r="H1685" s="1">
        <v>65.2</v>
      </c>
      <c r="I1685" s="1">
        <v>110</v>
      </c>
      <c r="J1685" s="1">
        <v>0.54185456333333337</v>
      </c>
      <c r="K1685" s="1">
        <v>0.59351545100000003</v>
      </c>
      <c r="L1685" s="1">
        <v>0.68136602400000001</v>
      </c>
      <c r="M1685" s="3">
        <v>0.73518087600000004</v>
      </c>
      <c r="N1685" s="1" t="s">
        <v>30</v>
      </c>
      <c r="O1685" s="1">
        <v>2.849112426</v>
      </c>
      <c r="P1685" s="1">
        <v>37.9</v>
      </c>
      <c r="Q1685" s="1">
        <v>33.799999999999997</v>
      </c>
      <c r="R1685" s="1">
        <v>0.67002078366666673</v>
      </c>
      <c r="S1685" s="1">
        <v>0.22250447461661138</v>
      </c>
      <c r="T1685" t="s">
        <v>1832</v>
      </c>
      <c r="U1685" s="1">
        <v>666</v>
      </c>
      <c r="V1685">
        <f t="shared" si="104"/>
        <v>0.3137193587967001</v>
      </c>
      <c r="W1685" s="1">
        <f t="shared" si="105"/>
        <v>27.300000000000004</v>
      </c>
      <c r="X1685">
        <f t="shared" si="106"/>
        <v>1.453657881</v>
      </c>
      <c r="Y1685">
        <f t="shared" si="107"/>
        <v>76.2</v>
      </c>
      <c r="Z1685" s="1">
        <v>0</v>
      </c>
      <c r="AA1685">
        <v>100</v>
      </c>
      <c r="AB1685">
        <v>0</v>
      </c>
      <c r="AC1685">
        <v>0</v>
      </c>
      <c r="AD1685">
        <v>76</v>
      </c>
      <c r="AE1685">
        <v>0</v>
      </c>
      <c r="AF1685" t="s">
        <v>2590</v>
      </c>
      <c r="AG1685" t="s">
        <v>2593</v>
      </c>
    </row>
    <row r="1686" spans="1:33">
      <c r="A1686" s="2" t="s">
        <v>87</v>
      </c>
      <c r="B1686" s="2" t="s">
        <v>31</v>
      </c>
      <c r="C1686" s="1">
        <v>0.46780425199999998</v>
      </c>
      <c r="D1686">
        <v>0.54149707400000002</v>
      </c>
      <c r="E1686">
        <v>0.61626236400000001</v>
      </c>
      <c r="F1686" s="1" t="s">
        <v>88</v>
      </c>
      <c r="G1686" s="1">
        <v>1.395454545</v>
      </c>
      <c r="H1686" s="1">
        <v>65.2</v>
      </c>
      <c r="I1686" s="1">
        <v>110</v>
      </c>
      <c r="J1686" s="1">
        <v>0.54185456333333337</v>
      </c>
      <c r="K1686" s="1">
        <v>0.47727961800000002</v>
      </c>
      <c r="L1686" s="1">
        <v>0.66941086400000005</v>
      </c>
      <c r="M1686" s="3">
        <v>0.69294815300000001</v>
      </c>
      <c r="N1686" s="1" t="s">
        <v>32</v>
      </c>
      <c r="O1686" s="1">
        <v>1.341891892</v>
      </c>
      <c r="P1686" s="1">
        <v>42.1</v>
      </c>
      <c r="Q1686" s="1">
        <v>74</v>
      </c>
      <c r="R1686" s="1">
        <v>0.61321287833333338</v>
      </c>
      <c r="S1686" s="1">
        <v>0.14944039101779205</v>
      </c>
      <c r="T1686" t="s">
        <v>1833</v>
      </c>
      <c r="U1686" s="1">
        <v>4297</v>
      </c>
      <c r="V1686">
        <f t="shared" si="104"/>
        <v>0.40368503929821142</v>
      </c>
      <c r="W1686" s="1">
        <f t="shared" si="105"/>
        <v>23.1</v>
      </c>
      <c r="X1686">
        <f t="shared" si="106"/>
        <v>5.356265299999996E-2</v>
      </c>
      <c r="Y1686">
        <f t="shared" si="107"/>
        <v>36</v>
      </c>
      <c r="Z1686" s="1">
        <v>7</v>
      </c>
      <c r="AA1686">
        <v>93</v>
      </c>
      <c r="AB1686">
        <v>7.5300000000000006E-2</v>
      </c>
      <c r="AC1686">
        <v>9</v>
      </c>
      <c r="AD1686">
        <v>75</v>
      </c>
      <c r="AE1686">
        <v>0.12</v>
      </c>
      <c r="AF1686" t="s">
        <v>2590</v>
      </c>
      <c r="AG1686" t="s">
        <v>2589</v>
      </c>
    </row>
    <row r="1687" spans="1:33">
      <c r="A1687" s="2" t="s">
        <v>87</v>
      </c>
      <c r="B1687" s="2" t="s">
        <v>33</v>
      </c>
      <c r="C1687" s="1">
        <v>0.46780425199999998</v>
      </c>
      <c r="D1687">
        <v>0.54149707400000002</v>
      </c>
      <c r="E1687">
        <v>0.61626236400000001</v>
      </c>
      <c r="F1687" s="1" t="s">
        <v>88</v>
      </c>
      <c r="G1687" s="1">
        <v>1.395454545</v>
      </c>
      <c r="H1687" s="1">
        <v>65.2</v>
      </c>
      <c r="I1687" s="1">
        <v>110</v>
      </c>
      <c r="J1687" s="1">
        <v>0.54185456333333337</v>
      </c>
      <c r="K1687" s="1">
        <v>0.51347926600000005</v>
      </c>
      <c r="L1687" s="1">
        <v>0.63144379399999995</v>
      </c>
      <c r="M1687" s="3">
        <v>0.64189093500000005</v>
      </c>
      <c r="N1687" s="1" t="s">
        <v>34</v>
      </c>
      <c r="O1687" s="1">
        <v>2.3123667380000001</v>
      </c>
      <c r="P1687" s="1">
        <v>79.099999999999994</v>
      </c>
      <c r="Q1687" s="1">
        <v>93.8</v>
      </c>
      <c r="R1687" s="1">
        <v>0.59560466500000009</v>
      </c>
      <c r="S1687" s="1">
        <v>0.10408382676554813</v>
      </c>
      <c r="T1687" t="s">
        <v>1834</v>
      </c>
      <c r="U1687" s="1">
        <v>5450</v>
      </c>
      <c r="V1687">
        <f t="shared" si="104"/>
        <v>0.41515516691962695</v>
      </c>
      <c r="W1687" s="1">
        <f t="shared" si="105"/>
        <v>13.899999999999991</v>
      </c>
      <c r="X1687">
        <f t="shared" si="106"/>
        <v>0.91691219300000015</v>
      </c>
      <c r="Y1687">
        <f t="shared" si="107"/>
        <v>16.200000000000003</v>
      </c>
      <c r="Z1687" s="1">
        <v>5</v>
      </c>
      <c r="AA1687">
        <v>95</v>
      </c>
      <c r="AB1687">
        <v>5.2600000000000001E-2</v>
      </c>
      <c r="AC1687">
        <v>6</v>
      </c>
      <c r="AD1687">
        <v>72</v>
      </c>
      <c r="AE1687">
        <v>8.3299999999999999E-2</v>
      </c>
      <c r="AF1687" t="s">
        <v>2590</v>
      </c>
      <c r="AG1687" t="s">
        <v>2590</v>
      </c>
    </row>
    <row r="1688" spans="1:33">
      <c r="A1688" s="2" t="s">
        <v>87</v>
      </c>
      <c r="B1688" s="2" t="s">
        <v>35</v>
      </c>
      <c r="C1688" s="1">
        <v>0.46780425199999998</v>
      </c>
      <c r="D1688">
        <v>0.54149707400000002</v>
      </c>
      <c r="E1688">
        <v>0.61626236400000001</v>
      </c>
      <c r="F1688" s="1" t="s">
        <v>88</v>
      </c>
      <c r="G1688" s="1">
        <v>1.395454545</v>
      </c>
      <c r="H1688" s="1">
        <v>65.2</v>
      </c>
      <c r="I1688" s="1">
        <v>110</v>
      </c>
      <c r="J1688" s="1">
        <v>0.54185456333333337</v>
      </c>
      <c r="K1688" s="1">
        <v>0.52542897600000005</v>
      </c>
      <c r="L1688" s="1">
        <v>0.60774736299999998</v>
      </c>
      <c r="M1688" s="3">
        <v>0.62585751700000003</v>
      </c>
      <c r="N1688" s="1" t="s">
        <v>36</v>
      </c>
      <c r="O1688" s="1">
        <v>0.98848810399999998</v>
      </c>
      <c r="P1688" s="1">
        <v>54.2</v>
      </c>
      <c r="Q1688" s="1">
        <v>130.30000000000001</v>
      </c>
      <c r="R1688" s="1">
        <v>0.58634461866666665</v>
      </c>
      <c r="S1688" s="1">
        <v>8.8327665936291502E-2</v>
      </c>
      <c r="T1688" t="s">
        <v>1835</v>
      </c>
      <c r="U1688" s="1">
        <v>8649</v>
      </c>
      <c r="V1688">
        <f t="shared" si="104"/>
        <v>0.43744065523420778</v>
      </c>
      <c r="W1688" s="1">
        <f t="shared" si="105"/>
        <v>11</v>
      </c>
      <c r="X1688">
        <f t="shared" si="106"/>
        <v>0.40696644100000001</v>
      </c>
      <c r="Y1688">
        <f t="shared" si="107"/>
        <v>20.300000000000011</v>
      </c>
      <c r="Z1688" s="1">
        <v>7</v>
      </c>
      <c r="AA1688">
        <v>93</v>
      </c>
      <c r="AB1688">
        <v>7.5300000000000006E-2</v>
      </c>
      <c r="AC1688">
        <v>9</v>
      </c>
      <c r="AD1688">
        <v>68</v>
      </c>
      <c r="AE1688">
        <v>0.13239999999999999</v>
      </c>
      <c r="AF1688" t="s">
        <v>2590</v>
      </c>
      <c r="AG1688" t="s">
        <v>2589</v>
      </c>
    </row>
    <row r="1689" spans="1:33">
      <c r="A1689" s="2" t="s">
        <v>87</v>
      </c>
      <c r="B1689" s="2" t="s">
        <v>37</v>
      </c>
      <c r="C1689" s="1">
        <v>0.46780425199999998</v>
      </c>
      <c r="D1689">
        <v>0.54149707400000002</v>
      </c>
      <c r="E1689">
        <v>0.61626236400000001</v>
      </c>
      <c r="F1689" s="1" t="s">
        <v>88</v>
      </c>
      <c r="G1689" s="1">
        <v>1.395454545</v>
      </c>
      <c r="H1689" s="1">
        <v>65.2</v>
      </c>
      <c r="I1689" s="1">
        <v>110</v>
      </c>
      <c r="J1689" s="1">
        <v>0.54185456333333337</v>
      </c>
      <c r="K1689" s="1">
        <v>0.50856695500000004</v>
      </c>
      <c r="L1689" s="1">
        <v>0.654733224</v>
      </c>
      <c r="M1689" s="3">
        <v>0.61418267199999999</v>
      </c>
      <c r="N1689" s="1" t="s">
        <v>38</v>
      </c>
      <c r="O1689" s="1">
        <v>0.64065708399999999</v>
      </c>
      <c r="P1689" s="1">
        <v>41.9</v>
      </c>
      <c r="Q1689" s="1">
        <v>146.1</v>
      </c>
      <c r="R1689" s="1">
        <v>0.59249428366666679</v>
      </c>
      <c r="S1689" s="1">
        <v>0.1203675568477801</v>
      </c>
      <c r="T1689" t="s">
        <v>1836</v>
      </c>
      <c r="U1689" s="1">
        <v>5063</v>
      </c>
      <c r="V1689">
        <f t="shared" si="104"/>
        <v>0.41160088082076007</v>
      </c>
      <c r="W1689" s="1">
        <f t="shared" si="105"/>
        <v>23.300000000000004</v>
      </c>
      <c r="X1689">
        <f t="shared" si="106"/>
        <v>0.754797461</v>
      </c>
      <c r="Y1689">
        <f t="shared" si="107"/>
        <v>36.099999999999994</v>
      </c>
      <c r="Z1689" s="1">
        <v>4</v>
      </c>
      <c r="AA1689">
        <v>96</v>
      </c>
      <c r="AB1689">
        <v>4.1700000000000001E-2</v>
      </c>
      <c r="AC1689">
        <v>5</v>
      </c>
      <c r="AD1689">
        <v>71</v>
      </c>
      <c r="AE1689">
        <v>7.0400000000000004E-2</v>
      </c>
      <c r="AF1689" t="s">
        <v>2590</v>
      </c>
      <c r="AG1689" t="s">
        <v>2590</v>
      </c>
    </row>
    <row r="1690" spans="1:33">
      <c r="A1690" s="2" t="s">
        <v>87</v>
      </c>
      <c r="B1690" s="2" t="s">
        <v>39</v>
      </c>
      <c r="C1690" s="1">
        <v>0.46780425199999998</v>
      </c>
      <c r="D1690">
        <v>0.54149707400000002</v>
      </c>
      <c r="E1690">
        <v>0.61626236400000001</v>
      </c>
      <c r="F1690" s="1" t="s">
        <v>88</v>
      </c>
      <c r="G1690" s="1">
        <v>1.395454545</v>
      </c>
      <c r="H1690" s="1">
        <v>65.2</v>
      </c>
      <c r="I1690" s="1">
        <v>110</v>
      </c>
      <c r="J1690" s="1">
        <v>0.54185456333333337</v>
      </c>
      <c r="K1690" s="1">
        <v>0.60811616199999996</v>
      </c>
      <c r="L1690" s="1">
        <v>0.721105683</v>
      </c>
      <c r="M1690" s="3">
        <v>0.741016169</v>
      </c>
      <c r="N1690" s="1" t="s">
        <v>40</v>
      </c>
      <c r="O1690" s="1">
        <v>1.0601915180000001</v>
      </c>
      <c r="P1690" s="1">
        <v>34</v>
      </c>
      <c r="Q1690" s="1">
        <v>73.099999999999994</v>
      </c>
      <c r="R1690" s="1">
        <v>0.69007933799999999</v>
      </c>
      <c r="S1690" s="1">
        <v>0.2598272433305272</v>
      </c>
      <c r="T1690" t="s">
        <v>1837</v>
      </c>
      <c r="U1690" s="1">
        <v>8303</v>
      </c>
      <c r="V1690">
        <f t="shared" si="104"/>
        <v>0.43547055976925009</v>
      </c>
      <c r="W1690" s="1">
        <f t="shared" si="105"/>
        <v>31.200000000000003</v>
      </c>
      <c r="X1690">
        <f t="shared" si="106"/>
        <v>0.33526302699999988</v>
      </c>
      <c r="Y1690">
        <f t="shared" si="107"/>
        <v>36.900000000000006</v>
      </c>
      <c r="Z1690" s="1">
        <v>2</v>
      </c>
      <c r="AA1690">
        <v>98</v>
      </c>
      <c r="AB1690">
        <v>2.0400000000000001E-2</v>
      </c>
      <c r="AC1690">
        <v>4</v>
      </c>
      <c r="AD1690">
        <v>75</v>
      </c>
      <c r="AE1690">
        <v>5.33E-2</v>
      </c>
      <c r="AF1690" t="s">
        <v>2590</v>
      </c>
      <c r="AG1690" t="s">
        <v>2589</v>
      </c>
    </row>
    <row r="1691" spans="1:33">
      <c r="A1691" s="2" t="s">
        <v>87</v>
      </c>
      <c r="B1691" s="2" t="s">
        <v>41</v>
      </c>
      <c r="C1691" s="1">
        <v>0.46780425199999998</v>
      </c>
      <c r="D1691">
        <v>0.54149707400000002</v>
      </c>
      <c r="E1691">
        <v>0.61626236400000001</v>
      </c>
      <c r="F1691" s="1" t="s">
        <v>88</v>
      </c>
      <c r="G1691" s="1">
        <v>1.395454545</v>
      </c>
      <c r="H1691" s="1">
        <v>65.2</v>
      </c>
      <c r="I1691" s="1">
        <v>110</v>
      </c>
      <c r="J1691" s="1">
        <v>0.54185456333333337</v>
      </c>
      <c r="K1691" s="1">
        <v>0.60402244999999999</v>
      </c>
      <c r="L1691" s="1">
        <v>0.669189213</v>
      </c>
      <c r="M1691" s="3">
        <v>0.69821693799999995</v>
      </c>
      <c r="N1691" s="1" t="s">
        <v>42</v>
      </c>
      <c r="O1691" s="1">
        <v>1.3243902439999999</v>
      </c>
      <c r="P1691" s="1">
        <v>23</v>
      </c>
      <c r="Q1691" s="1">
        <v>41</v>
      </c>
      <c r="R1691" s="1">
        <v>0.65714286700000002</v>
      </c>
      <c r="S1691" s="1">
        <v>0.2039049583219692</v>
      </c>
      <c r="T1691" t="s">
        <v>1838</v>
      </c>
      <c r="U1691" s="1">
        <v>1216</v>
      </c>
      <c r="V1691">
        <f t="shared" si="104"/>
        <v>0.34277039721519065</v>
      </c>
      <c r="W1691" s="1">
        <f t="shared" si="105"/>
        <v>42.2</v>
      </c>
      <c r="X1691">
        <f t="shared" si="106"/>
        <v>7.1064301000000052E-2</v>
      </c>
      <c r="Y1691">
        <f t="shared" si="107"/>
        <v>69</v>
      </c>
      <c r="Z1691" s="1">
        <v>0</v>
      </c>
      <c r="AA1691">
        <v>100</v>
      </c>
      <c r="AB1691">
        <v>0</v>
      </c>
      <c r="AC1691">
        <v>0</v>
      </c>
      <c r="AD1691">
        <v>93</v>
      </c>
      <c r="AE1691">
        <v>0</v>
      </c>
      <c r="AF1691" t="s">
        <v>2590</v>
      </c>
      <c r="AG1691" t="s">
        <v>2591</v>
      </c>
    </row>
    <row r="1692" spans="1:33">
      <c r="A1692" s="2" t="s">
        <v>87</v>
      </c>
      <c r="B1692" s="2" t="s">
        <v>43</v>
      </c>
      <c r="C1692" s="1">
        <v>0.46780425199999998</v>
      </c>
      <c r="D1692">
        <v>0.54149707400000002</v>
      </c>
      <c r="E1692">
        <v>0.61626236400000001</v>
      </c>
      <c r="F1692" s="1" t="s">
        <v>88</v>
      </c>
      <c r="G1692" s="1">
        <v>1.395454545</v>
      </c>
      <c r="H1692" s="1">
        <v>65.2</v>
      </c>
      <c r="I1692" s="1">
        <v>110</v>
      </c>
      <c r="J1692" s="1">
        <v>0.54185456333333337</v>
      </c>
      <c r="K1692" s="1">
        <v>0.54180634699999997</v>
      </c>
      <c r="L1692" s="1">
        <v>0.59470779900000004</v>
      </c>
      <c r="M1692" s="3">
        <v>0.69518155599999998</v>
      </c>
      <c r="N1692" s="1" t="s">
        <v>44</v>
      </c>
      <c r="O1692" s="1">
        <v>1.7403685090000001</v>
      </c>
      <c r="P1692" s="1">
        <v>41.2</v>
      </c>
      <c r="Q1692" s="1">
        <v>59.7</v>
      </c>
      <c r="R1692" s="1">
        <v>0.61056523400000007</v>
      </c>
      <c r="S1692" s="1">
        <v>0.120565045454093</v>
      </c>
      <c r="T1692" t="s">
        <v>1839</v>
      </c>
      <c r="U1692" s="1">
        <v>10765</v>
      </c>
      <c r="V1692">
        <f t="shared" si="104"/>
        <v>0.44800155935105618</v>
      </c>
      <c r="W1692" s="1">
        <f t="shared" si="105"/>
        <v>24</v>
      </c>
      <c r="X1692">
        <f t="shared" si="106"/>
        <v>0.34491396400000007</v>
      </c>
      <c r="Y1692">
        <f t="shared" si="107"/>
        <v>50.3</v>
      </c>
      <c r="Z1692" s="1">
        <v>7</v>
      </c>
      <c r="AA1692">
        <v>93</v>
      </c>
      <c r="AB1692">
        <v>7.5300000000000006E-2</v>
      </c>
      <c r="AC1692">
        <v>9</v>
      </c>
      <c r="AD1692">
        <v>106</v>
      </c>
      <c r="AE1692">
        <v>8.4900000000000003E-2</v>
      </c>
      <c r="AF1692" t="s">
        <v>2590</v>
      </c>
      <c r="AG1692" t="s">
        <v>2589</v>
      </c>
    </row>
    <row r="1693" spans="1:33">
      <c r="A1693" s="2" t="s">
        <v>87</v>
      </c>
      <c r="B1693" s="2" t="s">
        <v>45</v>
      </c>
      <c r="C1693" s="1">
        <v>0.46780425199999998</v>
      </c>
      <c r="D1693">
        <v>0.54149707400000002</v>
      </c>
      <c r="E1693">
        <v>0.61626236400000001</v>
      </c>
      <c r="F1693" s="1" t="s">
        <v>88</v>
      </c>
      <c r="G1693" s="1">
        <v>1.395454545</v>
      </c>
      <c r="H1693" s="1">
        <v>65.2</v>
      </c>
      <c r="I1693" s="1">
        <v>110</v>
      </c>
      <c r="J1693" s="1">
        <v>0.54185456333333337</v>
      </c>
      <c r="K1693" s="1">
        <v>0.50907007599999998</v>
      </c>
      <c r="L1693" s="1">
        <v>0.68428041399999995</v>
      </c>
      <c r="M1693" s="3">
        <v>0.67454742099999998</v>
      </c>
      <c r="N1693" s="1" t="s">
        <v>46</v>
      </c>
      <c r="O1693" s="1">
        <v>0.98140043799999999</v>
      </c>
      <c r="P1693" s="1">
        <v>38.9</v>
      </c>
      <c r="Q1693" s="1">
        <v>91.4</v>
      </c>
      <c r="R1693" s="1">
        <v>0.62263263699999993</v>
      </c>
      <c r="S1693" s="1">
        <v>0.15964679226795569</v>
      </c>
      <c r="T1693" t="s">
        <v>1840</v>
      </c>
      <c r="U1693" s="1">
        <v>3432</v>
      </c>
      <c r="V1693">
        <f t="shared" si="104"/>
        <v>0.39283858657518533</v>
      </c>
      <c r="W1693" s="1">
        <f t="shared" si="105"/>
        <v>26.300000000000004</v>
      </c>
      <c r="X1693">
        <f t="shared" si="106"/>
        <v>0.414054107</v>
      </c>
      <c r="Y1693">
        <f t="shared" si="107"/>
        <v>18.599999999999994</v>
      </c>
      <c r="Z1693" s="1">
        <v>6</v>
      </c>
      <c r="AA1693">
        <v>94</v>
      </c>
      <c r="AB1693">
        <v>6.3799999999999996E-2</v>
      </c>
      <c r="AC1693">
        <v>8</v>
      </c>
      <c r="AD1693">
        <v>87</v>
      </c>
      <c r="AE1693">
        <v>9.1999999999999998E-2</v>
      </c>
      <c r="AF1693" t="s">
        <v>2590</v>
      </c>
      <c r="AG1693" t="s">
        <v>2589</v>
      </c>
    </row>
    <row r="1694" spans="1:33">
      <c r="A1694" s="2" t="s">
        <v>87</v>
      </c>
      <c r="B1694" s="2" t="s">
        <v>47</v>
      </c>
      <c r="C1694" s="1">
        <v>0.46780425199999998</v>
      </c>
      <c r="D1694">
        <v>0.54149707400000002</v>
      </c>
      <c r="E1694">
        <v>0.61626236400000001</v>
      </c>
      <c r="F1694" s="1" t="s">
        <v>88</v>
      </c>
      <c r="G1694" s="1">
        <v>1.395454545</v>
      </c>
      <c r="H1694" s="1">
        <v>65.2</v>
      </c>
      <c r="I1694" s="1">
        <v>110</v>
      </c>
      <c r="J1694" s="1">
        <v>0.54185456333333337</v>
      </c>
      <c r="K1694" s="1">
        <v>0.50612154099999995</v>
      </c>
      <c r="L1694" s="1">
        <v>0.55940039100000005</v>
      </c>
      <c r="M1694" s="3">
        <v>0.66789001699999995</v>
      </c>
      <c r="N1694" s="1" t="s">
        <v>48</v>
      </c>
      <c r="O1694" s="1">
        <v>1.242622951</v>
      </c>
      <c r="P1694" s="1">
        <v>17.8</v>
      </c>
      <c r="Q1694" s="1">
        <v>30.5</v>
      </c>
      <c r="R1694" s="1">
        <v>0.57780398300000002</v>
      </c>
      <c r="S1694" s="1">
        <v>6.6739478198442725E-2</v>
      </c>
      <c r="T1694" t="s">
        <v>1841</v>
      </c>
      <c r="U1694" s="1">
        <v>555</v>
      </c>
      <c r="V1694">
        <f t="shared" si="104"/>
        <v>0.30492144256918624</v>
      </c>
      <c r="W1694" s="1">
        <f t="shared" si="105"/>
        <v>47.400000000000006</v>
      </c>
      <c r="X1694">
        <f t="shared" si="106"/>
        <v>0.15283159400000002</v>
      </c>
      <c r="Y1694">
        <f t="shared" si="107"/>
        <v>79.5</v>
      </c>
      <c r="Z1694" s="1">
        <v>1</v>
      </c>
      <c r="AA1694">
        <v>99</v>
      </c>
      <c r="AB1694">
        <v>1.01E-2</v>
      </c>
      <c r="AC1694">
        <v>2</v>
      </c>
      <c r="AD1694">
        <v>100</v>
      </c>
      <c r="AE1694">
        <v>0.02</v>
      </c>
      <c r="AF1694" t="s">
        <v>2590</v>
      </c>
      <c r="AG1694" t="s">
        <v>2590</v>
      </c>
    </row>
    <row r="1695" spans="1:33">
      <c r="A1695" s="2" t="s">
        <v>87</v>
      </c>
      <c r="B1695" s="2" t="s">
        <v>49</v>
      </c>
      <c r="C1695" s="1">
        <v>0.46780425199999998</v>
      </c>
      <c r="D1695">
        <v>0.54149707400000002</v>
      </c>
      <c r="E1695">
        <v>0.61626236400000001</v>
      </c>
      <c r="F1695" s="1" t="s">
        <v>88</v>
      </c>
      <c r="G1695" s="1">
        <v>1.395454545</v>
      </c>
      <c r="H1695" s="1">
        <v>65.2</v>
      </c>
      <c r="I1695" s="1">
        <v>110</v>
      </c>
      <c r="J1695" s="1">
        <v>0.54185456333333337</v>
      </c>
      <c r="K1695" s="1">
        <v>0.50647110500000003</v>
      </c>
      <c r="L1695" s="1">
        <v>0.55713136799999996</v>
      </c>
      <c r="M1695" s="3">
        <v>0.63402682300000002</v>
      </c>
      <c r="N1695" s="1" t="s">
        <v>50</v>
      </c>
      <c r="O1695" s="1">
        <v>1.876675603</v>
      </c>
      <c r="P1695" s="1">
        <v>28.8</v>
      </c>
      <c r="Q1695" s="1">
        <v>37.299999999999997</v>
      </c>
      <c r="R1695" s="1">
        <v>0.56587643200000004</v>
      </c>
      <c r="S1695" s="1">
        <v>4.5333571151683259E-2</v>
      </c>
      <c r="T1695" t="s">
        <v>1842</v>
      </c>
      <c r="U1695" s="1">
        <v>5788</v>
      </c>
      <c r="V1695">
        <f t="shared" si="104"/>
        <v>0.41805872471633332</v>
      </c>
      <c r="W1695" s="1">
        <f t="shared" si="105"/>
        <v>36.400000000000006</v>
      </c>
      <c r="X1695">
        <f t="shared" si="106"/>
        <v>0.48122105800000003</v>
      </c>
      <c r="Y1695">
        <f t="shared" si="107"/>
        <v>72.7</v>
      </c>
      <c r="Z1695" s="1">
        <v>2</v>
      </c>
      <c r="AA1695">
        <v>98</v>
      </c>
      <c r="AB1695">
        <v>2.0400000000000001E-2</v>
      </c>
      <c r="AC1695">
        <v>3</v>
      </c>
      <c r="AD1695">
        <v>73</v>
      </c>
      <c r="AE1695">
        <v>4.1099999999999998E-2</v>
      </c>
      <c r="AF1695" t="s">
        <v>2590</v>
      </c>
      <c r="AG1695" t="s">
        <v>2590</v>
      </c>
    </row>
    <row r="1696" spans="1:33">
      <c r="A1696" s="2" t="s">
        <v>87</v>
      </c>
      <c r="B1696" s="2" t="s">
        <v>51</v>
      </c>
      <c r="C1696" s="1">
        <v>0.46780425199999998</v>
      </c>
      <c r="D1696">
        <v>0.54149707400000002</v>
      </c>
      <c r="E1696">
        <v>0.61626236400000001</v>
      </c>
      <c r="F1696" s="1" t="s">
        <v>88</v>
      </c>
      <c r="G1696" s="1">
        <v>1.395454545</v>
      </c>
      <c r="H1696" s="1">
        <v>65.2</v>
      </c>
      <c r="I1696" s="1">
        <v>110</v>
      </c>
      <c r="J1696" s="1">
        <v>0.54185456333333337</v>
      </c>
      <c r="K1696" s="1">
        <v>0.60067161999999996</v>
      </c>
      <c r="L1696" s="1">
        <v>0.68094129999999997</v>
      </c>
      <c r="M1696" s="3">
        <v>0.73595931299999995</v>
      </c>
      <c r="N1696" s="1" t="s">
        <v>52</v>
      </c>
      <c r="O1696" s="1">
        <v>1.858638743</v>
      </c>
      <c r="P1696" s="1">
        <v>29.4</v>
      </c>
      <c r="Q1696" s="1">
        <v>38.200000000000003</v>
      </c>
      <c r="R1696" s="1">
        <v>0.67252407766666666</v>
      </c>
      <c r="S1696" s="1">
        <v>0.22677254958194359</v>
      </c>
      <c r="T1696" t="s">
        <v>1843</v>
      </c>
      <c r="U1696" s="1">
        <v>1325</v>
      </c>
      <c r="V1696">
        <f t="shared" si="104"/>
        <v>0.3469128753636474</v>
      </c>
      <c r="W1696" s="1">
        <f t="shared" si="105"/>
        <v>35.800000000000004</v>
      </c>
      <c r="X1696">
        <f t="shared" si="106"/>
        <v>0.46318419799999999</v>
      </c>
      <c r="Y1696">
        <f t="shared" si="107"/>
        <v>71.8</v>
      </c>
      <c r="Z1696" s="1">
        <v>3</v>
      </c>
      <c r="AA1696">
        <v>97</v>
      </c>
      <c r="AB1696">
        <v>3.09E-2</v>
      </c>
      <c r="AC1696">
        <v>4</v>
      </c>
      <c r="AD1696">
        <v>81</v>
      </c>
      <c r="AE1696">
        <v>4.9399999999999999E-2</v>
      </c>
      <c r="AF1696" t="s">
        <v>2590</v>
      </c>
      <c r="AG1696" t="s">
        <v>2591</v>
      </c>
    </row>
    <row r="1697" spans="1:33">
      <c r="A1697" s="2" t="s">
        <v>87</v>
      </c>
      <c r="B1697" s="2" t="s">
        <v>53</v>
      </c>
      <c r="C1697" s="1">
        <v>0.46780425199999998</v>
      </c>
      <c r="D1697">
        <v>0.54149707400000002</v>
      </c>
      <c r="E1697">
        <v>0.61626236400000001</v>
      </c>
      <c r="F1697" s="1" t="s">
        <v>88</v>
      </c>
      <c r="G1697" s="1">
        <v>1.395454545</v>
      </c>
      <c r="H1697" s="1">
        <v>65.2</v>
      </c>
      <c r="I1697" s="1">
        <v>110</v>
      </c>
      <c r="J1697" s="1">
        <v>0.54185456333333337</v>
      </c>
      <c r="K1697" s="1">
        <v>0.54695832700000002</v>
      </c>
      <c r="L1697" s="1">
        <v>0.659790137</v>
      </c>
      <c r="M1697" s="3">
        <v>0.70662085500000005</v>
      </c>
      <c r="N1697" s="1" t="s">
        <v>54</v>
      </c>
      <c r="O1697" s="1">
        <v>2.5053995680000001</v>
      </c>
      <c r="P1697" s="1">
        <v>43.9</v>
      </c>
      <c r="Q1697" s="1">
        <v>46.3</v>
      </c>
      <c r="R1697" s="1">
        <v>0.63778977300000006</v>
      </c>
      <c r="S1697" s="1">
        <v>0.1685920319553231</v>
      </c>
      <c r="T1697" t="s">
        <v>1844</v>
      </c>
      <c r="U1697" s="1">
        <v>8126</v>
      </c>
      <c r="V1697">
        <f t="shared" si="104"/>
        <v>0.43443075755448812</v>
      </c>
      <c r="W1697" s="1">
        <f t="shared" si="105"/>
        <v>21.300000000000004</v>
      </c>
      <c r="X1697">
        <f t="shared" si="106"/>
        <v>1.1099450230000001</v>
      </c>
      <c r="Y1697">
        <f t="shared" si="107"/>
        <v>63.7</v>
      </c>
      <c r="Z1697" s="1">
        <v>1</v>
      </c>
      <c r="AA1697">
        <v>99</v>
      </c>
      <c r="AB1697">
        <v>1.01E-2</v>
      </c>
      <c r="AC1697">
        <v>2</v>
      </c>
      <c r="AD1697">
        <v>83</v>
      </c>
      <c r="AE1697">
        <v>2.41E-2</v>
      </c>
      <c r="AF1697" t="s">
        <v>2590</v>
      </c>
      <c r="AG1697" t="s">
        <v>2593</v>
      </c>
    </row>
    <row r="1698" spans="1:33">
      <c r="A1698" s="2" t="s">
        <v>87</v>
      </c>
      <c r="B1698" s="2" t="s">
        <v>55</v>
      </c>
      <c r="C1698" s="1">
        <v>0.46780425199999998</v>
      </c>
      <c r="D1698">
        <v>0.54149707400000002</v>
      </c>
      <c r="E1698">
        <v>0.61626236400000001</v>
      </c>
      <c r="F1698" s="1" t="s">
        <v>88</v>
      </c>
      <c r="G1698" s="1">
        <v>1.395454545</v>
      </c>
      <c r="H1698" s="1">
        <v>65.2</v>
      </c>
      <c r="I1698" s="1">
        <v>110</v>
      </c>
      <c r="J1698" s="1">
        <v>0.54185456333333337</v>
      </c>
      <c r="K1698" s="1">
        <v>0.52971861799999997</v>
      </c>
      <c r="L1698" s="1">
        <v>0.62258244500000004</v>
      </c>
      <c r="M1698" s="3">
        <v>0.63939760400000001</v>
      </c>
      <c r="N1698" s="1" t="s">
        <v>56</v>
      </c>
      <c r="O1698" s="1">
        <v>1.0796934869999999</v>
      </c>
      <c r="P1698" s="1">
        <v>55.3</v>
      </c>
      <c r="Q1698" s="1">
        <v>130.5</v>
      </c>
      <c r="R1698" s="1">
        <v>0.59723288899999993</v>
      </c>
      <c r="S1698" s="1">
        <v>0.10461101967406301</v>
      </c>
      <c r="T1698" t="s">
        <v>1845</v>
      </c>
      <c r="U1698" s="1">
        <v>6653</v>
      </c>
      <c r="V1698">
        <f t="shared" si="104"/>
        <v>0.42477972482733883</v>
      </c>
      <c r="W1698" s="1">
        <f t="shared" si="105"/>
        <v>9.9000000000000057</v>
      </c>
      <c r="X1698">
        <f t="shared" si="106"/>
        <v>0.31576105800000009</v>
      </c>
      <c r="Y1698">
        <f t="shared" si="107"/>
        <v>20.5</v>
      </c>
      <c r="Z1698" s="1">
        <v>7</v>
      </c>
      <c r="AA1698">
        <v>93</v>
      </c>
      <c r="AB1698">
        <v>7.5300000000000006E-2</v>
      </c>
      <c r="AC1698">
        <v>8</v>
      </c>
      <c r="AD1698">
        <v>69</v>
      </c>
      <c r="AE1698">
        <v>0.1159</v>
      </c>
      <c r="AF1698" t="s">
        <v>2590</v>
      </c>
      <c r="AG1698" t="s">
        <v>2592</v>
      </c>
    </row>
    <row r="1699" spans="1:33">
      <c r="A1699" s="2" t="s">
        <v>87</v>
      </c>
      <c r="B1699" s="2" t="s">
        <v>57</v>
      </c>
      <c r="C1699" s="1">
        <v>0.46780425199999998</v>
      </c>
      <c r="D1699">
        <v>0.54149707400000002</v>
      </c>
      <c r="E1699">
        <v>0.61626236400000001</v>
      </c>
      <c r="F1699" s="1" t="s">
        <v>88</v>
      </c>
      <c r="G1699" s="1">
        <v>1.395454545</v>
      </c>
      <c r="H1699" s="1">
        <v>65.2</v>
      </c>
      <c r="I1699" s="1">
        <v>110</v>
      </c>
      <c r="J1699" s="1">
        <v>0.54185456333333337</v>
      </c>
      <c r="K1699" s="1">
        <v>0.528732855</v>
      </c>
      <c r="L1699" s="1">
        <v>0.63387497599999998</v>
      </c>
      <c r="M1699" s="3">
        <v>0.63337360200000004</v>
      </c>
      <c r="N1699" s="1" t="s">
        <v>58</v>
      </c>
      <c r="O1699" s="1">
        <v>1.386610879</v>
      </c>
      <c r="P1699" s="1">
        <v>69</v>
      </c>
      <c r="Q1699" s="1">
        <v>119.5</v>
      </c>
      <c r="R1699" s="1">
        <v>0.59866047766666663</v>
      </c>
      <c r="S1699" s="1">
        <v>0.11197663107696111</v>
      </c>
      <c r="T1699" t="s">
        <v>1846</v>
      </c>
      <c r="U1699" s="1">
        <v>7207</v>
      </c>
      <c r="V1699">
        <f t="shared" si="104"/>
        <v>0.428639391339938</v>
      </c>
      <c r="W1699" s="1">
        <f t="shared" si="105"/>
        <v>3.7999999999999972</v>
      </c>
      <c r="X1699">
        <f t="shared" si="106"/>
        <v>8.8436659999999723E-3</v>
      </c>
      <c r="Y1699">
        <f t="shared" si="107"/>
        <v>9.5</v>
      </c>
      <c r="Z1699" s="1">
        <v>8</v>
      </c>
      <c r="AA1699">
        <v>92</v>
      </c>
      <c r="AB1699">
        <v>8.6999999999999994E-2</v>
      </c>
      <c r="AC1699">
        <v>10</v>
      </c>
      <c r="AD1699">
        <v>73</v>
      </c>
      <c r="AE1699">
        <v>0.13700000000000001</v>
      </c>
      <c r="AF1699" t="s">
        <v>2590</v>
      </c>
      <c r="AG1699" t="s">
        <v>2589</v>
      </c>
    </row>
    <row r="1700" spans="1:33">
      <c r="A1700" s="2" t="s">
        <v>87</v>
      </c>
      <c r="B1700" s="2" t="s">
        <v>59</v>
      </c>
      <c r="C1700" s="1">
        <v>0.46780425199999998</v>
      </c>
      <c r="D1700">
        <v>0.54149707400000002</v>
      </c>
      <c r="E1700">
        <v>0.61626236400000001</v>
      </c>
      <c r="F1700" s="1" t="s">
        <v>88</v>
      </c>
      <c r="G1700" s="1">
        <v>1.395454545</v>
      </c>
      <c r="H1700" s="1">
        <v>65.2</v>
      </c>
      <c r="I1700" s="1">
        <v>110</v>
      </c>
      <c r="J1700" s="1">
        <v>0.54185456333333337</v>
      </c>
      <c r="K1700" s="1">
        <v>0.56225432799999997</v>
      </c>
      <c r="L1700" s="1">
        <v>0.68100706499999997</v>
      </c>
      <c r="M1700" s="3">
        <v>0.67505263699999996</v>
      </c>
      <c r="N1700" s="1" t="s">
        <v>60</v>
      </c>
      <c r="O1700" s="1">
        <v>1.1501154730000001</v>
      </c>
      <c r="P1700" s="1">
        <v>60.5</v>
      </c>
      <c r="Q1700" s="1">
        <v>129.9</v>
      </c>
      <c r="R1700" s="1">
        <v>0.63943801</v>
      </c>
      <c r="S1700" s="1">
        <v>0.17843808630626018</v>
      </c>
      <c r="T1700" t="s">
        <v>1847</v>
      </c>
      <c r="U1700" s="1">
        <v>14056</v>
      </c>
      <c r="V1700">
        <f t="shared" si="104"/>
        <v>0.46087352760969313</v>
      </c>
      <c r="W1700" s="1">
        <f t="shared" si="105"/>
        <v>4.7000000000000028</v>
      </c>
      <c r="X1700">
        <f t="shared" si="106"/>
        <v>0.24533907199999994</v>
      </c>
      <c r="Y1700">
        <f t="shared" si="107"/>
        <v>19.900000000000006</v>
      </c>
      <c r="Z1700" s="1">
        <v>7</v>
      </c>
      <c r="AA1700">
        <v>93</v>
      </c>
      <c r="AB1700">
        <v>7.5300000000000006E-2</v>
      </c>
      <c r="AC1700">
        <v>10</v>
      </c>
      <c r="AD1700">
        <v>92</v>
      </c>
      <c r="AE1700">
        <v>0.1087</v>
      </c>
      <c r="AF1700" t="s">
        <v>2590</v>
      </c>
      <c r="AG1700" t="s">
        <v>2589</v>
      </c>
    </row>
    <row r="1701" spans="1:33">
      <c r="A1701" s="2" t="s">
        <v>87</v>
      </c>
      <c r="B1701" s="2" t="s">
        <v>61</v>
      </c>
      <c r="C1701" s="1">
        <v>0.46780425199999998</v>
      </c>
      <c r="D1701">
        <v>0.54149707400000002</v>
      </c>
      <c r="E1701">
        <v>0.61626236400000001</v>
      </c>
      <c r="F1701" s="1" t="s">
        <v>88</v>
      </c>
      <c r="G1701" s="1">
        <v>1.395454545</v>
      </c>
      <c r="H1701" s="1">
        <v>65.2</v>
      </c>
      <c r="I1701" s="1">
        <v>110</v>
      </c>
      <c r="J1701" s="1">
        <v>0.54185456333333337</v>
      </c>
      <c r="K1701" s="1">
        <v>0.62063455999999995</v>
      </c>
      <c r="L1701" s="1">
        <v>0.67798104299999995</v>
      </c>
      <c r="M1701" s="3">
        <v>0.72175371600000005</v>
      </c>
      <c r="N1701" s="1" t="s">
        <v>62</v>
      </c>
      <c r="O1701" s="1">
        <v>7.5471698109999998</v>
      </c>
      <c r="P1701" s="1">
        <v>26.4</v>
      </c>
      <c r="Q1701" s="1">
        <v>10.6</v>
      </c>
      <c r="R1701" s="1">
        <v>0.6734564396666668</v>
      </c>
      <c r="S1701" s="1">
        <v>0.23046345086402684</v>
      </c>
      <c r="T1701" t="s">
        <v>1848</v>
      </c>
      <c r="U1701" s="1">
        <v>1085</v>
      </c>
      <c r="V1701">
        <f t="shared" si="104"/>
        <v>0.33726997090939426</v>
      </c>
      <c r="W1701" s="1">
        <f t="shared" si="105"/>
        <v>38.800000000000004</v>
      </c>
      <c r="X1701">
        <f t="shared" si="106"/>
        <v>6.1517152660000001</v>
      </c>
      <c r="Y1701">
        <f t="shared" si="107"/>
        <v>99.4</v>
      </c>
      <c r="Z1701" s="1">
        <v>0</v>
      </c>
      <c r="AA1701">
        <v>100</v>
      </c>
      <c r="AB1701">
        <v>0</v>
      </c>
      <c r="AC1701">
        <v>0</v>
      </c>
      <c r="AD1701">
        <v>77</v>
      </c>
      <c r="AE1701">
        <v>0</v>
      </c>
      <c r="AF1701" t="s">
        <v>2590</v>
      </c>
      <c r="AG1701" t="s">
        <v>2588</v>
      </c>
    </row>
    <row r="1702" spans="1:33">
      <c r="A1702" s="2" t="s">
        <v>87</v>
      </c>
      <c r="B1702" s="2" t="s">
        <v>63</v>
      </c>
      <c r="C1702" s="1">
        <v>0.46780425199999998</v>
      </c>
      <c r="D1702">
        <v>0.54149707400000002</v>
      </c>
      <c r="E1702">
        <v>0.61626236400000001</v>
      </c>
      <c r="F1702" s="1" t="s">
        <v>88</v>
      </c>
      <c r="G1702" s="1">
        <v>1.395454545</v>
      </c>
      <c r="H1702" s="1">
        <v>65.2</v>
      </c>
      <c r="I1702" s="1">
        <v>110</v>
      </c>
      <c r="J1702" s="1">
        <v>0.54185456333333337</v>
      </c>
      <c r="K1702" s="1">
        <v>0.44311141399999998</v>
      </c>
      <c r="L1702" s="1">
        <v>0.57053969199999999</v>
      </c>
      <c r="M1702" s="3">
        <v>0.59266330599999995</v>
      </c>
      <c r="N1702" s="1" t="s">
        <v>64</v>
      </c>
      <c r="O1702" s="1">
        <v>0.89618138400000003</v>
      </c>
      <c r="P1702" s="1">
        <v>29.7</v>
      </c>
      <c r="Q1702" s="1">
        <v>83.8</v>
      </c>
      <c r="R1702" s="1">
        <v>0.53543813733333334</v>
      </c>
      <c r="S1702" s="1">
        <v>4.4834422571006005E-2</v>
      </c>
      <c r="T1702" t="s">
        <v>1849</v>
      </c>
      <c r="U1702" s="1">
        <v>735</v>
      </c>
      <c r="V1702">
        <f t="shared" si="104"/>
        <v>0.318476371009355</v>
      </c>
      <c r="W1702" s="1">
        <f t="shared" si="105"/>
        <v>35.5</v>
      </c>
      <c r="X1702">
        <f t="shared" si="106"/>
        <v>0.49927316099999997</v>
      </c>
      <c r="Y1702">
        <f t="shared" si="107"/>
        <v>26.200000000000003</v>
      </c>
      <c r="Z1702" s="1">
        <v>4</v>
      </c>
      <c r="AA1702">
        <v>96</v>
      </c>
      <c r="AB1702">
        <v>4.1700000000000001E-2</v>
      </c>
      <c r="AC1702">
        <v>6</v>
      </c>
      <c r="AD1702">
        <v>78</v>
      </c>
      <c r="AE1702">
        <v>7.6899999999999996E-2</v>
      </c>
      <c r="AF1702" t="s">
        <v>2590</v>
      </c>
      <c r="AG1702" t="s">
        <v>2590</v>
      </c>
    </row>
    <row r="1703" spans="1:33">
      <c r="A1703" s="2" t="s">
        <v>87</v>
      </c>
      <c r="B1703" s="2" t="s">
        <v>65</v>
      </c>
      <c r="C1703" s="1">
        <v>0.46780425199999998</v>
      </c>
      <c r="D1703">
        <v>0.54149707400000002</v>
      </c>
      <c r="E1703">
        <v>0.61626236400000001</v>
      </c>
      <c r="F1703" s="1" t="s">
        <v>88</v>
      </c>
      <c r="G1703" s="1">
        <v>1.395454545</v>
      </c>
      <c r="H1703" s="1">
        <v>65.2</v>
      </c>
      <c r="I1703" s="1">
        <v>110</v>
      </c>
      <c r="J1703" s="1">
        <v>0.54185456333333337</v>
      </c>
      <c r="K1703" s="1">
        <v>0.67377447499999998</v>
      </c>
      <c r="L1703" s="1">
        <v>0.69144672900000004</v>
      </c>
      <c r="M1703" s="3">
        <v>0.73046409700000003</v>
      </c>
      <c r="N1703" s="1" t="s">
        <v>66</v>
      </c>
      <c r="O1703" s="1">
        <v>1.8507462690000001</v>
      </c>
      <c r="P1703" s="1">
        <v>34.5</v>
      </c>
      <c r="Q1703" s="1">
        <v>46.9</v>
      </c>
      <c r="R1703" s="1">
        <v>0.69856176700000006</v>
      </c>
      <c r="S1703" s="1">
        <v>0.27919646777402479</v>
      </c>
      <c r="T1703" t="s">
        <v>1850</v>
      </c>
      <c r="U1703" s="1">
        <v>993</v>
      </c>
      <c r="V1703">
        <f t="shared" si="104"/>
        <v>0.3329943609439312</v>
      </c>
      <c r="W1703" s="1">
        <f t="shared" si="105"/>
        <v>30.700000000000003</v>
      </c>
      <c r="X1703">
        <f t="shared" si="106"/>
        <v>0.45529172400000006</v>
      </c>
      <c r="Y1703">
        <f t="shared" si="107"/>
        <v>63.1</v>
      </c>
      <c r="Z1703" s="1">
        <v>0</v>
      </c>
      <c r="AA1703">
        <v>100</v>
      </c>
      <c r="AB1703">
        <v>0</v>
      </c>
      <c r="AC1703">
        <v>0</v>
      </c>
      <c r="AD1703">
        <v>66</v>
      </c>
      <c r="AE1703">
        <v>0</v>
      </c>
      <c r="AF1703" t="s">
        <v>2590</v>
      </c>
      <c r="AG1703" t="s">
        <v>2593</v>
      </c>
    </row>
    <row r="1704" spans="1:33">
      <c r="A1704" s="2" t="s">
        <v>87</v>
      </c>
      <c r="B1704" s="2" t="s">
        <v>67</v>
      </c>
      <c r="C1704" s="1">
        <v>0.46780425199999998</v>
      </c>
      <c r="D1704">
        <v>0.54149707400000002</v>
      </c>
      <c r="E1704">
        <v>0.61626236400000001</v>
      </c>
      <c r="F1704" s="1" t="s">
        <v>88</v>
      </c>
      <c r="G1704" s="1">
        <v>1.395454545</v>
      </c>
      <c r="H1704" s="1">
        <v>65.2</v>
      </c>
      <c r="I1704" s="1">
        <v>110</v>
      </c>
      <c r="J1704" s="1">
        <v>0.54185456333333337</v>
      </c>
      <c r="K1704" s="1">
        <v>0.53971122199999999</v>
      </c>
      <c r="L1704" s="1">
        <v>0.621203065</v>
      </c>
      <c r="M1704" s="3">
        <v>0.67806811499999997</v>
      </c>
      <c r="N1704" s="1" t="s">
        <v>68</v>
      </c>
      <c r="O1704" s="1">
        <v>1.5131894480000001</v>
      </c>
      <c r="P1704" s="1">
        <v>27.2</v>
      </c>
      <c r="Q1704" s="1">
        <v>41.7</v>
      </c>
      <c r="R1704" s="1">
        <v>0.61299413400000002</v>
      </c>
      <c r="S1704" s="1">
        <v>0.12386931901220324</v>
      </c>
      <c r="T1704" t="s">
        <v>1851</v>
      </c>
      <c r="U1704" s="1">
        <v>2909</v>
      </c>
      <c r="V1704">
        <f t="shared" si="104"/>
        <v>0.38486041347189542</v>
      </c>
      <c r="W1704" s="1">
        <f t="shared" si="105"/>
        <v>38</v>
      </c>
      <c r="X1704">
        <f t="shared" si="106"/>
        <v>0.11773490300000011</v>
      </c>
      <c r="Y1704">
        <f t="shared" si="107"/>
        <v>68.3</v>
      </c>
      <c r="Z1704" s="1">
        <v>1</v>
      </c>
      <c r="AA1704">
        <v>99</v>
      </c>
      <c r="AB1704">
        <v>1.01E-2</v>
      </c>
      <c r="AC1704">
        <v>2</v>
      </c>
      <c r="AD1704">
        <v>75</v>
      </c>
      <c r="AE1704">
        <v>2.6700000000000002E-2</v>
      </c>
      <c r="AF1704" t="s">
        <v>2590</v>
      </c>
      <c r="AG1704" t="s">
        <v>2588</v>
      </c>
    </row>
    <row r="1705" spans="1:33">
      <c r="A1705" s="2" t="s">
        <v>87</v>
      </c>
      <c r="B1705" s="2" t="s">
        <v>69</v>
      </c>
      <c r="C1705" s="1">
        <v>0.46780425199999998</v>
      </c>
      <c r="D1705">
        <v>0.54149707400000002</v>
      </c>
      <c r="E1705">
        <v>0.61626236400000001</v>
      </c>
      <c r="F1705" s="1" t="s">
        <v>88</v>
      </c>
      <c r="G1705" s="1">
        <v>1.395454545</v>
      </c>
      <c r="H1705" s="1">
        <v>65.2</v>
      </c>
      <c r="I1705" s="1">
        <v>110</v>
      </c>
      <c r="J1705" s="1">
        <v>0.54185456333333337</v>
      </c>
      <c r="K1705" s="1">
        <v>0.50188385300000005</v>
      </c>
      <c r="L1705" s="1">
        <v>0.64580031500000001</v>
      </c>
      <c r="M1705" s="3">
        <v>0.66006355800000005</v>
      </c>
      <c r="N1705" s="1" t="s">
        <v>70</v>
      </c>
      <c r="O1705" s="1">
        <v>1.2401055409999999</v>
      </c>
      <c r="P1705" s="1">
        <v>43.4</v>
      </c>
      <c r="Q1705" s="1">
        <v>75.8</v>
      </c>
      <c r="R1705" s="1">
        <v>0.60258257533333337</v>
      </c>
      <c r="S1705" s="1">
        <v>0.11814876166616781</v>
      </c>
      <c r="T1705" t="s">
        <v>1852</v>
      </c>
      <c r="U1705" s="1">
        <v>13638</v>
      </c>
      <c r="V1705">
        <f t="shared" si="104"/>
        <v>0.45941674290095719</v>
      </c>
      <c r="W1705" s="1">
        <f t="shared" si="105"/>
        <v>21.800000000000004</v>
      </c>
      <c r="X1705">
        <f t="shared" si="106"/>
        <v>0.15534900400000007</v>
      </c>
      <c r="Y1705">
        <f t="shared" si="107"/>
        <v>34.200000000000003</v>
      </c>
      <c r="Z1705" s="1">
        <v>7</v>
      </c>
      <c r="AA1705">
        <v>93</v>
      </c>
      <c r="AB1705">
        <v>7.5300000000000006E-2</v>
      </c>
      <c r="AC1705">
        <v>9</v>
      </c>
      <c r="AD1705">
        <v>75</v>
      </c>
      <c r="AE1705">
        <v>0.12</v>
      </c>
      <c r="AF1705" t="s">
        <v>2590</v>
      </c>
      <c r="AG1705" t="s">
        <v>2589</v>
      </c>
    </row>
    <row r="1706" spans="1:33">
      <c r="A1706" s="2" t="s">
        <v>87</v>
      </c>
      <c r="B1706" s="2" t="s">
        <v>71</v>
      </c>
      <c r="C1706" s="1">
        <v>0.46780425199999998</v>
      </c>
      <c r="D1706">
        <v>0.54149707400000002</v>
      </c>
      <c r="E1706">
        <v>0.61626236400000001</v>
      </c>
      <c r="F1706" s="1" t="s">
        <v>88</v>
      </c>
      <c r="G1706" s="1">
        <v>1.395454545</v>
      </c>
      <c r="H1706" s="1">
        <v>65.2</v>
      </c>
      <c r="I1706" s="1">
        <v>110</v>
      </c>
      <c r="J1706" s="1">
        <v>0.54185456333333337</v>
      </c>
      <c r="K1706" s="1">
        <v>0.53267569100000001</v>
      </c>
      <c r="L1706" s="1">
        <v>0.64507433599999997</v>
      </c>
      <c r="M1706" s="3">
        <v>0.66598465100000004</v>
      </c>
      <c r="N1706" s="1" t="s">
        <v>72</v>
      </c>
      <c r="O1706" s="1">
        <v>0.97289666900000005</v>
      </c>
      <c r="P1706" s="1">
        <v>64.8</v>
      </c>
      <c r="Q1706" s="1">
        <v>177.1</v>
      </c>
      <c r="R1706" s="1">
        <v>0.61457822600000001</v>
      </c>
      <c r="S1706" s="1">
        <v>0.13194263384462859</v>
      </c>
      <c r="T1706" t="s">
        <v>1853</v>
      </c>
      <c r="U1706" s="1">
        <v>10915</v>
      </c>
      <c r="V1706">
        <f t="shared" si="104"/>
        <v>0.44866930444946207</v>
      </c>
      <c r="W1706" s="1">
        <f t="shared" si="105"/>
        <v>0.40000000000000568</v>
      </c>
      <c r="X1706">
        <f t="shared" si="106"/>
        <v>0.42255787599999994</v>
      </c>
      <c r="Y1706">
        <f t="shared" si="107"/>
        <v>67.099999999999994</v>
      </c>
      <c r="Z1706" s="1">
        <v>8</v>
      </c>
      <c r="AA1706">
        <v>92</v>
      </c>
      <c r="AB1706">
        <v>8.6999999999999994E-2</v>
      </c>
      <c r="AC1706">
        <v>10</v>
      </c>
      <c r="AD1706">
        <v>85</v>
      </c>
      <c r="AE1706">
        <v>0.1176</v>
      </c>
      <c r="AF1706" t="s">
        <v>2590</v>
      </c>
      <c r="AG1706" t="s">
        <v>2589</v>
      </c>
    </row>
    <row r="1707" spans="1:33">
      <c r="A1707" s="2" t="s">
        <v>87</v>
      </c>
      <c r="B1707" s="2" t="s">
        <v>73</v>
      </c>
      <c r="C1707" s="1">
        <v>0.46780425199999998</v>
      </c>
      <c r="D1707">
        <v>0.54149707400000002</v>
      </c>
      <c r="E1707">
        <v>0.61626236400000001</v>
      </c>
      <c r="F1707" s="1" t="s">
        <v>88</v>
      </c>
      <c r="G1707" s="1">
        <v>1.395454545</v>
      </c>
      <c r="H1707" s="1">
        <v>65.2</v>
      </c>
      <c r="I1707" s="1">
        <v>110</v>
      </c>
      <c r="J1707" s="1">
        <v>0.54185456333333337</v>
      </c>
      <c r="K1707" s="1">
        <v>0.55697925299999995</v>
      </c>
      <c r="L1707" s="1">
        <v>0.64461978399999997</v>
      </c>
      <c r="M1707" s="3">
        <v>0.69570690000000002</v>
      </c>
      <c r="N1707" s="1" t="s">
        <v>74</v>
      </c>
      <c r="O1707" s="1">
        <v>1.23433584</v>
      </c>
      <c r="P1707" s="1">
        <v>44</v>
      </c>
      <c r="Q1707" s="1">
        <v>79.8</v>
      </c>
      <c r="R1707" s="1">
        <v>0.63243531233333328</v>
      </c>
      <c r="S1707" s="1">
        <v>0.15779071082085086</v>
      </c>
      <c r="T1707" t="s">
        <v>1854</v>
      </c>
      <c r="U1707" s="1">
        <v>8766</v>
      </c>
      <c r="V1707">
        <f t="shared" si="104"/>
        <v>0.43808905181310448</v>
      </c>
      <c r="W1707" s="1">
        <f t="shared" si="105"/>
        <v>21.200000000000003</v>
      </c>
      <c r="X1707">
        <f t="shared" si="106"/>
        <v>0.16111870500000003</v>
      </c>
      <c r="Y1707">
        <f t="shared" si="107"/>
        <v>30.200000000000003</v>
      </c>
      <c r="Z1707" s="1">
        <v>6</v>
      </c>
      <c r="AA1707">
        <v>94</v>
      </c>
      <c r="AB1707">
        <v>6.3799999999999996E-2</v>
      </c>
      <c r="AC1707">
        <v>8</v>
      </c>
      <c r="AD1707">
        <v>72</v>
      </c>
      <c r="AE1707">
        <v>0.1111</v>
      </c>
      <c r="AF1707" t="s">
        <v>2590</v>
      </c>
      <c r="AG1707" t="s">
        <v>2589</v>
      </c>
    </row>
    <row r="1708" spans="1:33">
      <c r="A1708" s="2" t="s">
        <v>87</v>
      </c>
      <c r="B1708" s="2" t="s">
        <v>75</v>
      </c>
      <c r="C1708" s="1">
        <v>0.46780425199999998</v>
      </c>
      <c r="D1708">
        <v>0.54149707400000002</v>
      </c>
      <c r="E1708">
        <v>0.61626236400000001</v>
      </c>
      <c r="F1708" s="1" t="s">
        <v>88</v>
      </c>
      <c r="G1708" s="1">
        <v>1.395454545</v>
      </c>
      <c r="H1708" s="1">
        <v>65.2</v>
      </c>
      <c r="I1708" s="1">
        <v>110</v>
      </c>
      <c r="J1708" s="1">
        <v>0.54185456333333337</v>
      </c>
      <c r="K1708" s="1">
        <v>0.50354843500000002</v>
      </c>
      <c r="L1708" s="1">
        <v>0.59724402499999996</v>
      </c>
      <c r="M1708" s="3">
        <v>0.70308254199999998</v>
      </c>
      <c r="N1708" s="1" t="s">
        <v>76</v>
      </c>
      <c r="O1708" s="1">
        <v>1.2696850390000001</v>
      </c>
      <c r="P1708" s="1">
        <v>26.6</v>
      </c>
      <c r="Q1708" s="1">
        <v>50.8</v>
      </c>
      <c r="R1708" s="1">
        <v>0.60129166733333339</v>
      </c>
      <c r="S1708" s="1">
        <v>0.10919300560056749</v>
      </c>
      <c r="T1708" t="s">
        <v>1855</v>
      </c>
      <c r="U1708" s="1">
        <v>6641</v>
      </c>
      <c r="V1708">
        <f t="shared" si="104"/>
        <v>0.42469260891542709</v>
      </c>
      <c r="W1708" s="1">
        <f t="shared" si="105"/>
        <v>38.6</v>
      </c>
      <c r="X1708">
        <f t="shared" si="106"/>
        <v>0.12576950599999992</v>
      </c>
      <c r="Y1708">
        <f t="shared" si="107"/>
        <v>59.2</v>
      </c>
      <c r="Z1708" s="1">
        <v>2</v>
      </c>
      <c r="AA1708">
        <v>98</v>
      </c>
      <c r="AB1708">
        <v>2.0400000000000001E-2</v>
      </c>
      <c r="AC1708">
        <v>3</v>
      </c>
      <c r="AD1708">
        <v>77</v>
      </c>
      <c r="AE1708">
        <v>3.9E-2</v>
      </c>
      <c r="AF1708" t="s">
        <v>2590</v>
      </c>
      <c r="AG1708" t="s">
        <v>2594</v>
      </c>
    </row>
    <row r="1709" spans="1:33">
      <c r="A1709" s="2" t="s">
        <v>87</v>
      </c>
      <c r="B1709" s="2" t="s">
        <v>77</v>
      </c>
      <c r="C1709" s="1">
        <v>0.46780425199999998</v>
      </c>
      <c r="D1709">
        <v>0.54149707400000002</v>
      </c>
      <c r="E1709">
        <v>0.61626236400000001</v>
      </c>
      <c r="F1709" s="1" t="s">
        <v>88</v>
      </c>
      <c r="G1709" s="1">
        <v>1.395454545</v>
      </c>
      <c r="H1709" s="1">
        <v>65.2</v>
      </c>
      <c r="I1709" s="1">
        <v>110</v>
      </c>
      <c r="J1709" s="1">
        <v>0.54185456333333337</v>
      </c>
      <c r="K1709" s="1">
        <v>0.54630843299999998</v>
      </c>
      <c r="L1709" s="1">
        <v>0.68935555900000001</v>
      </c>
      <c r="M1709" s="3">
        <v>0.65478744899999997</v>
      </c>
      <c r="N1709" s="1" t="s">
        <v>78</v>
      </c>
      <c r="O1709" s="1">
        <v>1.3914285710000001</v>
      </c>
      <c r="P1709" s="1">
        <v>56.5</v>
      </c>
      <c r="Q1709" s="1">
        <v>105</v>
      </c>
      <c r="R1709" s="1">
        <v>0.63015048033333343</v>
      </c>
      <c r="S1709" s="1">
        <v>0.17178247930226528</v>
      </c>
      <c r="T1709" t="s">
        <v>1856</v>
      </c>
      <c r="U1709" s="1">
        <v>5811</v>
      </c>
      <c r="V1709">
        <f t="shared" si="104"/>
        <v>0.41825009727097479</v>
      </c>
      <c r="W1709" s="1">
        <f t="shared" si="105"/>
        <v>8.7000000000000028</v>
      </c>
      <c r="X1709">
        <f t="shared" si="106"/>
        <v>4.0259739999999322E-3</v>
      </c>
      <c r="Y1709">
        <f t="shared" si="107"/>
        <v>5</v>
      </c>
      <c r="Z1709" s="1">
        <v>2</v>
      </c>
      <c r="AA1709">
        <v>98</v>
      </c>
      <c r="AB1709">
        <v>2.0400000000000001E-2</v>
      </c>
      <c r="AC1709">
        <v>3</v>
      </c>
      <c r="AD1709">
        <v>66</v>
      </c>
      <c r="AE1709">
        <v>4.5499999999999999E-2</v>
      </c>
      <c r="AF1709" t="s">
        <v>2590</v>
      </c>
      <c r="AG1709" t="s">
        <v>2590</v>
      </c>
    </row>
    <row r="1710" spans="1:33">
      <c r="A1710" s="2" t="s">
        <v>87</v>
      </c>
      <c r="B1710" s="2" t="s">
        <v>79</v>
      </c>
      <c r="C1710" s="1">
        <v>0.46780425199999998</v>
      </c>
      <c r="D1710">
        <v>0.54149707400000002</v>
      </c>
      <c r="E1710">
        <v>0.61626236400000001</v>
      </c>
      <c r="F1710" s="1" t="s">
        <v>88</v>
      </c>
      <c r="G1710" s="1">
        <v>1.395454545</v>
      </c>
      <c r="H1710" s="1">
        <v>65.2</v>
      </c>
      <c r="I1710" s="1">
        <v>110</v>
      </c>
      <c r="J1710" s="1">
        <v>0.54185456333333337</v>
      </c>
      <c r="K1710" s="1">
        <v>0.63652882899999996</v>
      </c>
      <c r="L1710" s="1">
        <v>0.77536518600000004</v>
      </c>
      <c r="M1710" s="3">
        <v>0.610415606</v>
      </c>
      <c r="N1710" s="1" t="s">
        <v>80</v>
      </c>
      <c r="O1710" s="1">
        <v>0.95325542600000002</v>
      </c>
      <c r="P1710" s="1">
        <v>45.6</v>
      </c>
      <c r="Q1710" s="1">
        <v>119.8</v>
      </c>
      <c r="R1710" s="1">
        <v>0.67410320700000004</v>
      </c>
      <c r="S1710" s="1">
        <v>0.28843796780830372</v>
      </c>
      <c r="T1710" t="s">
        <v>1857</v>
      </c>
      <c r="U1710" s="1">
        <v>2989</v>
      </c>
      <c r="V1710">
        <f t="shared" si="104"/>
        <v>0.3861695461154756</v>
      </c>
      <c r="W1710" s="1">
        <f t="shared" si="105"/>
        <v>19.600000000000001</v>
      </c>
      <c r="X1710">
        <f t="shared" si="106"/>
        <v>0.44219911899999997</v>
      </c>
      <c r="Y1710">
        <f t="shared" si="107"/>
        <v>9.7999999999999972</v>
      </c>
      <c r="Z1710" s="1">
        <v>1</v>
      </c>
      <c r="AA1710">
        <v>99</v>
      </c>
      <c r="AB1710">
        <v>1.01E-2</v>
      </c>
      <c r="AC1710">
        <v>2</v>
      </c>
      <c r="AD1710">
        <v>58</v>
      </c>
      <c r="AE1710">
        <v>3.4500000000000003E-2</v>
      </c>
      <c r="AF1710" t="s">
        <v>2590</v>
      </c>
      <c r="AG1710" t="s">
        <v>2590</v>
      </c>
    </row>
    <row r="1711" spans="1:33">
      <c r="A1711" s="2" t="s">
        <v>87</v>
      </c>
      <c r="B1711" s="2" t="s">
        <v>81</v>
      </c>
      <c r="C1711" s="1">
        <v>0.46780425199999998</v>
      </c>
      <c r="D1711">
        <v>0.54149707400000002</v>
      </c>
      <c r="E1711">
        <v>0.61626236400000001</v>
      </c>
      <c r="F1711" s="1" t="s">
        <v>88</v>
      </c>
      <c r="G1711" s="1">
        <v>1.395454545</v>
      </c>
      <c r="H1711" s="1">
        <v>65.2</v>
      </c>
      <c r="I1711" s="1">
        <v>110</v>
      </c>
      <c r="J1711" s="1">
        <v>0.54185456333333337</v>
      </c>
      <c r="K1711" s="1">
        <v>0.50183280699999999</v>
      </c>
      <c r="L1711" s="1">
        <v>0.68550824600000004</v>
      </c>
      <c r="M1711" s="3">
        <v>0.66941488999999998</v>
      </c>
      <c r="N1711" s="1" t="s">
        <v>82</v>
      </c>
      <c r="O1711" s="1">
        <v>1.4359576970000001</v>
      </c>
      <c r="P1711" s="1">
        <v>51</v>
      </c>
      <c r="Q1711" s="1">
        <v>85.1</v>
      </c>
      <c r="R1711" s="1">
        <v>0.61891864766666671</v>
      </c>
      <c r="S1711" s="1">
        <v>0.1572334291312833</v>
      </c>
      <c r="T1711" t="s">
        <v>1858</v>
      </c>
      <c r="U1711" s="1">
        <v>6801</v>
      </c>
      <c r="V1711">
        <f t="shared" si="104"/>
        <v>0.42584141942735332</v>
      </c>
      <c r="W1711" s="1">
        <f t="shared" si="105"/>
        <v>14.200000000000003</v>
      </c>
      <c r="X1711">
        <f t="shared" si="106"/>
        <v>4.0503152000000098E-2</v>
      </c>
      <c r="Y1711">
        <f t="shared" si="107"/>
        <v>24.900000000000006</v>
      </c>
      <c r="Z1711" s="1">
        <v>0</v>
      </c>
      <c r="AA1711">
        <v>100</v>
      </c>
      <c r="AB1711">
        <v>0</v>
      </c>
      <c r="AC1711">
        <v>0</v>
      </c>
      <c r="AD1711">
        <v>71</v>
      </c>
      <c r="AE1711">
        <v>0</v>
      </c>
      <c r="AF1711" t="s">
        <v>2590</v>
      </c>
      <c r="AG1711" t="s">
        <v>2589</v>
      </c>
    </row>
    <row r="1712" spans="1:33">
      <c r="A1712" s="2" t="s">
        <v>87</v>
      </c>
      <c r="B1712" s="2" t="s">
        <v>83</v>
      </c>
      <c r="C1712" s="1">
        <v>0.46780425199999998</v>
      </c>
      <c r="D1712">
        <v>0.54149707400000002</v>
      </c>
      <c r="E1712">
        <v>0.61626236400000001</v>
      </c>
      <c r="F1712" s="1" t="s">
        <v>88</v>
      </c>
      <c r="G1712" s="1">
        <v>1.395454545</v>
      </c>
      <c r="H1712" s="1">
        <v>65.2</v>
      </c>
      <c r="I1712" s="1">
        <v>110</v>
      </c>
      <c r="J1712" s="1">
        <v>0.54185456333333337</v>
      </c>
      <c r="K1712" s="1">
        <v>0.51815179099999997</v>
      </c>
      <c r="L1712" s="1">
        <v>0.50115949400000004</v>
      </c>
      <c r="M1712" s="3">
        <v>0.68053170600000001</v>
      </c>
      <c r="N1712" s="1" t="s">
        <v>84</v>
      </c>
      <c r="O1712" s="1">
        <v>1.760323887</v>
      </c>
      <c r="P1712" s="1">
        <v>83.4</v>
      </c>
      <c r="Q1712" s="1">
        <v>123.5</v>
      </c>
      <c r="R1712" s="1">
        <v>0.56661433033333342</v>
      </c>
      <c r="S1712" s="1">
        <v>9.1063402993331433E-2</v>
      </c>
      <c r="T1712" t="s">
        <v>1859</v>
      </c>
      <c r="U1712" s="1">
        <v>9972</v>
      </c>
      <c r="V1712">
        <f t="shared" si="104"/>
        <v>0.44430914109241509</v>
      </c>
      <c r="W1712" s="1">
        <f t="shared" si="105"/>
        <v>18.200000000000003</v>
      </c>
      <c r="X1712">
        <f t="shared" si="106"/>
        <v>0.36486934199999999</v>
      </c>
      <c r="Y1712">
        <f t="shared" si="107"/>
        <v>13.5</v>
      </c>
      <c r="Z1712" s="1">
        <v>4</v>
      </c>
      <c r="AA1712">
        <v>96</v>
      </c>
      <c r="AB1712">
        <v>4.1700000000000001E-2</v>
      </c>
      <c r="AC1712">
        <v>5</v>
      </c>
      <c r="AD1712">
        <v>61</v>
      </c>
      <c r="AE1712">
        <v>8.2000000000000003E-2</v>
      </c>
      <c r="AF1712" t="s">
        <v>2590</v>
      </c>
      <c r="AG1712" t="s">
        <v>2589</v>
      </c>
    </row>
    <row r="1713" spans="1:33">
      <c r="A1713" s="2" t="s">
        <v>87</v>
      </c>
      <c r="B1713" s="2" t="s">
        <v>85</v>
      </c>
      <c r="C1713" s="1">
        <v>0.46780425199999998</v>
      </c>
      <c r="D1713">
        <v>0.54149707400000002</v>
      </c>
      <c r="E1713">
        <v>0.61626236400000001</v>
      </c>
      <c r="F1713" s="1" t="s">
        <v>88</v>
      </c>
      <c r="G1713" s="1">
        <v>1.395454545</v>
      </c>
      <c r="H1713" s="1">
        <v>65.2</v>
      </c>
      <c r="I1713" s="1">
        <v>110</v>
      </c>
      <c r="J1713" s="1">
        <v>0.54185456333333337</v>
      </c>
      <c r="K1713" s="1">
        <v>0.522280945</v>
      </c>
      <c r="L1713" s="1">
        <v>0.58016629799999997</v>
      </c>
      <c r="M1713" s="3">
        <v>0.62446713499999995</v>
      </c>
      <c r="N1713" s="1" t="s">
        <v>86</v>
      </c>
      <c r="O1713" s="1">
        <v>0.57177615599999998</v>
      </c>
      <c r="P1713" s="1">
        <v>19.5</v>
      </c>
      <c r="Q1713" s="1">
        <v>82.2</v>
      </c>
      <c r="R1713" s="1">
        <v>0.57563812599999997</v>
      </c>
      <c r="S1713" s="1">
        <v>6.7307779878264168E-2</v>
      </c>
      <c r="T1713" t="s">
        <v>1860</v>
      </c>
      <c r="U1713" s="1">
        <v>1918</v>
      </c>
      <c r="V1713">
        <f t="shared" si="104"/>
        <v>0.3647609558705161</v>
      </c>
      <c r="W1713" s="1">
        <f t="shared" si="105"/>
        <v>45.7</v>
      </c>
      <c r="X1713">
        <f t="shared" si="106"/>
        <v>0.82367838900000001</v>
      </c>
      <c r="Y1713">
        <f t="shared" si="107"/>
        <v>27.799999999999997</v>
      </c>
      <c r="Z1713" s="1">
        <v>1</v>
      </c>
      <c r="AA1713">
        <v>99</v>
      </c>
      <c r="AB1713">
        <v>1.01E-2</v>
      </c>
      <c r="AC1713">
        <v>2</v>
      </c>
      <c r="AD1713">
        <v>129</v>
      </c>
      <c r="AE1713">
        <v>1.55E-2</v>
      </c>
      <c r="AF1713" t="s">
        <v>2590</v>
      </c>
      <c r="AG1713" t="s">
        <v>2590</v>
      </c>
    </row>
    <row r="1714" spans="1:33">
      <c r="A1714" s="2" t="s">
        <v>85</v>
      </c>
      <c r="B1714" s="2" t="s">
        <v>10</v>
      </c>
      <c r="C1714" s="1">
        <v>0.522280945</v>
      </c>
      <c r="D1714">
        <v>0.58016629799999997</v>
      </c>
      <c r="E1714">
        <v>0.62446713499999995</v>
      </c>
      <c r="F1714" s="1" t="s">
        <v>86</v>
      </c>
      <c r="G1714" s="1">
        <v>0.57177615599999998</v>
      </c>
      <c r="H1714" s="1">
        <v>19.5</v>
      </c>
      <c r="I1714" s="1">
        <v>82.2</v>
      </c>
      <c r="J1714" s="1">
        <v>0.57563812599999997</v>
      </c>
      <c r="K1714" s="1">
        <v>0.52456325500000001</v>
      </c>
      <c r="L1714" s="1">
        <v>0.61925627999999999</v>
      </c>
      <c r="M1714" s="3">
        <v>0.72111139899999999</v>
      </c>
      <c r="N1714" s="1" t="s">
        <v>12</v>
      </c>
      <c r="O1714" s="1">
        <v>0.61690647499999995</v>
      </c>
      <c r="P1714" s="1">
        <v>30</v>
      </c>
      <c r="Q1714" s="1">
        <v>111.2</v>
      </c>
      <c r="R1714" s="1">
        <v>0.62164364466666666</v>
      </c>
      <c r="S1714" s="1">
        <v>0.1042753537313498</v>
      </c>
      <c r="T1714" t="s">
        <v>1861</v>
      </c>
      <c r="U1714" s="1">
        <v>447</v>
      </c>
      <c r="V1714">
        <f t="shared" si="104"/>
        <v>0.29447861368132627</v>
      </c>
      <c r="W1714" s="1">
        <f t="shared" si="105"/>
        <v>10.5</v>
      </c>
      <c r="X1714">
        <f t="shared" si="106"/>
        <v>4.5130318999999974E-2</v>
      </c>
      <c r="Y1714">
        <f t="shared" si="107"/>
        <v>29</v>
      </c>
      <c r="Z1714" s="1">
        <v>1</v>
      </c>
      <c r="AA1714">
        <v>99</v>
      </c>
      <c r="AB1714">
        <v>1.01E-2</v>
      </c>
      <c r="AC1714">
        <v>2</v>
      </c>
      <c r="AD1714">
        <v>204</v>
      </c>
      <c r="AE1714">
        <v>9.7999999999999997E-3</v>
      </c>
      <c r="AF1714" t="s">
        <v>2590</v>
      </c>
      <c r="AG1714" t="s">
        <v>2588</v>
      </c>
    </row>
    <row r="1715" spans="1:33">
      <c r="A1715" s="2" t="s">
        <v>85</v>
      </c>
      <c r="B1715" s="2" t="s">
        <v>13</v>
      </c>
      <c r="C1715" s="1">
        <v>0.522280945</v>
      </c>
      <c r="D1715">
        <v>0.58016629799999997</v>
      </c>
      <c r="E1715">
        <v>0.62446713499999995</v>
      </c>
      <c r="F1715" s="1" t="s">
        <v>86</v>
      </c>
      <c r="G1715" s="1">
        <v>0.57177615599999998</v>
      </c>
      <c r="H1715" s="1">
        <v>19.5</v>
      </c>
      <c r="I1715" s="1">
        <v>82.2</v>
      </c>
      <c r="J1715" s="1">
        <v>0.57563812599999997</v>
      </c>
      <c r="K1715" s="1">
        <v>0.48695497399999998</v>
      </c>
      <c r="L1715" s="1">
        <v>0.54991327199999995</v>
      </c>
      <c r="M1715" s="3">
        <v>0.67282609299999996</v>
      </c>
      <c r="N1715" s="1" t="s">
        <v>14</v>
      </c>
      <c r="O1715" s="1">
        <v>1.6052009460000001</v>
      </c>
      <c r="P1715" s="1">
        <v>26.6</v>
      </c>
      <c r="Q1715" s="1">
        <v>42.3</v>
      </c>
      <c r="R1715" s="1">
        <v>0.56989811299999993</v>
      </c>
      <c r="S1715" s="1">
        <v>6.7095146084461904E-2</v>
      </c>
      <c r="T1715" t="s">
        <v>1862</v>
      </c>
      <c r="U1715" s="1">
        <v>225</v>
      </c>
      <c r="V1715">
        <f t="shared" si="104"/>
        <v>0.26135361312348476</v>
      </c>
      <c r="W1715" s="1">
        <f t="shared" si="105"/>
        <v>7.1000000000000014</v>
      </c>
      <c r="X1715">
        <f t="shared" si="106"/>
        <v>1.0334247900000002</v>
      </c>
      <c r="Y1715">
        <f t="shared" si="107"/>
        <v>39.900000000000006</v>
      </c>
      <c r="Z1715" s="1">
        <v>0</v>
      </c>
      <c r="AA1715">
        <v>100</v>
      </c>
      <c r="AB1715">
        <v>0</v>
      </c>
      <c r="AC1715">
        <v>1</v>
      </c>
      <c r="AD1715">
        <v>152</v>
      </c>
      <c r="AE1715">
        <v>6.6E-3</v>
      </c>
      <c r="AF1715" t="s">
        <v>2590</v>
      </c>
      <c r="AG1715" t="s">
        <v>2590</v>
      </c>
    </row>
    <row r="1716" spans="1:33">
      <c r="A1716" s="2" t="s">
        <v>85</v>
      </c>
      <c r="B1716" s="2" t="s">
        <v>15</v>
      </c>
      <c r="C1716" s="1">
        <v>0.522280945</v>
      </c>
      <c r="D1716">
        <v>0.58016629799999997</v>
      </c>
      <c r="E1716">
        <v>0.62446713499999995</v>
      </c>
      <c r="F1716" s="1" t="s">
        <v>86</v>
      </c>
      <c r="G1716" s="1">
        <v>0.57177615599999998</v>
      </c>
      <c r="H1716" s="1">
        <v>19.5</v>
      </c>
      <c r="I1716" s="1">
        <v>82.2</v>
      </c>
      <c r="J1716" s="1">
        <v>0.57563812599999997</v>
      </c>
      <c r="K1716" s="1">
        <v>0.54560998800000005</v>
      </c>
      <c r="L1716" s="1">
        <v>0.66721428400000005</v>
      </c>
      <c r="M1716" s="3">
        <v>0.72650398400000005</v>
      </c>
      <c r="N1716" s="1" t="s">
        <v>16</v>
      </c>
      <c r="O1716" s="1">
        <v>5.1392405060000002</v>
      </c>
      <c r="P1716" s="1">
        <v>35.9</v>
      </c>
      <c r="Q1716" s="1">
        <v>15.8</v>
      </c>
      <c r="R1716" s="1">
        <v>0.64644275200000012</v>
      </c>
      <c r="S1716" s="1">
        <v>0.13613638260142247</v>
      </c>
      <c r="T1716" t="s">
        <v>1863</v>
      </c>
      <c r="U1716" s="1">
        <v>288</v>
      </c>
      <c r="V1716">
        <f t="shared" si="104"/>
        <v>0.27326583197324789</v>
      </c>
      <c r="W1716" s="1">
        <f t="shared" si="105"/>
        <v>16.399999999999999</v>
      </c>
      <c r="X1716">
        <f t="shared" si="106"/>
        <v>4.5674643499999998</v>
      </c>
      <c r="Y1716">
        <f t="shared" si="107"/>
        <v>66.400000000000006</v>
      </c>
      <c r="Z1716" s="1">
        <v>0</v>
      </c>
      <c r="AA1716">
        <v>100</v>
      </c>
      <c r="AB1716">
        <v>0</v>
      </c>
      <c r="AC1716">
        <v>0</v>
      </c>
      <c r="AD1716">
        <v>149</v>
      </c>
      <c r="AE1716">
        <v>0</v>
      </c>
      <c r="AF1716" t="s">
        <v>2590</v>
      </c>
      <c r="AG1716" t="s">
        <v>2591</v>
      </c>
    </row>
    <row r="1717" spans="1:33">
      <c r="A1717" s="2" t="s">
        <v>85</v>
      </c>
      <c r="B1717" s="2" t="s">
        <v>17</v>
      </c>
      <c r="C1717" s="1">
        <v>0.522280945</v>
      </c>
      <c r="D1717">
        <v>0.58016629799999997</v>
      </c>
      <c r="E1717">
        <v>0.62446713499999995</v>
      </c>
      <c r="F1717" s="1" t="s">
        <v>86</v>
      </c>
      <c r="G1717" s="1">
        <v>0.57177615599999998</v>
      </c>
      <c r="H1717" s="1">
        <v>19.5</v>
      </c>
      <c r="I1717" s="1">
        <v>82.2</v>
      </c>
      <c r="J1717" s="1">
        <v>0.57563812599999997</v>
      </c>
      <c r="K1717" s="1">
        <v>0.659112378</v>
      </c>
      <c r="L1717" s="1">
        <v>0.68333493499999998</v>
      </c>
      <c r="M1717" s="3">
        <v>0.70345495199999997</v>
      </c>
      <c r="N1717" s="1" t="s">
        <v>18</v>
      </c>
      <c r="O1717" s="1">
        <v>1.9463955639999999</v>
      </c>
      <c r="P1717" s="1">
        <v>46.3</v>
      </c>
      <c r="Q1717" s="1">
        <v>54.1</v>
      </c>
      <c r="R1717" s="1">
        <v>0.68196742166666668</v>
      </c>
      <c r="S1717" s="1">
        <v>0.18869468448182833</v>
      </c>
      <c r="T1717" t="s">
        <v>1864</v>
      </c>
      <c r="U1717" s="1">
        <v>165</v>
      </c>
      <c r="V1717">
        <f t="shared" si="104"/>
        <v>0.24638710491265625</v>
      </c>
      <c r="W1717" s="1">
        <f t="shared" si="105"/>
        <v>26.799999999999997</v>
      </c>
      <c r="X1717">
        <f t="shared" si="106"/>
        <v>1.374619408</v>
      </c>
      <c r="Y1717">
        <f t="shared" si="107"/>
        <v>28.1</v>
      </c>
      <c r="Z1717" s="1">
        <v>0</v>
      </c>
      <c r="AA1717">
        <v>100</v>
      </c>
      <c r="AB1717">
        <v>0</v>
      </c>
      <c r="AC1717">
        <v>0</v>
      </c>
      <c r="AD1717">
        <v>163</v>
      </c>
      <c r="AE1717">
        <v>0</v>
      </c>
      <c r="AF1717" t="s">
        <v>2590</v>
      </c>
      <c r="AG1717" t="s">
        <v>2591</v>
      </c>
    </row>
    <row r="1718" spans="1:33">
      <c r="A1718" s="2" t="s">
        <v>85</v>
      </c>
      <c r="B1718" s="2" t="s">
        <v>19</v>
      </c>
      <c r="C1718" s="1">
        <v>0.522280945</v>
      </c>
      <c r="D1718">
        <v>0.58016629799999997</v>
      </c>
      <c r="E1718">
        <v>0.62446713499999995</v>
      </c>
      <c r="F1718" s="1" t="s">
        <v>86</v>
      </c>
      <c r="G1718" s="1">
        <v>0.57177615599999998</v>
      </c>
      <c r="H1718" s="1">
        <v>19.5</v>
      </c>
      <c r="I1718" s="1">
        <v>82.2</v>
      </c>
      <c r="J1718" s="1">
        <v>0.57563812599999997</v>
      </c>
      <c r="K1718" s="1">
        <v>0.49391595300000002</v>
      </c>
      <c r="L1718" s="1">
        <v>0.603599314</v>
      </c>
      <c r="M1718" s="3">
        <v>0.63481471599999995</v>
      </c>
      <c r="N1718" s="1" t="s">
        <v>20</v>
      </c>
      <c r="O1718" s="1">
        <v>1.2140902870000001</v>
      </c>
      <c r="P1718" s="1">
        <v>64.900000000000006</v>
      </c>
      <c r="Q1718" s="1">
        <v>146.19999999999999</v>
      </c>
      <c r="R1718" s="1">
        <v>0.57744332766666662</v>
      </c>
      <c r="S1718" s="1">
        <v>3.8219778159584876E-2</v>
      </c>
      <c r="T1718" t="s">
        <v>1865</v>
      </c>
      <c r="U1718" s="1">
        <v>1095</v>
      </c>
      <c r="V1718">
        <f t="shared" si="104"/>
        <v>0.33771267990845971</v>
      </c>
      <c r="W1718" s="1">
        <f t="shared" si="105"/>
        <v>45.400000000000006</v>
      </c>
      <c r="X1718">
        <f t="shared" si="106"/>
        <v>0.64231413100000012</v>
      </c>
      <c r="Y1718">
        <f t="shared" si="107"/>
        <v>63.999999999999986</v>
      </c>
      <c r="Z1718" s="1">
        <v>1</v>
      </c>
      <c r="AA1718">
        <v>99</v>
      </c>
      <c r="AB1718">
        <v>1.01E-2</v>
      </c>
      <c r="AC1718">
        <v>2</v>
      </c>
      <c r="AD1718">
        <v>141</v>
      </c>
      <c r="AE1718">
        <v>1.4200000000000001E-2</v>
      </c>
      <c r="AF1718" t="s">
        <v>2590</v>
      </c>
      <c r="AG1718" t="s">
        <v>2593</v>
      </c>
    </row>
    <row r="1719" spans="1:33">
      <c r="A1719" s="2" t="s">
        <v>85</v>
      </c>
      <c r="B1719" s="2" t="s">
        <v>21</v>
      </c>
      <c r="C1719" s="1">
        <v>0.522280945</v>
      </c>
      <c r="D1719">
        <v>0.58016629799999997</v>
      </c>
      <c r="E1719">
        <v>0.62446713499999995</v>
      </c>
      <c r="F1719" s="1" t="s">
        <v>86</v>
      </c>
      <c r="G1719" s="1">
        <v>0.57177615599999998</v>
      </c>
      <c r="H1719" s="1">
        <v>19.5</v>
      </c>
      <c r="I1719" s="1">
        <v>82.2</v>
      </c>
      <c r="J1719" s="1">
        <v>0.57563812599999997</v>
      </c>
      <c r="K1719" s="1">
        <v>0.53276376800000003</v>
      </c>
      <c r="L1719" s="1">
        <v>0.65428149899999999</v>
      </c>
      <c r="M1719" s="3">
        <v>0.70160154799999996</v>
      </c>
      <c r="N1719" s="1" t="s">
        <v>22</v>
      </c>
      <c r="O1719" s="1">
        <v>1.2440604749999999</v>
      </c>
      <c r="P1719" s="1">
        <v>24.6</v>
      </c>
      <c r="Q1719" s="1">
        <v>46.3</v>
      </c>
      <c r="R1719" s="1">
        <v>0.62954893833333336</v>
      </c>
      <c r="S1719" s="1">
        <v>0.10748334878563426</v>
      </c>
      <c r="T1719" t="s">
        <v>1866</v>
      </c>
      <c r="U1719" s="1">
        <v>270</v>
      </c>
      <c r="V1719">
        <f t="shared" si="104"/>
        <v>0.27015152935099862</v>
      </c>
      <c r="W1719" s="1">
        <f t="shared" si="105"/>
        <v>5.1000000000000014</v>
      </c>
      <c r="X1719">
        <f t="shared" si="106"/>
        <v>0.67228431899999996</v>
      </c>
      <c r="Y1719">
        <f t="shared" si="107"/>
        <v>35.900000000000006</v>
      </c>
      <c r="Z1719" s="1">
        <v>1</v>
      </c>
      <c r="AA1719">
        <v>99</v>
      </c>
      <c r="AB1719">
        <v>1.01E-2</v>
      </c>
      <c r="AC1719">
        <v>2</v>
      </c>
      <c r="AD1719">
        <v>147</v>
      </c>
      <c r="AE1719">
        <v>1.3599999999999999E-2</v>
      </c>
      <c r="AF1719" t="s">
        <v>2590</v>
      </c>
      <c r="AG1719" t="s">
        <v>2589</v>
      </c>
    </row>
    <row r="1720" spans="1:33">
      <c r="A1720" s="2" t="s">
        <v>85</v>
      </c>
      <c r="B1720" s="2" t="s">
        <v>23</v>
      </c>
      <c r="C1720" s="1">
        <v>0.522280945</v>
      </c>
      <c r="D1720">
        <v>0.58016629799999997</v>
      </c>
      <c r="E1720">
        <v>0.62446713499999995</v>
      </c>
      <c r="F1720" s="1" t="s">
        <v>86</v>
      </c>
      <c r="G1720" s="1">
        <v>0.57177615599999998</v>
      </c>
      <c r="H1720" s="1">
        <v>19.5</v>
      </c>
      <c r="I1720" s="1">
        <v>82.2</v>
      </c>
      <c r="J1720" s="1">
        <v>0.57563812599999997</v>
      </c>
      <c r="K1720" s="1">
        <v>0.49415677200000002</v>
      </c>
      <c r="L1720" s="1">
        <v>0.62090818999999997</v>
      </c>
      <c r="M1720" s="3">
        <v>0.63381026900000004</v>
      </c>
      <c r="N1720" s="1" t="s">
        <v>24</v>
      </c>
      <c r="O1720" s="1">
        <v>1.141304348</v>
      </c>
      <c r="P1720" s="1">
        <v>44.4</v>
      </c>
      <c r="Q1720" s="1">
        <v>101.2</v>
      </c>
      <c r="R1720" s="1">
        <v>0.58295841033333329</v>
      </c>
      <c r="S1720" s="1">
        <v>5.0380204680167281E-2</v>
      </c>
      <c r="T1720" t="s">
        <v>1867</v>
      </c>
      <c r="U1720" s="1">
        <v>158</v>
      </c>
      <c r="V1720">
        <f t="shared" si="104"/>
        <v>0.24429523188382474</v>
      </c>
      <c r="W1720" s="1">
        <f t="shared" si="105"/>
        <v>24.9</v>
      </c>
      <c r="X1720">
        <f t="shared" si="106"/>
        <v>0.56952819200000004</v>
      </c>
      <c r="Y1720">
        <f t="shared" si="107"/>
        <v>19</v>
      </c>
      <c r="Z1720" s="1">
        <v>1</v>
      </c>
      <c r="AA1720">
        <v>99</v>
      </c>
      <c r="AB1720">
        <v>1.01E-2</v>
      </c>
      <c r="AC1720">
        <v>2</v>
      </c>
      <c r="AD1720">
        <v>143</v>
      </c>
      <c r="AE1720">
        <v>1.4E-2</v>
      </c>
      <c r="AF1720" t="s">
        <v>2590</v>
      </c>
      <c r="AG1720" t="s">
        <v>2590</v>
      </c>
    </row>
    <row r="1721" spans="1:33">
      <c r="A1721" s="2" t="s">
        <v>85</v>
      </c>
      <c r="B1721" s="2" t="s">
        <v>25</v>
      </c>
      <c r="C1721" s="1">
        <v>0.522280945</v>
      </c>
      <c r="D1721">
        <v>0.58016629799999997</v>
      </c>
      <c r="E1721">
        <v>0.62446713499999995</v>
      </c>
      <c r="F1721" s="1" t="s">
        <v>86</v>
      </c>
      <c r="G1721" s="1">
        <v>0.57177615599999998</v>
      </c>
      <c r="H1721" s="1">
        <v>19.5</v>
      </c>
      <c r="I1721" s="1">
        <v>82.2</v>
      </c>
      <c r="J1721" s="1">
        <v>0.57563812599999997</v>
      </c>
      <c r="K1721" s="1">
        <v>0.53959274199999996</v>
      </c>
      <c r="L1721" s="1">
        <v>0.64971567399999997</v>
      </c>
      <c r="M1721" s="3">
        <v>0.65028459999999999</v>
      </c>
      <c r="N1721" s="1" t="s">
        <v>26</v>
      </c>
      <c r="O1721" s="1">
        <v>1.623046875</v>
      </c>
      <c r="P1721" s="1">
        <v>34.700000000000003</v>
      </c>
      <c r="Q1721" s="1">
        <v>51.2</v>
      </c>
      <c r="R1721" s="1">
        <v>0.61319767199999997</v>
      </c>
      <c r="S1721" s="1">
        <v>7.6179757917604396E-2</v>
      </c>
      <c r="T1721" t="s">
        <v>1868</v>
      </c>
      <c r="U1721" s="1">
        <v>262</v>
      </c>
      <c r="V1721">
        <f t="shared" si="104"/>
        <v>0.26870014347997168</v>
      </c>
      <c r="W1721" s="1">
        <f t="shared" si="105"/>
        <v>15.200000000000003</v>
      </c>
      <c r="X1721">
        <f t="shared" si="106"/>
        <v>1.0512707190000001</v>
      </c>
      <c r="Y1721">
        <f t="shared" si="107"/>
        <v>31</v>
      </c>
      <c r="Z1721" s="1">
        <v>0</v>
      </c>
      <c r="AA1721">
        <v>100</v>
      </c>
      <c r="AB1721">
        <v>0</v>
      </c>
      <c r="AC1721">
        <v>0</v>
      </c>
      <c r="AD1721">
        <v>147</v>
      </c>
      <c r="AE1721">
        <v>0</v>
      </c>
      <c r="AF1721" t="s">
        <v>2590</v>
      </c>
      <c r="AG1721" t="s">
        <v>2594</v>
      </c>
    </row>
    <row r="1722" spans="1:33">
      <c r="A1722" s="2" t="s">
        <v>85</v>
      </c>
      <c r="B1722" s="2" t="s">
        <v>27</v>
      </c>
      <c r="C1722" s="1">
        <v>0.522280945</v>
      </c>
      <c r="D1722">
        <v>0.58016629799999997</v>
      </c>
      <c r="E1722">
        <v>0.62446713499999995</v>
      </c>
      <c r="F1722" s="1" t="s">
        <v>86</v>
      </c>
      <c r="G1722" s="1">
        <v>0.57177615599999998</v>
      </c>
      <c r="H1722" s="1">
        <v>19.5</v>
      </c>
      <c r="I1722" s="1">
        <v>82.2</v>
      </c>
      <c r="J1722" s="1">
        <v>0.57563812599999997</v>
      </c>
      <c r="K1722" s="1">
        <v>0.518608662</v>
      </c>
      <c r="L1722" s="1">
        <v>0.64320369700000002</v>
      </c>
      <c r="M1722" s="3">
        <v>0.62228994199999998</v>
      </c>
      <c r="N1722" s="1" t="s">
        <v>28</v>
      </c>
      <c r="O1722" s="1">
        <v>1.8717391299999999</v>
      </c>
      <c r="P1722" s="1">
        <v>33.700000000000003</v>
      </c>
      <c r="Q1722" s="1">
        <v>46</v>
      </c>
      <c r="R1722" s="1">
        <v>0.59470076699999996</v>
      </c>
      <c r="S1722" s="1">
        <v>6.3181797255827926E-2</v>
      </c>
      <c r="T1722" t="s">
        <v>1869</v>
      </c>
      <c r="U1722" s="1">
        <v>343</v>
      </c>
      <c r="V1722">
        <f t="shared" si="104"/>
        <v>0.28169934667141894</v>
      </c>
      <c r="W1722" s="1">
        <f t="shared" si="105"/>
        <v>14.200000000000003</v>
      </c>
      <c r="X1722">
        <f t="shared" si="106"/>
        <v>1.299962974</v>
      </c>
      <c r="Y1722">
        <f t="shared" si="107"/>
        <v>36.200000000000003</v>
      </c>
      <c r="Z1722" s="1">
        <v>1</v>
      </c>
      <c r="AA1722">
        <v>99</v>
      </c>
      <c r="AB1722">
        <v>1.01E-2</v>
      </c>
      <c r="AC1722">
        <v>2</v>
      </c>
      <c r="AD1722">
        <v>152</v>
      </c>
      <c r="AE1722">
        <v>1.32E-2</v>
      </c>
      <c r="AF1722" t="s">
        <v>2590</v>
      </c>
      <c r="AG1722" t="s">
        <v>2590</v>
      </c>
    </row>
    <row r="1723" spans="1:33">
      <c r="A1723" s="2" t="s">
        <v>85</v>
      </c>
      <c r="B1723" s="2" t="s">
        <v>29</v>
      </c>
      <c r="C1723" s="1">
        <v>0.522280945</v>
      </c>
      <c r="D1723">
        <v>0.58016629799999997</v>
      </c>
      <c r="E1723">
        <v>0.62446713499999995</v>
      </c>
      <c r="F1723" s="1" t="s">
        <v>86</v>
      </c>
      <c r="G1723" s="1">
        <v>0.57177615599999998</v>
      </c>
      <c r="H1723" s="1">
        <v>19.5</v>
      </c>
      <c r="I1723" s="1">
        <v>82.2</v>
      </c>
      <c r="J1723" s="1">
        <v>0.57563812599999997</v>
      </c>
      <c r="K1723" s="1">
        <v>0.59351545100000003</v>
      </c>
      <c r="L1723" s="1">
        <v>0.68136602400000001</v>
      </c>
      <c r="M1723" s="3">
        <v>0.73518087600000004</v>
      </c>
      <c r="N1723" s="1" t="s">
        <v>30</v>
      </c>
      <c r="O1723" s="1">
        <v>2.849112426</v>
      </c>
      <c r="P1723" s="1">
        <v>37.9</v>
      </c>
      <c r="Q1723" s="1">
        <v>33.799999999999997</v>
      </c>
      <c r="R1723" s="1">
        <v>0.67002078366666673</v>
      </c>
      <c r="S1723" s="1">
        <v>0.16605201544622764</v>
      </c>
      <c r="T1723" t="s">
        <v>1870</v>
      </c>
      <c r="U1723" s="1">
        <v>304</v>
      </c>
      <c r="V1723">
        <f t="shared" si="104"/>
        <v>0.27587484262319489</v>
      </c>
      <c r="W1723" s="1">
        <f t="shared" si="105"/>
        <v>18.399999999999999</v>
      </c>
      <c r="X1723">
        <f t="shared" si="106"/>
        <v>2.2773362700000002</v>
      </c>
      <c r="Y1723">
        <f t="shared" si="107"/>
        <v>48.400000000000006</v>
      </c>
      <c r="Z1723" s="1">
        <v>0</v>
      </c>
      <c r="AA1723">
        <v>100</v>
      </c>
      <c r="AB1723">
        <v>0</v>
      </c>
      <c r="AC1723">
        <v>0</v>
      </c>
      <c r="AD1723">
        <v>143</v>
      </c>
      <c r="AE1723">
        <v>0</v>
      </c>
      <c r="AF1723" t="s">
        <v>2590</v>
      </c>
      <c r="AG1723" t="s">
        <v>2593</v>
      </c>
    </row>
    <row r="1724" spans="1:33">
      <c r="A1724" s="2" t="s">
        <v>85</v>
      </c>
      <c r="B1724" s="2" t="s">
        <v>31</v>
      </c>
      <c r="C1724" s="1">
        <v>0.522280945</v>
      </c>
      <c r="D1724">
        <v>0.58016629799999997</v>
      </c>
      <c r="E1724">
        <v>0.62446713499999995</v>
      </c>
      <c r="F1724" s="1" t="s">
        <v>86</v>
      </c>
      <c r="G1724" s="1">
        <v>0.57177615599999998</v>
      </c>
      <c r="H1724" s="1">
        <v>19.5</v>
      </c>
      <c r="I1724" s="1">
        <v>82.2</v>
      </c>
      <c r="J1724" s="1">
        <v>0.57563812599999997</v>
      </c>
      <c r="K1724" s="1">
        <v>0.47727961800000002</v>
      </c>
      <c r="L1724" s="1">
        <v>0.66941086400000005</v>
      </c>
      <c r="M1724" s="3">
        <v>0.69294815300000001</v>
      </c>
      <c r="N1724" s="1" t="s">
        <v>32</v>
      </c>
      <c r="O1724" s="1">
        <v>1.341891892</v>
      </c>
      <c r="P1724" s="1">
        <v>42.1</v>
      </c>
      <c r="Q1724" s="1">
        <v>74</v>
      </c>
      <c r="R1724" s="1">
        <v>0.61321287833333338</v>
      </c>
      <c r="S1724" s="1">
        <v>0.12115841621037157</v>
      </c>
      <c r="T1724" t="s">
        <v>1871</v>
      </c>
      <c r="U1724" s="1">
        <v>456</v>
      </c>
      <c r="V1724">
        <f t="shared" si="104"/>
        <v>0.29544053807382609</v>
      </c>
      <c r="W1724" s="1">
        <f t="shared" si="105"/>
        <v>22.6</v>
      </c>
      <c r="X1724">
        <f t="shared" si="106"/>
        <v>0.77011573600000005</v>
      </c>
      <c r="Y1724">
        <f t="shared" si="107"/>
        <v>8.2000000000000028</v>
      </c>
      <c r="Z1724" s="1">
        <v>1</v>
      </c>
      <c r="AA1724">
        <v>99</v>
      </c>
      <c r="AB1724">
        <v>1.01E-2</v>
      </c>
      <c r="AC1724">
        <v>2</v>
      </c>
      <c r="AD1724">
        <v>149</v>
      </c>
      <c r="AE1724">
        <v>1.34E-2</v>
      </c>
      <c r="AF1724" t="s">
        <v>2590</v>
      </c>
      <c r="AG1724" t="s">
        <v>2589</v>
      </c>
    </row>
    <row r="1725" spans="1:33">
      <c r="A1725" s="2" t="s">
        <v>85</v>
      </c>
      <c r="B1725" s="2" t="s">
        <v>33</v>
      </c>
      <c r="C1725" s="1">
        <v>0.522280945</v>
      </c>
      <c r="D1725">
        <v>0.58016629799999997</v>
      </c>
      <c r="E1725">
        <v>0.62446713499999995</v>
      </c>
      <c r="F1725" s="1" t="s">
        <v>86</v>
      </c>
      <c r="G1725" s="1">
        <v>0.57177615599999998</v>
      </c>
      <c r="H1725" s="1">
        <v>19.5</v>
      </c>
      <c r="I1725" s="1">
        <v>82.2</v>
      </c>
      <c r="J1725" s="1">
        <v>0.57563812599999997</v>
      </c>
      <c r="K1725" s="1">
        <v>0.51347926600000005</v>
      </c>
      <c r="L1725" s="1">
        <v>0.63144379399999995</v>
      </c>
      <c r="M1725" s="3">
        <v>0.64189093500000005</v>
      </c>
      <c r="N1725" s="1" t="s">
        <v>34</v>
      </c>
      <c r="O1725" s="1">
        <v>2.3123667380000001</v>
      </c>
      <c r="P1725" s="1">
        <v>79.099999999999994</v>
      </c>
      <c r="Q1725" s="1">
        <v>93.8</v>
      </c>
      <c r="R1725" s="1">
        <v>0.59560466500000009</v>
      </c>
      <c r="S1725" s="1">
        <v>5.4867476301439788E-2</v>
      </c>
      <c r="T1725" t="s">
        <v>1872</v>
      </c>
      <c r="U1725" s="1">
        <v>12363</v>
      </c>
      <c r="V1725">
        <f t="shared" si="104"/>
        <v>0.45468042991602786</v>
      </c>
      <c r="W1725" s="1">
        <f t="shared" si="105"/>
        <v>59.599999999999994</v>
      </c>
      <c r="X1725">
        <f t="shared" si="106"/>
        <v>1.7405905820000003</v>
      </c>
      <c r="Y1725">
        <f t="shared" si="107"/>
        <v>11.599999999999994</v>
      </c>
      <c r="Z1725" s="1">
        <v>1</v>
      </c>
      <c r="AA1725">
        <v>99</v>
      </c>
      <c r="AB1725">
        <v>1.01E-2</v>
      </c>
      <c r="AC1725">
        <v>2</v>
      </c>
      <c r="AD1725">
        <v>143</v>
      </c>
      <c r="AE1725">
        <v>1.4E-2</v>
      </c>
      <c r="AF1725" t="s">
        <v>2590</v>
      </c>
      <c r="AG1725" t="s">
        <v>2590</v>
      </c>
    </row>
    <row r="1726" spans="1:33">
      <c r="A1726" s="2" t="s">
        <v>85</v>
      </c>
      <c r="B1726" s="2" t="s">
        <v>35</v>
      </c>
      <c r="C1726" s="1">
        <v>0.522280945</v>
      </c>
      <c r="D1726">
        <v>0.58016629799999997</v>
      </c>
      <c r="E1726">
        <v>0.62446713499999995</v>
      </c>
      <c r="F1726" s="1" t="s">
        <v>86</v>
      </c>
      <c r="G1726" s="1">
        <v>0.57177615599999998</v>
      </c>
      <c r="H1726" s="1">
        <v>19.5</v>
      </c>
      <c r="I1726" s="1">
        <v>82.2</v>
      </c>
      <c r="J1726" s="1">
        <v>0.57563812599999997</v>
      </c>
      <c r="K1726" s="1">
        <v>0.52542897600000005</v>
      </c>
      <c r="L1726" s="1">
        <v>0.60774736299999998</v>
      </c>
      <c r="M1726" s="3">
        <v>0.62585751700000003</v>
      </c>
      <c r="N1726" s="1" t="s">
        <v>36</v>
      </c>
      <c r="O1726" s="1">
        <v>0.98848810399999998</v>
      </c>
      <c r="P1726" s="1">
        <v>54.2</v>
      </c>
      <c r="Q1726" s="1">
        <v>130.30000000000001</v>
      </c>
      <c r="R1726" s="1">
        <v>0.58634461866666665</v>
      </c>
      <c r="S1726" s="1">
        <v>2.7794934930974589E-2</v>
      </c>
      <c r="T1726" t="s">
        <v>1873</v>
      </c>
      <c r="U1726" s="1">
        <v>681</v>
      </c>
      <c r="V1726">
        <f t="shared" si="104"/>
        <v>0.314794123545865</v>
      </c>
      <c r="W1726" s="1">
        <f t="shared" si="105"/>
        <v>34.700000000000003</v>
      </c>
      <c r="X1726">
        <f t="shared" si="106"/>
        <v>0.416711948</v>
      </c>
      <c r="Y1726">
        <f t="shared" si="107"/>
        <v>48.100000000000009</v>
      </c>
      <c r="Z1726" s="1">
        <v>1</v>
      </c>
      <c r="AA1726">
        <v>99</v>
      </c>
      <c r="AB1726">
        <v>1.01E-2</v>
      </c>
      <c r="AC1726">
        <v>2</v>
      </c>
      <c r="AD1726">
        <v>142</v>
      </c>
      <c r="AE1726">
        <v>1.41E-2</v>
      </c>
      <c r="AF1726" t="s">
        <v>2590</v>
      </c>
      <c r="AG1726" t="s">
        <v>2589</v>
      </c>
    </row>
    <row r="1727" spans="1:33">
      <c r="A1727" s="2" t="s">
        <v>85</v>
      </c>
      <c r="B1727" s="2" t="s">
        <v>37</v>
      </c>
      <c r="C1727" s="1">
        <v>0.522280945</v>
      </c>
      <c r="D1727">
        <v>0.58016629799999997</v>
      </c>
      <c r="E1727">
        <v>0.62446713499999995</v>
      </c>
      <c r="F1727" s="1" t="s">
        <v>86</v>
      </c>
      <c r="G1727" s="1">
        <v>0.57177615599999998</v>
      </c>
      <c r="H1727" s="1">
        <v>19.5</v>
      </c>
      <c r="I1727" s="1">
        <v>82.2</v>
      </c>
      <c r="J1727" s="1">
        <v>0.57563812599999997</v>
      </c>
      <c r="K1727" s="1">
        <v>0.50856695500000004</v>
      </c>
      <c r="L1727" s="1">
        <v>0.654733224</v>
      </c>
      <c r="M1727" s="3">
        <v>0.61418267199999999</v>
      </c>
      <c r="N1727" s="1" t="s">
        <v>38</v>
      </c>
      <c r="O1727" s="1">
        <v>0.64065708399999999</v>
      </c>
      <c r="P1727" s="1">
        <v>41.9</v>
      </c>
      <c r="Q1727" s="1">
        <v>146.1</v>
      </c>
      <c r="R1727" s="1">
        <v>0.59249428366666679</v>
      </c>
      <c r="S1727" s="1">
        <v>7.6511895506567784E-2</v>
      </c>
      <c r="T1727" t="s">
        <v>1874</v>
      </c>
      <c r="U1727" s="1">
        <v>25725</v>
      </c>
      <c r="V1727">
        <f t="shared" si="104"/>
        <v>0.49003948704827455</v>
      </c>
      <c r="W1727" s="1">
        <f t="shared" si="105"/>
        <v>22.4</v>
      </c>
      <c r="X1727">
        <f t="shared" si="106"/>
        <v>6.8880928000000008E-2</v>
      </c>
      <c r="Y1727">
        <f t="shared" si="107"/>
        <v>63.899999999999991</v>
      </c>
      <c r="Z1727" s="1">
        <v>1</v>
      </c>
      <c r="AA1727">
        <v>99</v>
      </c>
      <c r="AB1727">
        <v>1.01E-2</v>
      </c>
      <c r="AC1727">
        <v>2</v>
      </c>
      <c r="AD1727">
        <v>141</v>
      </c>
      <c r="AE1727">
        <v>1.4200000000000001E-2</v>
      </c>
      <c r="AF1727" t="s">
        <v>2590</v>
      </c>
      <c r="AG1727" t="s">
        <v>2590</v>
      </c>
    </row>
    <row r="1728" spans="1:33">
      <c r="A1728" s="2" t="s">
        <v>85</v>
      </c>
      <c r="B1728" s="2" t="s">
        <v>39</v>
      </c>
      <c r="C1728" s="1">
        <v>0.522280945</v>
      </c>
      <c r="D1728">
        <v>0.58016629799999997</v>
      </c>
      <c r="E1728">
        <v>0.62446713499999995</v>
      </c>
      <c r="F1728" s="1" t="s">
        <v>86</v>
      </c>
      <c r="G1728" s="1">
        <v>0.57177615599999998</v>
      </c>
      <c r="H1728" s="1">
        <v>19.5</v>
      </c>
      <c r="I1728" s="1">
        <v>82.2</v>
      </c>
      <c r="J1728" s="1">
        <v>0.57563812599999997</v>
      </c>
      <c r="K1728" s="1">
        <v>0.60811616199999996</v>
      </c>
      <c r="L1728" s="1">
        <v>0.721105683</v>
      </c>
      <c r="M1728" s="3">
        <v>0.741016169</v>
      </c>
      <c r="N1728" s="1" t="s">
        <v>40</v>
      </c>
      <c r="O1728" s="1">
        <v>1.0601915180000001</v>
      </c>
      <c r="P1728" s="1">
        <v>34</v>
      </c>
      <c r="Q1728" s="1">
        <v>73.099999999999994</v>
      </c>
      <c r="R1728" s="1">
        <v>0.69007933799999999</v>
      </c>
      <c r="S1728" s="1">
        <v>0.2020278991821389</v>
      </c>
      <c r="T1728" t="s">
        <v>1875</v>
      </c>
      <c r="U1728" s="1">
        <v>350</v>
      </c>
      <c r="V1728">
        <f t="shared" si="104"/>
        <v>0.28267422715003065</v>
      </c>
      <c r="W1728" s="1">
        <f t="shared" si="105"/>
        <v>14.5</v>
      </c>
      <c r="X1728">
        <f t="shared" si="106"/>
        <v>0.48841536200000013</v>
      </c>
      <c r="Y1728">
        <f t="shared" si="107"/>
        <v>9.1000000000000085</v>
      </c>
      <c r="Z1728" s="1">
        <v>1</v>
      </c>
      <c r="AA1728">
        <v>99</v>
      </c>
      <c r="AB1728">
        <v>1.01E-2</v>
      </c>
      <c r="AC1728">
        <v>2</v>
      </c>
      <c r="AD1728">
        <v>144</v>
      </c>
      <c r="AE1728">
        <v>1.3899999999999999E-2</v>
      </c>
      <c r="AF1728" t="s">
        <v>2590</v>
      </c>
      <c r="AG1728" t="s">
        <v>2589</v>
      </c>
    </row>
    <row r="1729" spans="1:33">
      <c r="A1729" s="2" t="s">
        <v>85</v>
      </c>
      <c r="B1729" s="2" t="s">
        <v>41</v>
      </c>
      <c r="C1729" s="1">
        <v>0.522280945</v>
      </c>
      <c r="D1729">
        <v>0.58016629799999997</v>
      </c>
      <c r="E1729">
        <v>0.62446713499999995</v>
      </c>
      <c r="F1729" s="1" t="s">
        <v>86</v>
      </c>
      <c r="G1729" s="1">
        <v>0.57177615599999998</v>
      </c>
      <c r="H1729" s="1">
        <v>19.5</v>
      </c>
      <c r="I1729" s="1">
        <v>82.2</v>
      </c>
      <c r="J1729" s="1">
        <v>0.57563812599999997</v>
      </c>
      <c r="K1729" s="1">
        <v>0.60402244999999999</v>
      </c>
      <c r="L1729" s="1">
        <v>0.669189213</v>
      </c>
      <c r="M1729" s="3">
        <v>0.69821693799999995</v>
      </c>
      <c r="N1729" s="1" t="s">
        <v>42</v>
      </c>
      <c r="O1729" s="1">
        <v>1.3243902439999999</v>
      </c>
      <c r="P1729" s="1">
        <v>23</v>
      </c>
      <c r="Q1729" s="1">
        <v>41</v>
      </c>
      <c r="R1729" s="1">
        <v>0.65714286700000002</v>
      </c>
      <c r="S1729" s="1">
        <v>0.14158314333740815</v>
      </c>
      <c r="T1729" t="s">
        <v>1876</v>
      </c>
      <c r="U1729" s="1">
        <v>400</v>
      </c>
      <c r="V1729">
        <f t="shared" si="104"/>
        <v>0.28911777681421807</v>
      </c>
      <c r="W1729" s="1">
        <f t="shared" si="105"/>
        <v>3.5</v>
      </c>
      <c r="X1729">
        <f t="shared" si="106"/>
        <v>0.75261408799999996</v>
      </c>
      <c r="Y1729">
        <f t="shared" si="107"/>
        <v>41.2</v>
      </c>
      <c r="Z1729" s="1">
        <v>0</v>
      </c>
      <c r="AA1729">
        <v>100</v>
      </c>
      <c r="AB1729">
        <v>0</v>
      </c>
      <c r="AC1729">
        <v>0</v>
      </c>
      <c r="AD1729">
        <v>160</v>
      </c>
      <c r="AE1729">
        <v>0</v>
      </c>
      <c r="AF1729" t="s">
        <v>2590</v>
      </c>
      <c r="AG1729" t="s">
        <v>2591</v>
      </c>
    </row>
    <row r="1730" spans="1:33">
      <c r="A1730" s="2" t="s">
        <v>85</v>
      </c>
      <c r="B1730" s="2" t="s">
        <v>43</v>
      </c>
      <c r="C1730" s="1">
        <v>0.522280945</v>
      </c>
      <c r="D1730">
        <v>0.58016629799999997</v>
      </c>
      <c r="E1730">
        <v>0.62446713499999995</v>
      </c>
      <c r="F1730" s="1" t="s">
        <v>86</v>
      </c>
      <c r="G1730" s="1">
        <v>0.57177615599999998</v>
      </c>
      <c r="H1730" s="1">
        <v>19.5</v>
      </c>
      <c r="I1730" s="1">
        <v>82.2</v>
      </c>
      <c r="J1730" s="1">
        <v>0.57563812599999997</v>
      </c>
      <c r="K1730" s="1">
        <v>0.54180634699999997</v>
      </c>
      <c r="L1730" s="1">
        <v>0.59470779900000004</v>
      </c>
      <c r="M1730" s="3">
        <v>0.69518155599999998</v>
      </c>
      <c r="N1730" s="1" t="s">
        <v>44</v>
      </c>
      <c r="O1730" s="1">
        <v>1.7403685090000001</v>
      </c>
      <c r="P1730" s="1">
        <v>41.2</v>
      </c>
      <c r="Q1730" s="1">
        <v>59.7</v>
      </c>
      <c r="R1730" s="1">
        <v>0.61056523400000007</v>
      </c>
      <c r="S1730" s="1">
        <v>7.4787872759959226E-2</v>
      </c>
      <c r="T1730" t="s">
        <v>1877</v>
      </c>
      <c r="U1730" s="1">
        <v>1267</v>
      </c>
      <c r="V1730">
        <f t="shared" ref="V1730:V1793" si="108">LOG10(U1730) / 9</f>
        <v>0.34475295720927129</v>
      </c>
      <c r="W1730" s="1">
        <f t="shared" ref="W1730:W1793" si="109">ABS(H1730-P1730)</f>
        <v>21.700000000000003</v>
      </c>
      <c r="X1730">
        <f t="shared" ref="X1730:X1793" si="110">ABS(G1730-O1730)</f>
        <v>1.1685923530000002</v>
      </c>
      <c r="Y1730">
        <f t="shared" ref="Y1730:Y1793" si="111">ABS(I1730-Q1730)</f>
        <v>22.5</v>
      </c>
      <c r="Z1730" s="1">
        <v>1</v>
      </c>
      <c r="AA1730">
        <v>99</v>
      </c>
      <c r="AB1730">
        <v>1.01E-2</v>
      </c>
      <c r="AC1730">
        <v>2</v>
      </c>
      <c r="AD1730">
        <v>180</v>
      </c>
      <c r="AE1730">
        <v>1.11E-2</v>
      </c>
      <c r="AF1730" t="s">
        <v>2590</v>
      </c>
      <c r="AG1730" t="s">
        <v>2589</v>
      </c>
    </row>
    <row r="1731" spans="1:33">
      <c r="A1731" s="2" t="s">
        <v>85</v>
      </c>
      <c r="B1731" s="2" t="s">
        <v>45</v>
      </c>
      <c r="C1731" s="1">
        <v>0.522280945</v>
      </c>
      <c r="D1731">
        <v>0.58016629799999997</v>
      </c>
      <c r="E1731">
        <v>0.62446713499999995</v>
      </c>
      <c r="F1731" s="1" t="s">
        <v>86</v>
      </c>
      <c r="G1731" s="1">
        <v>0.57177615599999998</v>
      </c>
      <c r="H1731" s="1">
        <v>19.5</v>
      </c>
      <c r="I1731" s="1">
        <v>82.2</v>
      </c>
      <c r="J1731" s="1">
        <v>0.57563812599999997</v>
      </c>
      <c r="K1731" s="1">
        <v>0.50907007599999998</v>
      </c>
      <c r="L1731" s="1">
        <v>0.68428041399999995</v>
      </c>
      <c r="M1731" s="3">
        <v>0.67454742099999998</v>
      </c>
      <c r="N1731" s="1" t="s">
        <v>46</v>
      </c>
      <c r="O1731" s="1">
        <v>0.98140043799999999</v>
      </c>
      <c r="P1731" s="1">
        <v>38.9</v>
      </c>
      <c r="Q1731" s="1">
        <v>91.4</v>
      </c>
      <c r="R1731" s="1">
        <v>0.62263263699999993</v>
      </c>
      <c r="S1731" s="1">
        <v>0.11628547310837417</v>
      </c>
      <c r="T1731" t="s">
        <v>1878</v>
      </c>
      <c r="U1731" s="1">
        <v>320</v>
      </c>
      <c r="V1731">
        <f t="shared" si="108"/>
        <v>0.27834999759110063</v>
      </c>
      <c r="W1731" s="1">
        <f t="shared" si="109"/>
        <v>19.399999999999999</v>
      </c>
      <c r="X1731">
        <f t="shared" si="110"/>
        <v>0.40962428200000001</v>
      </c>
      <c r="Y1731">
        <f t="shared" si="111"/>
        <v>9.2000000000000028</v>
      </c>
      <c r="Z1731" s="1">
        <v>1</v>
      </c>
      <c r="AA1731">
        <v>99</v>
      </c>
      <c r="AB1731">
        <v>1.01E-2</v>
      </c>
      <c r="AC1731">
        <v>2</v>
      </c>
      <c r="AD1731">
        <v>160</v>
      </c>
      <c r="AE1731">
        <v>1.2500000000000001E-2</v>
      </c>
      <c r="AF1731" t="s">
        <v>2590</v>
      </c>
      <c r="AG1731" t="s">
        <v>2589</v>
      </c>
    </row>
    <row r="1732" spans="1:33">
      <c r="A1732" s="2" t="s">
        <v>85</v>
      </c>
      <c r="B1732" s="2" t="s">
        <v>47</v>
      </c>
      <c r="C1732" s="1">
        <v>0.522280945</v>
      </c>
      <c r="D1732">
        <v>0.58016629799999997</v>
      </c>
      <c r="E1732">
        <v>0.62446713499999995</v>
      </c>
      <c r="F1732" s="1" t="s">
        <v>86</v>
      </c>
      <c r="G1732" s="1">
        <v>0.57177615599999998</v>
      </c>
      <c r="H1732" s="1">
        <v>19.5</v>
      </c>
      <c r="I1732" s="1">
        <v>82.2</v>
      </c>
      <c r="J1732" s="1">
        <v>0.57563812599999997</v>
      </c>
      <c r="K1732" s="1">
        <v>0.50612154099999995</v>
      </c>
      <c r="L1732" s="1">
        <v>0.55940039100000005</v>
      </c>
      <c r="M1732" s="3">
        <v>0.66789001699999995</v>
      </c>
      <c r="N1732" s="1" t="s">
        <v>48</v>
      </c>
      <c r="O1732" s="1">
        <v>1.242622951</v>
      </c>
      <c r="P1732" s="1">
        <v>17.8</v>
      </c>
      <c r="Q1732" s="1">
        <v>30.5</v>
      </c>
      <c r="R1732" s="1">
        <v>0.57780398300000002</v>
      </c>
      <c r="S1732" s="1">
        <v>5.0772984079663727E-2</v>
      </c>
      <c r="T1732" t="s">
        <v>1879</v>
      </c>
      <c r="U1732" s="1">
        <v>5605</v>
      </c>
      <c r="V1732">
        <f t="shared" si="108"/>
        <v>0.41650840188122129</v>
      </c>
      <c r="W1732" s="1">
        <f t="shared" si="109"/>
        <v>1.6999999999999993</v>
      </c>
      <c r="X1732">
        <f t="shared" si="110"/>
        <v>0.670846795</v>
      </c>
      <c r="Y1732">
        <f t="shared" si="111"/>
        <v>51.7</v>
      </c>
      <c r="Z1732" s="1">
        <v>22</v>
      </c>
      <c r="AA1732">
        <v>78</v>
      </c>
      <c r="AB1732">
        <v>0.28210000000000002</v>
      </c>
      <c r="AC1732">
        <v>50</v>
      </c>
      <c r="AD1732">
        <v>119</v>
      </c>
      <c r="AE1732">
        <v>0.42020000000000002</v>
      </c>
      <c r="AF1732" t="s">
        <v>2590</v>
      </c>
      <c r="AG1732" t="s">
        <v>2590</v>
      </c>
    </row>
    <row r="1733" spans="1:33">
      <c r="A1733" s="2" t="s">
        <v>85</v>
      </c>
      <c r="B1733" s="2" t="s">
        <v>49</v>
      </c>
      <c r="C1733" s="1">
        <v>0.522280945</v>
      </c>
      <c r="D1733">
        <v>0.58016629799999997</v>
      </c>
      <c r="E1733">
        <v>0.62446713499999995</v>
      </c>
      <c r="F1733" s="1" t="s">
        <v>86</v>
      </c>
      <c r="G1733" s="1">
        <v>0.57177615599999998</v>
      </c>
      <c r="H1733" s="1">
        <v>19.5</v>
      </c>
      <c r="I1733" s="1">
        <v>82.2</v>
      </c>
      <c r="J1733" s="1">
        <v>0.57563812599999997</v>
      </c>
      <c r="K1733" s="1">
        <v>0.50647110500000003</v>
      </c>
      <c r="L1733" s="1">
        <v>0.55713136799999996</v>
      </c>
      <c r="M1733" s="3">
        <v>0.63402682300000002</v>
      </c>
      <c r="N1733" s="1" t="s">
        <v>50</v>
      </c>
      <c r="O1733" s="1">
        <v>1.876675603</v>
      </c>
      <c r="P1733" s="1">
        <v>28.8</v>
      </c>
      <c r="Q1733" s="1">
        <v>37.299999999999997</v>
      </c>
      <c r="R1733" s="1">
        <v>0.56587643200000004</v>
      </c>
      <c r="S1733" s="1">
        <v>2.9528743210435564E-2</v>
      </c>
      <c r="T1733" t="s">
        <v>1880</v>
      </c>
      <c r="U1733" s="1">
        <v>788</v>
      </c>
      <c r="V1733">
        <f t="shared" si="108"/>
        <v>0.3218362463877284</v>
      </c>
      <c r="W1733" s="1">
        <f t="shared" si="109"/>
        <v>9.3000000000000007</v>
      </c>
      <c r="X1733">
        <f t="shared" si="110"/>
        <v>1.3048994469999999</v>
      </c>
      <c r="Y1733">
        <f t="shared" si="111"/>
        <v>44.900000000000006</v>
      </c>
      <c r="Z1733" s="1">
        <v>1</v>
      </c>
      <c r="AA1733">
        <v>99</v>
      </c>
      <c r="AB1733">
        <v>1.01E-2</v>
      </c>
      <c r="AC1733">
        <v>2</v>
      </c>
      <c r="AD1733">
        <v>141</v>
      </c>
      <c r="AE1733">
        <v>1.4200000000000001E-2</v>
      </c>
      <c r="AF1733" t="s">
        <v>2590</v>
      </c>
      <c r="AG1733" t="s">
        <v>2590</v>
      </c>
    </row>
    <row r="1734" spans="1:33">
      <c r="A1734" s="2" t="s">
        <v>85</v>
      </c>
      <c r="B1734" s="2" t="s">
        <v>51</v>
      </c>
      <c r="C1734" s="1">
        <v>0.522280945</v>
      </c>
      <c r="D1734">
        <v>0.58016629799999997</v>
      </c>
      <c r="E1734">
        <v>0.62446713499999995</v>
      </c>
      <c r="F1734" s="1" t="s">
        <v>86</v>
      </c>
      <c r="G1734" s="1">
        <v>0.57177615599999998</v>
      </c>
      <c r="H1734" s="1">
        <v>19.5</v>
      </c>
      <c r="I1734" s="1">
        <v>82.2</v>
      </c>
      <c r="J1734" s="1">
        <v>0.57563812599999997</v>
      </c>
      <c r="K1734" s="1">
        <v>0.60067161999999996</v>
      </c>
      <c r="L1734" s="1">
        <v>0.68094129999999997</v>
      </c>
      <c r="M1734" s="3">
        <v>0.73595931299999995</v>
      </c>
      <c r="N1734" s="1" t="s">
        <v>52</v>
      </c>
      <c r="O1734" s="1">
        <v>1.858638743</v>
      </c>
      <c r="P1734" s="1">
        <v>29.4</v>
      </c>
      <c r="Q1734" s="1">
        <v>38.200000000000003</v>
      </c>
      <c r="R1734" s="1">
        <v>0.67252407766666666</v>
      </c>
      <c r="S1734" s="1">
        <v>0.1695028162309975</v>
      </c>
      <c r="T1734" t="s">
        <v>1881</v>
      </c>
      <c r="U1734" s="1">
        <v>189</v>
      </c>
      <c r="V1734">
        <f t="shared" si="108"/>
        <v>0.25294020046369381</v>
      </c>
      <c r="W1734" s="1">
        <f t="shared" si="109"/>
        <v>9.8999999999999986</v>
      </c>
      <c r="X1734">
        <f t="shared" si="110"/>
        <v>1.2868625869999999</v>
      </c>
      <c r="Y1734">
        <f t="shared" si="111"/>
        <v>44</v>
      </c>
      <c r="Z1734" s="1">
        <v>1</v>
      </c>
      <c r="AA1734">
        <v>99</v>
      </c>
      <c r="AB1734">
        <v>1.01E-2</v>
      </c>
      <c r="AC1734">
        <v>2</v>
      </c>
      <c r="AD1734">
        <v>150</v>
      </c>
      <c r="AE1734">
        <v>1.3299999999999999E-2</v>
      </c>
      <c r="AF1734" t="s">
        <v>2590</v>
      </c>
      <c r="AG1734" t="s">
        <v>2591</v>
      </c>
    </row>
    <row r="1735" spans="1:33">
      <c r="A1735" s="2" t="s">
        <v>85</v>
      </c>
      <c r="B1735" s="2" t="s">
        <v>53</v>
      </c>
      <c r="C1735" s="1">
        <v>0.522280945</v>
      </c>
      <c r="D1735">
        <v>0.58016629799999997</v>
      </c>
      <c r="E1735">
        <v>0.62446713499999995</v>
      </c>
      <c r="F1735" s="1" t="s">
        <v>86</v>
      </c>
      <c r="G1735" s="1">
        <v>0.57177615599999998</v>
      </c>
      <c r="H1735" s="1">
        <v>19.5</v>
      </c>
      <c r="I1735" s="1">
        <v>82.2</v>
      </c>
      <c r="J1735" s="1">
        <v>0.57563812599999997</v>
      </c>
      <c r="K1735" s="1">
        <v>0.54695832700000002</v>
      </c>
      <c r="L1735" s="1">
        <v>0.659790137</v>
      </c>
      <c r="M1735" s="3">
        <v>0.70662085500000005</v>
      </c>
      <c r="N1735" s="1" t="s">
        <v>54</v>
      </c>
      <c r="O1735" s="1">
        <v>2.5053995680000001</v>
      </c>
      <c r="P1735" s="1">
        <v>43.9</v>
      </c>
      <c r="Q1735" s="1">
        <v>46.3</v>
      </c>
      <c r="R1735" s="1">
        <v>0.63778977300000006</v>
      </c>
      <c r="S1735" s="1">
        <v>0.11703914998542268</v>
      </c>
      <c r="T1735" t="s">
        <v>1882</v>
      </c>
      <c r="U1735" s="1">
        <v>492</v>
      </c>
      <c r="V1735">
        <f t="shared" si="108"/>
        <v>0.29910723364081782</v>
      </c>
      <c r="W1735" s="1">
        <f t="shared" si="109"/>
        <v>24.4</v>
      </c>
      <c r="X1735">
        <f t="shared" si="110"/>
        <v>1.9336234120000002</v>
      </c>
      <c r="Y1735">
        <f t="shared" si="111"/>
        <v>35.900000000000006</v>
      </c>
      <c r="Z1735" s="1">
        <v>1</v>
      </c>
      <c r="AA1735">
        <v>99</v>
      </c>
      <c r="AB1735">
        <v>1.01E-2</v>
      </c>
      <c r="AC1735">
        <v>2</v>
      </c>
      <c r="AD1735">
        <v>150</v>
      </c>
      <c r="AE1735">
        <v>1.3299999999999999E-2</v>
      </c>
      <c r="AF1735" t="s">
        <v>2590</v>
      </c>
      <c r="AG1735" t="s">
        <v>2593</v>
      </c>
    </row>
    <row r="1736" spans="1:33">
      <c r="A1736" s="2" t="s">
        <v>85</v>
      </c>
      <c r="B1736" s="2" t="s">
        <v>55</v>
      </c>
      <c r="C1736" s="1">
        <v>0.522280945</v>
      </c>
      <c r="D1736">
        <v>0.58016629799999997</v>
      </c>
      <c r="E1736">
        <v>0.62446713499999995</v>
      </c>
      <c r="F1736" s="1" t="s">
        <v>86</v>
      </c>
      <c r="G1736" s="1">
        <v>0.57177615599999998</v>
      </c>
      <c r="H1736" s="1">
        <v>19.5</v>
      </c>
      <c r="I1736" s="1">
        <v>82.2</v>
      </c>
      <c r="J1736" s="1">
        <v>0.57563812599999997</v>
      </c>
      <c r="K1736" s="1">
        <v>0.52971861799999997</v>
      </c>
      <c r="L1736" s="1">
        <v>0.62258244500000004</v>
      </c>
      <c r="M1736" s="3">
        <v>0.63939760400000001</v>
      </c>
      <c r="N1736" s="1" t="s">
        <v>56</v>
      </c>
      <c r="O1736" s="1">
        <v>1.0796934869999999</v>
      </c>
      <c r="P1736" s="1">
        <v>55.3</v>
      </c>
      <c r="Q1736" s="1">
        <v>130.5</v>
      </c>
      <c r="R1736" s="1">
        <v>0.59723288899999993</v>
      </c>
      <c r="S1736" s="1">
        <v>4.5578146194645813E-2</v>
      </c>
      <c r="T1736" t="s">
        <v>1883</v>
      </c>
      <c r="U1736" s="1">
        <v>5201</v>
      </c>
      <c r="V1736">
        <f t="shared" si="108"/>
        <v>0.41289853930831466</v>
      </c>
      <c r="W1736" s="1">
        <f t="shared" si="109"/>
        <v>35.799999999999997</v>
      </c>
      <c r="X1736">
        <f t="shared" si="110"/>
        <v>0.50791733099999992</v>
      </c>
      <c r="Y1736">
        <f t="shared" si="111"/>
        <v>48.3</v>
      </c>
      <c r="Z1736" s="1">
        <v>1</v>
      </c>
      <c r="AA1736">
        <v>99</v>
      </c>
      <c r="AB1736">
        <v>1.01E-2</v>
      </c>
      <c r="AC1736">
        <v>2</v>
      </c>
      <c r="AD1736">
        <v>142</v>
      </c>
      <c r="AE1736">
        <v>1.41E-2</v>
      </c>
      <c r="AF1736" t="s">
        <v>2590</v>
      </c>
      <c r="AG1736" t="s">
        <v>2592</v>
      </c>
    </row>
    <row r="1737" spans="1:33">
      <c r="A1737" s="2" t="s">
        <v>85</v>
      </c>
      <c r="B1737" s="2" t="s">
        <v>57</v>
      </c>
      <c r="C1737" s="1">
        <v>0.522280945</v>
      </c>
      <c r="D1737">
        <v>0.58016629799999997</v>
      </c>
      <c r="E1737">
        <v>0.62446713499999995</v>
      </c>
      <c r="F1737" s="1" t="s">
        <v>86</v>
      </c>
      <c r="G1737" s="1">
        <v>0.57177615599999998</v>
      </c>
      <c r="H1737" s="1">
        <v>19.5</v>
      </c>
      <c r="I1737" s="1">
        <v>82.2</v>
      </c>
      <c r="J1737" s="1">
        <v>0.57563812599999997</v>
      </c>
      <c r="K1737" s="1">
        <v>0.528732855</v>
      </c>
      <c r="L1737" s="1">
        <v>0.63387497599999998</v>
      </c>
      <c r="M1737" s="3">
        <v>0.63337360200000004</v>
      </c>
      <c r="N1737" s="1" t="s">
        <v>58</v>
      </c>
      <c r="O1737" s="1">
        <v>1.386610879</v>
      </c>
      <c r="P1737" s="1">
        <v>69</v>
      </c>
      <c r="Q1737" s="1">
        <v>119.5</v>
      </c>
      <c r="R1737" s="1">
        <v>0.59866047766666663</v>
      </c>
      <c r="S1737" s="1">
        <v>5.4823119115733239E-2</v>
      </c>
      <c r="T1737" t="s">
        <v>1884</v>
      </c>
      <c r="U1737" s="1">
        <v>402</v>
      </c>
      <c r="V1737">
        <f t="shared" si="108"/>
        <v>0.2893584503427189</v>
      </c>
      <c r="W1737" s="1">
        <f t="shared" si="109"/>
        <v>49.5</v>
      </c>
      <c r="X1737">
        <f t="shared" si="110"/>
        <v>0.81483472300000004</v>
      </c>
      <c r="Y1737">
        <f t="shared" si="111"/>
        <v>37.299999999999997</v>
      </c>
      <c r="Z1737" s="1">
        <v>1</v>
      </c>
      <c r="AA1737">
        <v>99</v>
      </c>
      <c r="AB1737">
        <v>1.01E-2</v>
      </c>
      <c r="AC1737">
        <v>2</v>
      </c>
      <c r="AD1737">
        <v>148</v>
      </c>
      <c r="AE1737">
        <v>1.35E-2</v>
      </c>
      <c r="AF1737" t="s">
        <v>2590</v>
      </c>
      <c r="AG1737" t="s">
        <v>2589</v>
      </c>
    </row>
    <row r="1738" spans="1:33">
      <c r="A1738" s="2" t="s">
        <v>85</v>
      </c>
      <c r="B1738" s="2" t="s">
        <v>59</v>
      </c>
      <c r="C1738" s="1">
        <v>0.522280945</v>
      </c>
      <c r="D1738">
        <v>0.58016629799999997</v>
      </c>
      <c r="E1738">
        <v>0.62446713499999995</v>
      </c>
      <c r="F1738" s="1" t="s">
        <v>86</v>
      </c>
      <c r="G1738" s="1">
        <v>0.57177615599999998</v>
      </c>
      <c r="H1738" s="1">
        <v>19.5</v>
      </c>
      <c r="I1738" s="1">
        <v>82.2</v>
      </c>
      <c r="J1738" s="1">
        <v>0.57563812599999997</v>
      </c>
      <c r="K1738" s="1">
        <v>0.56225432799999997</v>
      </c>
      <c r="L1738" s="1">
        <v>0.68100706499999997</v>
      </c>
      <c r="M1738" s="3">
        <v>0.67505263699999996</v>
      </c>
      <c r="N1738" s="1" t="s">
        <v>60</v>
      </c>
      <c r="O1738" s="1">
        <v>1.1501154730000001</v>
      </c>
      <c r="P1738" s="1">
        <v>60.5</v>
      </c>
      <c r="Q1738" s="1">
        <v>129.9</v>
      </c>
      <c r="R1738" s="1">
        <v>0.63943801</v>
      </c>
      <c r="S1738" s="1">
        <v>0.11968970152107899</v>
      </c>
      <c r="T1738" t="s">
        <v>1885</v>
      </c>
      <c r="U1738" s="1">
        <v>754</v>
      </c>
      <c r="V1738">
        <f t="shared" si="108"/>
        <v>0.31970792731886377</v>
      </c>
      <c r="W1738" s="1">
        <f t="shared" si="109"/>
        <v>41</v>
      </c>
      <c r="X1738">
        <f t="shared" si="110"/>
        <v>0.57833931700000007</v>
      </c>
      <c r="Y1738">
        <f t="shared" si="111"/>
        <v>47.7</v>
      </c>
      <c r="Z1738" s="1">
        <v>1</v>
      </c>
      <c r="AA1738">
        <v>99</v>
      </c>
      <c r="AB1738">
        <v>1.01E-2</v>
      </c>
      <c r="AC1738">
        <v>2</v>
      </c>
      <c r="AD1738">
        <v>167</v>
      </c>
      <c r="AE1738">
        <v>1.2E-2</v>
      </c>
      <c r="AF1738" t="s">
        <v>2590</v>
      </c>
      <c r="AG1738" t="s">
        <v>2589</v>
      </c>
    </row>
    <row r="1739" spans="1:33">
      <c r="A1739" s="2" t="s">
        <v>85</v>
      </c>
      <c r="B1739" s="2" t="s">
        <v>61</v>
      </c>
      <c r="C1739" s="1">
        <v>0.522280945</v>
      </c>
      <c r="D1739">
        <v>0.58016629799999997</v>
      </c>
      <c r="E1739">
        <v>0.62446713499999995</v>
      </c>
      <c r="F1739" s="1" t="s">
        <v>86</v>
      </c>
      <c r="G1739" s="1">
        <v>0.57177615599999998</v>
      </c>
      <c r="H1739" s="1">
        <v>19.5</v>
      </c>
      <c r="I1739" s="1">
        <v>82.2</v>
      </c>
      <c r="J1739" s="1">
        <v>0.57563812599999997</v>
      </c>
      <c r="K1739" s="1">
        <v>0.62063455999999995</v>
      </c>
      <c r="L1739" s="1">
        <v>0.67798104299999995</v>
      </c>
      <c r="M1739" s="3">
        <v>0.72175371600000005</v>
      </c>
      <c r="N1739" s="1" t="s">
        <v>62</v>
      </c>
      <c r="O1739" s="1">
        <v>7.5471698109999998</v>
      </c>
      <c r="P1739" s="1">
        <v>26.4</v>
      </c>
      <c r="Q1739" s="1">
        <v>10.6</v>
      </c>
      <c r="R1739" s="1">
        <v>0.6734564396666668</v>
      </c>
      <c r="S1739" s="1">
        <v>0.16942796925434955</v>
      </c>
      <c r="T1739" t="s">
        <v>1886</v>
      </c>
      <c r="U1739" s="1">
        <v>1345</v>
      </c>
      <c r="V1739">
        <f t="shared" si="108"/>
        <v>0.3476358093709363</v>
      </c>
      <c r="W1739" s="1">
        <f t="shared" si="109"/>
        <v>6.8999999999999986</v>
      </c>
      <c r="X1739">
        <f t="shared" si="110"/>
        <v>6.9753936549999995</v>
      </c>
      <c r="Y1739">
        <f t="shared" si="111"/>
        <v>71.600000000000009</v>
      </c>
      <c r="Z1739" s="1">
        <v>0</v>
      </c>
      <c r="AA1739">
        <v>100</v>
      </c>
      <c r="AB1739">
        <v>0</v>
      </c>
      <c r="AC1739">
        <v>0</v>
      </c>
      <c r="AD1739">
        <v>144</v>
      </c>
      <c r="AE1739">
        <v>0</v>
      </c>
      <c r="AF1739" t="s">
        <v>2590</v>
      </c>
      <c r="AG1739" t="s">
        <v>2588</v>
      </c>
    </row>
    <row r="1740" spans="1:33">
      <c r="A1740" s="2" t="s">
        <v>85</v>
      </c>
      <c r="B1740" s="2" t="s">
        <v>63</v>
      </c>
      <c r="C1740" s="1">
        <v>0.522280945</v>
      </c>
      <c r="D1740">
        <v>0.58016629799999997</v>
      </c>
      <c r="E1740">
        <v>0.62446713499999995</v>
      </c>
      <c r="F1740" s="1" t="s">
        <v>86</v>
      </c>
      <c r="G1740" s="1">
        <v>0.57177615599999998</v>
      </c>
      <c r="H1740" s="1">
        <v>19.5</v>
      </c>
      <c r="I1740" s="1">
        <v>82.2</v>
      </c>
      <c r="J1740" s="1">
        <v>0.57563812599999997</v>
      </c>
      <c r="K1740" s="1">
        <v>0.44311141399999998</v>
      </c>
      <c r="L1740" s="1">
        <v>0.57053969199999999</v>
      </c>
      <c r="M1740" s="3">
        <v>0.59266330599999995</v>
      </c>
      <c r="N1740" s="1" t="s">
        <v>64</v>
      </c>
      <c r="O1740" s="1">
        <v>0.89618138400000003</v>
      </c>
      <c r="P1740" s="1">
        <v>29.7</v>
      </c>
      <c r="Q1740" s="1">
        <v>83.8</v>
      </c>
      <c r="R1740" s="1">
        <v>0.53543813733333334</v>
      </c>
      <c r="S1740" s="1">
        <v>8.58601754068814E-2</v>
      </c>
      <c r="T1740" t="s">
        <v>1887</v>
      </c>
      <c r="U1740" s="1">
        <v>3432</v>
      </c>
      <c r="V1740">
        <f t="shared" si="108"/>
        <v>0.39283858657518533</v>
      </c>
      <c r="W1740" s="1">
        <f t="shared" si="109"/>
        <v>10.199999999999999</v>
      </c>
      <c r="X1740">
        <f t="shared" si="110"/>
        <v>0.32440522800000005</v>
      </c>
      <c r="Y1740">
        <f t="shared" si="111"/>
        <v>1.5999999999999943</v>
      </c>
      <c r="Z1740" s="1">
        <v>1</v>
      </c>
      <c r="AA1740">
        <v>99</v>
      </c>
      <c r="AB1740">
        <v>1.01E-2</v>
      </c>
      <c r="AC1740">
        <v>2</v>
      </c>
      <c r="AD1740">
        <v>149</v>
      </c>
      <c r="AE1740">
        <v>1.34E-2</v>
      </c>
      <c r="AF1740" t="s">
        <v>2590</v>
      </c>
      <c r="AG1740" t="s">
        <v>2590</v>
      </c>
    </row>
    <row r="1741" spans="1:33">
      <c r="A1741" s="2" t="s">
        <v>85</v>
      </c>
      <c r="B1741" s="2" t="s">
        <v>65</v>
      </c>
      <c r="C1741" s="1">
        <v>0.522280945</v>
      </c>
      <c r="D1741">
        <v>0.58016629799999997</v>
      </c>
      <c r="E1741">
        <v>0.62446713499999995</v>
      </c>
      <c r="F1741" s="1" t="s">
        <v>86</v>
      </c>
      <c r="G1741" s="1">
        <v>0.57177615599999998</v>
      </c>
      <c r="H1741" s="1">
        <v>19.5</v>
      </c>
      <c r="I1741" s="1">
        <v>82.2</v>
      </c>
      <c r="J1741" s="1">
        <v>0.57563812599999997</v>
      </c>
      <c r="K1741" s="1">
        <v>0.67377447499999998</v>
      </c>
      <c r="L1741" s="1">
        <v>0.69144672900000004</v>
      </c>
      <c r="M1741" s="3">
        <v>0.73046409700000003</v>
      </c>
      <c r="N1741" s="1" t="s">
        <v>66</v>
      </c>
      <c r="O1741" s="1">
        <v>1.8507462690000001</v>
      </c>
      <c r="P1741" s="1">
        <v>34.5</v>
      </c>
      <c r="Q1741" s="1">
        <v>46.9</v>
      </c>
      <c r="R1741" s="1">
        <v>0.69856176700000006</v>
      </c>
      <c r="S1741" s="1">
        <v>0.2157984705891961</v>
      </c>
      <c r="T1741" t="s">
        <v>1888</v>
      </c>
      <c r="U1741" s="1">
        <v>135</v>
      </c>
      <c r="V1741">
        <f t="shared" si="108"/>
        <v>0.23670375205500069</v>
      </c>
      <c r="W1741" s="1">
        <f t="shared" si="109"/>
        <v>15</v>
      </c>
      <c r="X1741">
        <f t="shared" si="110"/>
        <v>1.2789701130000002</v>
      </c>
      <c r="Y1741">
        <f t="shared" si="111"/>
        <v>35.300000000000004</v>
      </c>
      <c r="Z1741" s="1">
        <v>0</v>
      </c>
      <c r="AA1741">
        <v>100</v>
      </c>
      <c r="AB1741">
        <v>0</v>
      </c>
      <c r="AC1741">
        <v>0</v>
      </c>
      <c r="AD1741">
        <v>133</v>
      </c>
      <c r="AE1741">
        <v>0</v>
      </c>
      <c r="AF1741" t="s">
        <v>2590</v>
      </c>
      <c r="AG1741" t="s">
        <v>2593</v>
      </c>
    </row>
    <row r="1742" spans="1:33">
      <c r="A1742" s="2" t="s">
        <v>85</v>
      </c>
      <c r="B1742" s="2" t="s">
        <v>67</v>
      </c>
      <c r="C1742" s="1">
        <v>0.522280945</v>
      </c>
      <c r="D1742">
        <v>0.58016629799999997</v>
      </c>
      <c r="E1742">
        <v>0.62446713499999995</v>
      </c>
      <c r="F1742" s="1" t="s">
        <v>86</v>
      </c>
      <c r="G1742" s="1">
        <v>0.57177615599999998</v>
      </c>
      <c r="H1742" s="1">
        <v>19.5</v>
      </c>
      <c r="I1742" s="1">
        <v>82.2</v>
      </c>
      <c r="J1742" s="1">
        <v>0.57563812599999997</v>
      </c>
      <c r="K1742" s="1">
        <v>0.53971122199999999</v>
      </c>
      <c r="L1742" s="1">
        <v>0.621203065</v>
      </c>
      <c r="M1742" s="3">
        <v>0.67806811499999997</v>
      </c>
      <c r="N1742" s="1" t="s">
        <v>68</v>
      </c>
      <c r="O1742" s="1">
        <v>1.5131894480000001</v>
      </c>
      <c r="P1742" s="1">
        <v>27.2</v>
      </c>
      <c r="Q1742" s="1">
        <v>41.7</v>
      </c>
      <c r="R1742" s="1">
        <v>0.61299413400000002</v>
      </c>
      <c r="S1742" s="1">
        <v>6.9720125208360184E-2</v>
      </c>
      <c r="T1742" t="s">
        <v>1889</v>
      </c>
      <c r="U1742" s="1">
        <v>832</v>
      </c>
      <c r="V1742">
        <f t="shared" si="108"/>
        <v>0.324458147365636</v>
      </c>
      <c r="W1742" s="1">
        <f t="shared" si="109"/>
        <v>7.6999999999999993</v>
      </c>
      <c r="X1742">
        <f t="shared" si="110"/>
        <v>0.94141329200000012</v>
      </c>
      <c r="Y1742">
        <f t="shared" si="111"/>
        <v>40.5</v>
      </c>
      <c r="Z1742" s="1">
        <v>1</v>
      </c>
      <c r="AA1742">
        <v>99</v>
      </c>
      <c r="AB1742">
        <v>1.01E-2</v>
      </c>
      <c r="AC1742">
        <v>2</v>
      </c>
      <c r="AD1742">
        <v>142</v>
      </c>
      <c r="AE1742">
        <v>1.41E-2</v>
      </c>
      <c r="AF1742" t="s">
        <v>2590</v>
      </c>
      <c r="AG1742" t="s">
        <v>2588</v>
      </c>
    </row>
    <row r="1743" spans="1:33">
      <c r="A1743" s="2" t="s">
        <v>85</v>
      </c>
      <c r="B1743" s="2" t="s">
        <v>69</v>
      </c>
      <c r="C1743" s="1">
        <v>0.522280945</v>
      </c>
      <c r="D1743">
        <v>0.58016629799999997</v>
      </c>
      <c r="E1743">
        <v>0.62446713499999995</v>
      </c>
      <c r="F1743" s="1" t="s">
        <v>86</v>
      </c>
      <c r="G1743" s="1">
        <v>0.57177615599999998</v>
      </c>
      <c r="H1743" s="1">
        <v>19.5</v>
      </c>
      <c r="I1743" s="1">
        <v>82.2</v>
      </c>
      <c r="J1743" s="1">
        <v>0.57563812599999997</v>
      </c>
      <c r="K1743" s="1">
        <v>0.50188385300000005</v>
      </c>
      <c r="L1743" s="1">
        <v>0.64580031500000001</v>
      </c>
      <c r="M1743" s="3">
        <v>0.66006355800000005</v>
      </c>
      <c r="N1743" s="1" t="s">
        <v>70</v>
      </c>
      <c r="O1743" s="1">
        <v>1.2401055409999999</v>
      </c>
      <c r="P1743" s="1">
        <v>43.4</v>
      </c>
      <c r="Q1743" s="1">
        <v>75.8</v>
      </c>
      <c r="R1743" s="1">
        <v>0.60258257533333337</v>
      </c>
      <c r="S1743" s="1">
        <v>7.7401362261963411E-2</v>
      </c>
      <c r="T1743" t="s">
        <v>1890</v>
      </c>
      <c r="U1743" s="1">
        <v>674</v>
      </c>
      <c r="V1743">
        <f t="shared" si="108"/>
        <v>0.31429554405947996</v>
      </c>
      <c r="W1743" s="1">
        <f t="shared" si="109"/>
        <v>23.9</v>
      </c>
      <c r="X1743">
        <f t="shared" si="110"/>
        <v>0.66832938499999994</v>
      </c>
      <c r="Y1743">
        <f t="shared" si="111"/>
        <v>6.4000000000000057</v>
      </c>
      <c r="Z1743" s="1">
        <v>1</v>
      </c>
      <c r="AA1743">
        <v>99</v>
      </c>
      <c r="AB1743">
        <v>1.01E-2</v>
      </c>
      <c r="AC1743">
        <v>2</v>
      </c>
      <c r="AD1743">
        <v>149</v>
      </c>
      <c r="AE1743">
        <v>1.34E-2</v>
      </c>
      <c r="AF1743" t="s">
        <v>2590</v>
      </c>
      <c r="AG1743" t="s">
        <v>2589</v>
      </c>
    </row>
    <row r="1744" spans="1:33">
      <c r="A1744" s="2" t="s">
        <v>85</v>
      </c>
      <c r="B1744" s="2" t="s">
        <v>71</v>
      </c>
      <c r="C1744" s="1">
        <v>0.522280945</v>
      </c>
      <c r="D1744">
        <v>0.58016629799999997</v>
      </c>
      <c r="E1744">
        <v>0.62446713499999995</v>
      </c>
      <c r="F1744" s="1" t="s">
        <v>86</v>
      </c>
      <c r="G1744" s="1">
        <v>0.57177615599999998</v>
      </c>
      <c r="H1744" s="1">
        <v>19.5</v>
      </c>
      <c r="I1744" s="1">
        <v>82.2</v>
      </c>
      <c r="J1744" s="1">
        <v>0.57563812599999997</v>
      </c>
      <c r="K1744" s="1">
        <v>0.53267569100000001</v>
      </c>
      <c r="L1744" s="1">
        <v>0.64507433599999997</v>
      </c>
      <c r="M1744" s="3">
        <v>0.66598465100000004</v>
      </c>
      <c r="N1744" s="1" t="s">
        <v>72</v>
      </c>
      <c r="O1744" s="1">
        <v>0.97289666900000005</v>
      </c>
      <c r="P1744" s="1">
        <v>64.8</v>
      </c>
      <c r="Q1744" s="1">
        <v>177.1</v>
      </c>
      <c r="R1744" s="1">
        <v>0.61457822600000001</v>
      </c>
      <c r="S1744" s="1">
        <v>7.7748365103224026E-2</v>
      </c>
      <c r="T1744" t="s">
        <v>1891</v>
      </c>
      <c r="U1744" s="1">
        <v>1385</v>
      </c>
      <c r="V1744">
        <f t="shared" si="108"/>
        <v>0.34904997482227418</v>
      </c>
      <c r="W1744" s="1">
        <f t="shared" si="109"/>
        <v>45.3</v>
      </c>
      <c r="X1744">
        <f t="shared" si="110"/>
        <v>0.40112051300000007</v>
      </c>
      <c r="Y1744">
        <f t="shared" si="111"/>
        <v>94.899999999999991</v>
      </c>
      <c r="Z1744" s="1">
        <v>1</v>
      </c>
      <c r="AA1744">
        <v>99</v>
      </c>
      <c r="AB1744">
        <v>1.01E-2</v>
      </c>
      <c r="AC1744">
        <v>2</v>
      </c>
      <c r="AD1744">
        <v>160</v>
      </c>
      <c r="AE1744">
        <v>1.2500000000000001E-2</v>
      </c>
      <c r="AF1744" t="s">
        <v>2590</v>
      </c>
      <c r="AG1744" t="s">
        <v>2589</v>
      </c>
    </row>
    <row r="1745" spans="1:33">
      <c r="A1745" s="2" t="s">
        <v>85</v>
      </c>
      <c r="B1745" s="2" t="s">
        <v>73</v>
      </c>
      <c r="C1745" s="1">
        <v>0.522280945</v>
      </c>
      <c r="D1745">
        <v>0.58016629799999997</v>
      </c>
      <c r="E1745">
        <v>0.62446713499999995</v>
      </c>
      <c r="F1745" s="1" t="s">
        <v>86</v>
      </c>
      <c r="G1745" s="1">
        <v>0.57177615599999998</v>
      </c>
      <c r="H1745" s="1">
        <v>19.5</v>
      </c>
      <c r="I1745" s="1">
        <v>82.2</v>
      </c>
      <c r="J1745" s="1">
        <v>0.57563812599999997</v>
      </c>
      <c r="K1745" s="1">
        <v>0.55697925299999995</v>
      </c>
      <c r="L1745" s="1">
        <v>0.64461978399999997</v>
      </c>
      <c r="M1745" s="3">
        <v>0.69570690000000002</v>
      </c>
      <c r="N1745" s="1" t="s">
        <v>74</v>
      </c>
      <c r="O1745" s="1">
        <v>1.23433584</v>
      </c>
      <c r="P1745" s="1">
        <v>44</v>
      </c>
      <c r="Q1745" s="1">
        <v>79.8</v>
      </c>
      <c r="R1745" s="1">
        <v>0.63243531233333328</v>
      </c>
      <c r="S1745" s="1">
        <v>0.10214366623961708</v>
      </c>
      <c r="T1745" t="s">
        <v>1892</v>
      </c>
      <c r="U1745" s="1">
        <v>348</v>
      </c>
      <c r="V1745">
        <f t="shared" si="108"/>
        <v>0.28239769377184232</v>
      </c>
      <c r="W1745" s="1">
        <f t="shared" si="109"/>
        <v>24.5</v>
      </c>
      <c r="X1745">
        <f t="shared" si="110"/>
        <v>0.66255968399999998</v>
      </c>
      <c r="Y1745">
        <f t="shared" si="111"/>
        <v>2.4000000000000057</v>
      </c>
      <c r="Z1745" s="1">
        <v>1</v>
      </c>
      <c r="AA1745">
        <v>99</v>
      </c>
      <c r="AB1745">
        <v>1.01E-2</v>
      </c>
      <c r="AC1745">
        <v>2</v>
      </c>
      <c r="AD1745">
        <v>145</v>
      </c>
      <c r="AE1745">
        <v>1.38E-2</v>
      </c>
      <c r="AF1745" t="s">
        <v>2590</v>
      </c>
      <c r="AG1745" t="s">
        <v>2589</v>
      </c>
    </row>
    <row r="1746" spans="1:33">
      <c r="A1746" s="2" t="s">
        <v>85</v>
      </c>
      <c r="B1746" s="2" t="s">
        <v>75</v>
      </c>
      <c r="C1746" s="1">
        <v>0.522280945</v>
      </c>
      <c r="D1746">
        <v>0.58016629799999997</v>
      </c>
      <c r="E1746">
        <v>0.62446713499999995</v>
      </c>
      <c r="F1746" s="1" t="s">
        <v>86</v>
      </c>
      <c r="G1746" s="1">
        <v>0.57177615599999998</v>
      </c>
      <c r="H1746" s="1">
        <v>19.5</v>
      </c>
      <c r="I1746" s="1">
        <v>82.2</v>
      </c>
      <c r="J1746" s="1">
        <v>0.57563812599999997</v>
      </c>
      <c r="K1746" s="1">
        <v>0.50354843500000002</v>
      </c>
      <c r="L1746" s="1">
        <v>0.59724402499999996</v>
      </c>
      <c r="M1746" s="3">
        <v>0.70308254199999998</v>
      </c>
      <c r="N1746" s="1" t="s">
        <v>76</v>
      </c>
      <c r="O1746" s="1">
        <v>1.2696850390000001</v>
      </c>
      <c r="P1746" s="1">
        <v>26.6</v>
      </c>
      <c r="Q1746" s="1">
        <v>50.8</v>
      </c>
      <c r="R1746" s="1">
        <v>0.60129166733333339</v>
      </c>
      <c r="S1746" s="1">
        <v>8.2601076918901492E-2</v>
      </c>
      <c r="T1746" t="s">
        <v>1893</v>
      </c>
      <c r="U1746" s="1">
        <v>1161</v>
      </c>
      <c r="V1746">
        <f t="shared" si="108"/>
        <v>0.34053691330428598</v>
      </c>
      <c r="W1746" s="1">
        <f t="shared" si="109"/>
        <v>7.1000000000000014</v>
      </c>
      <c r="X1746">
        <f t="shared" si="110"/>
        <v>0.69790888300000009</v>
      </c>
      <c r="Y1746">
        <f t="shared" si="111"/>
        <v>31.400000000000006</v>
      </c>
      <c r="Z1746" s="1">
        <v>1</v>
      </c>
      <c r="AA1746">
        <v>99</v>
      </c>
      <c r="AB1746">
        <v>1.01E-2</v>
      </c>
      <c r="AC1746">
        <v>2</v>
      </c>
      <c r="AD1746">
        <v>145</v>
      </c>
      <c r="AE1746">
        <v>1.38E-2</v>
      </c>
      <c r="AF1746" t="s">
        <v>2590</v>
      </c>
      <c r="AG1746" t="s">
        <v>2594</v>
      </c>
    </row>
    <row r="1747" spans="1:33">
      <c r="A1747" s="2" t="s">
        <v>85</v>
      </c>
      <c r="B1747" s="2" t="s">
        <v>77</v>
      </c>
      <c r="C1747" s="1">
        <v>0.522280945</v>
      </c>
      <c r="D1747">
        <v>0.58016629799999997</v>
      </c>
      <c r="E1747">
        <v>0.62446713499999995</v>
      </c>
      <c r="F1747" s="1" t="s">
        <v>86</v>
      </c>
      <c r="G1747" s="1">
        <v>0.57177615599999998</v>
      </c>
      <c r="H1747" s="1">
        <v>19.5</v>
      </c>
      <c r="I1747" s="1">
        <v>82.2</v>
      </c>
      <c r="J1747" s="1">
        <v>0.57563812599999997</v>
      </c>
      <c r="K1747" s="1">
        <v>0.54630843299999998</v>
      </c>
      <c r="L1747" s="1">
        <v>0.68935555900000001</v>
      </c>
      <c r="M1747" s="3">
        <v>0.65478744899999997</v>
      </c>
      <c r="N1747" s="1" t="s">
        <v>78</v>
      </c>
      <c r="O1747" s="1">
        <v>1.3914285710000001</v>
      </c>
      <c r="P1747" s="1">
        <v>56.5</v>
      </c>
      <c r="Q1747" s="1">
        <v>105</v>
      </c>
      <c r="R1747" s="1">
        <v>0.63015048033333343</v>
      </c>
      <c r="S1747" s="1">
        <v>0.11584013267592053</v>
      </c>
      <c r="T1747" t="s">
        <v>1894</v>
      </c>
      <c r="U1747" s="1">
        <v>663</v>
      </c>
      <c r="V1747">
        <f t="shared" si="108"/>
        <v>0.31350150315608594</v>
      </c>
      <c r="W1747" s="1">
        <f t="shared" si="109"/>
        <v>37</v>
      </c>
      <c r="X1747">
        <f t="shared" si="110"/>
        <v>0.81965241500000008</v>
      </c>
      <c r="Y1747">
        <f t="shared" si="111"/>
        <v>22.799999999999997</v>
      </c>
      <c r="Z1747" s="1">
        <v>1</v>
      </c>
      <c r="AA1747">
        <v>99</v>
      </c>
      <c r="AB1747">
        <v>1.01E-2</v>
      </c>
      <c r="AC1747">
        <v>2</v>
      </c>
      <c r="AD1747">
        <v>134</v>
      </c>
      <c r="AE1747">
        <v>1.49E-2</v>
      </c>
      <c r="AF1747" t="s">
        <v>2590</v>
      </c>
      <c r="AG1747" t="s">
        <v>2590</v>
      </c>
    </row>
    <row r="1748" spans="1:33">
      <c r="A1748" s="2" t="s">
        <v>85</v>
      </c>
      <c r="B1748" s="2" t="s">
        <v>79</v>
      </c>
      <c r="C1748" s="1">
        <v>0.522280945</v>
      </c>
      <c r="D1748">
        <v>0.58016629799999997</v>
      </c>
      <c r="E1748">
        <v>0.62446713499999995</v>
      </c>
      <c r="F1748" s="1" t="s">
        <v>86</v>
      </c>
      <c r="G1748" s="1">
        <v>0.57177615599999998</v>
      </c>
      <c r="H1748" s="1">
        <v>19.5</v>
      </c>
      <c r="I1748" s="1">
        <v>82.2</v>
      </c>
      <c r="J1748" s="1">
        <v>0.57563812599999997</v>
      </c>
      <c r="K1748" s="1">
        <v>0.63652882899999996</v>
      </c>
      <c r="L1748" s="1">
        <v>0.77536518600000004</v>
      </c>
      <c r="M1748" s="3">
        <v>0.610415606</v>
      </c>
      <c r="N1748" s="1" t="s">
        <v>80</v>
      </c>
      <c r="O1748" s="1">
        <v>0.95325542600000002</v>
      </c>
      <c r="P1748" s="1">
        <v>45.6</v>
      </c>
      <c r="Q1748" s="1">
        <v>119.8</v>
      </c>
      <c r="R1748" s="1">
        <v>0.67410320700000004</v>
      </c>
      <c r="S1748" s="1">
        <v>0.22661118759265142</v>
      </c>
      <c r="T1748" t="s">
        <v>1895</v>
      </c>
      <c r="U1748" s="1">
        <v>701</v>
      </c>
      <c r="V1748">
        <f t="shared" si="108"/>
        <v>0.31619089088518426</v>
      </c>
      <c r="W1748" s="1">
        <f t="shared" si="109"/>
        <v>26.1</v>
      </c>
      <c r="X1748">
        <f t="shared" si="110"/>
        <v>0.38147927000000004</v>
      </c>
      <c r="Y1748">
        <f t="shared" si="111"/>
        <v>37.599999999999994</v>
      </c>
      <c r="Z1748" s="1">
        <v>0</v>
      </c>
      <c r="AA1748">
        <v>100</v>
      </c>
      <c r="AB1748">
        <v>0</v>
      </c>
      <c r="AC1748">
        <v>1</v>
      </c>
      <c r="AD1748">
        <v>126</v>
      </c>
      <c r="AE1748">
        <v>7.9000000000000008E-3</v>
      </c>
      <c r="AF1748" t="s">
        <v>2590</v>
      </c>
      <c r="AG1748" t="s">
        <v>2590</v>
      </c>
    </row>
    <row r="1749" spans="1:33">
      <c r="A1749" s="2" t="s">
        <v>85</v>
      </c>
      <c r="B1749" s="2" t="s">
        <v>81</v>
      </c>
      <c r="C1749" s="1">
        <v>0.522280945</v>
      </c>
      <c r="D1749">
        <v>0.58016629799999997</v>
      </c>
      <c r="E1749">
        <v>0.62446713499999995</v>
      </c>
      <c r="F1749" s="1" t="s">
        <v>86</v>
      </c>
      <c r="G1749" s="1">
        <v>0.57177615599999998</v>
      </c>
      <c r="H1749" s="1">
        <v>19.5</v>
      </c>
      <c r="I1749" s="1">
        <v>82.2</v>
      </c>
      <c r="J1749" s="1">
        <v>0.57563812599999997</v>
      </c>
      <c r="K1749" s="1">
        <v>0.50183280699999999</v>
      </c>
      <c r="L1749" s="1">
        <v>0.68550824600000004</v>
      </c>
      <c r="M1749" s="3">
        <v>0.66941488999999998</v>
      </c>
      <c r="N1749" s="1" t="s">
        <v>82</v>
      </c>
      <c r="O1749" s="1">
        <v>1.4359576970000001</v>
      </c>
      <c r="P1749" s="1">
        <v>51</v>
      </c>
      <c r="Q1749" s="1">
        <v>85.1</v>
      </c>
      <c r="R1749" s="1">
        <v>0.61891864766666671</v>
      </c>
      <c r="S1749" s="1">
        <v>0.11634153615816577</v>
      </c>
      <c r="T1749" t="s">
        <v>1896</v>
      </c>
      <c r="U1749" s="1">
        <v>724</v>
      </c>
      <c r="V1749">
        <f t="shared" si="108"/>
        <v>0.31774872957746081</v>
      </c>
      <c r="W1749" s="1">
        <f t="shared" si="109"/>
        <v>31.5</v>
      </c>
      <c r="X1749">
        <f t="shared" si="110"/>
        <v>0.86418154100000011</v>
      </c>
      <c r="Y1749">
        <f t="shared" si="111"/>
        <v>2.8999999999999915</v>
      </c>
      <c r="Z1749" s="1">
        <v>0</v>
      </c>
      <c r="AA1749">
        <v>100</v>
      </c>
      <c r="AB1749">
        <v>0</v>
      </c>
      <c r="AC1749">
        <v>0</v>
      </c>
      <c r="AD1749">
        <v>138</v>
      </c>
      <c r="AE1749">
        <v>0</v>
      </c>
      <c r="AF1749" t="s">
        <v>2590</v>
      </c>
      <c r="AG1749" t="s">
        <v>2589</v>
      </c>
    </row>
    <row r="1750" spans="1:33">
      <c r="A1750" s="2" t="s">
        <v>85</v>
      </c>
      <c r="B1750" s="2" t="s">
        <v>83</v>
      </c>
      <c r="C1750" s="1">
        <v>0.522280945</v>
      </c>
      <c r="D1750">
        <v>0.58016629799999997</v>
      </c>
      <c r="E1750">
        <v>0.62446713499999995</v>
      </c>
      <c r="F1750" s="1" t="s">
        <v>86</v>
      </c>
      <c r="G1750" s="1">
        <v>0.57177615599999998</v>
      </c>
      <c r="H1750" s="1">
        <v>19.5</v>
      </c>
      <c r="I1750" s="1">
        <v>82.2</v>
      </c>
      <c r="J1750" s="1">
        <v>0.57563812599999997</v>
      </c>
      <c r="K1750" s="1">
        <v>0.51815179099999997</v>
      </c>
      <c r="L1750" s="1">
        <v>0.50115949400000004</v>
      </c>
      <c r="M1750" s="3">
        <v>0.68053170600000001</v>
      </c>
      <c r="N1750" s="1" t="s">
        <v>84</v>
      </c>
      <c r="O1750" s="1">
        <v>1.760323887</v>
      </c>
      <c r="P1750" s="1">
        <v>83.4</v>
      </c>
      <c r="Q1750" s="1">
        <v>123.5</v>
      </c>
      <c r="R1750" s="1">
        <v>0.56661433033333342</v>
      </c>
      <c r="S1750" s="1">
        <v>9.6965772891593915E-2</v>
      </c>
      <c r="T1750" t="s">
        <v>1897</v>
      </c>
      <c r="U1750" s="1">
        <v>275</v>
      </c>
      <c r="V1750">
        <f t="shared" si="108"/>
        <v>0.2710369659811403</v>
      </c>
      <c r="W1750" s="1">
        <f t="shared" si="109"/>
        <v>63.900000000000006</v>
      </c>
      <c r="X1750">
        <f t="shared" si="110"/>
        <v>1.1885477309999999</v>
      </c>
      <c r="Y1750">
        <f t="shared" si="111"/>
        <v>41.3</v>
      </c>
      <c r="Z1750" s="1">
        <v>1</v>
      </c>
      <c r="AA1750">
        <v>99</v>
      </c>
      <c r="AB1750">
        <v>1.01E-2</v>
      </c>
      <c r="AC1750">
        <v>2</v>
      </c>
      <c r="AD1750">
        <v>131</v>
      </c>
      <c r="AE1750">
        <v>1.5299999999999999E-2</v>
      </c>
      <c r="AF1750" t="s">
        <v>2590</v>
      </c>
      <c r="AG1750" t="s">
        <v>2589</v>
      </c>
    </row>
    <row r="1751" spans="1:33">
      <c r="A1751" s="2" t="s">
        <v>83</v>
      </c>
      <c r="B1751" s="2" t="s">
        <v>10</v>
      </c>
      <c r="C1751" s="1">
        <v>0.51815179099999997</v>
      </c>
      <c r="D1751">
        <v>0.50115949400000004</v>
      </c>
      <c r="E1751">
        <v>0.68053170600000001</v>
      </c>
      <c r="F1751" s="1" t="s">
        <v>84</v>
      </c>
      <c r="G1751" s="1">
        <v>1.760323887</v>
      </c>
      <c r="H1751" s="1">
        <v>83.4</v>
      </c>
      <c r="I1751" s="1">
        <v>123.5</v>
      </c>
      <c r="J1751" s="1">
        <v>0.56661433033333342</v>
      </c>
      <c r="K1751" s="1">
        <v>0.52456325500000001</v>
      </c>
      <c r="L1751" s="1">
        <v>0.61925627999999999</v>
      </c>
      <c r="M1751" s="3">
        <v>0.72111139899999999</v>
      </c>
      <c r="N1751" s="1" t="s">
        <v>12</v>
      </c>
      <c r="O1751" s="1">
        <v>0.61690647499999995</v>
      </c>
      <c r="P1751" s="1">
        <v>30</v>
      </c>
      <c r="Q1751" s="1">
        <v>111.2</v>
      </c>
      <c r="R1751" s="1">
        <v>0.62164364466666666</v>
      </c>
      <c r="S1751" s="1">
        <v>0.12503867089075815</v>
      </c>
      <c r="T1751" t="s">
        <v>1898</v>
      </c>
      <c r="U1751" s="1">
        <v>1154</v>
      </c>
      <c r="V1751">
        <f t="shared" si="108"/>
        <v>0.34024508986885693</v>
      </c>
      <c r="W1751" s="1">
        <f t="shared" si="109"/>
        <v>53.400000000000006</v>
      </c>
      <c r="X1751">
        <f t="shared" si="110"/>
        <v>1.143417412</v>
      </c>
      <c r="Y1751">
        <f t="shared" si="111"/>
        <v>12.299999999999997</v>
      </c>
      <c r="Z1751" s="1">
        <v>5</v>
      </c>
      <c r="AA1751">
        <v>95</v>
      </c>
      <c r="AB1751">
        <v>5.2600000000000001E-2</v>
      </c>
      <c r="AC1751">
        <v>6</v>
      </c>
      <c r="AD1751">
        <v>135</v>
      </c>
      <c r="AE1751">
        <v>4.4400000000000002E-2</v>
      </c>
      <c r="AF1751" t="s">
        <v>2589</v>
      </c>
      <c r="AG1751" t="s">
        <v>2588</v>
      </c>
    </row>
    <row r="1752" spans="1:33">
      <c r="A1752" s="2" t="s">
        <v>83</v>
      </c>
      <c r="B1752" s="2" t="s">
        <v>13</v>
      </c>
      <c r="C1752" s="1">
        <v>0.51815179099999997</v>
      </c>
      <c r="D1752">
        <v>0.50115949400000004</v>
      </c>
      <c r="E1752">
        <v>0.68053170600000001</v>
      </c>
      <c r="F1752" s="1" t="s">
        <v>84</v>
      </c>
      <c r="G1752" s="1">
        <v>1.760323887</v>
      </c>
      <c r="H1752" s="1">
        <v>83.4</v>
      </c>
      <c r="I1752" s="1">
        <v>123.5</v>
      </c>
      <c r="J1752" s="1">
        <v>0.56661433033333342</v>
      </c>
      <c r="K1752" s="1">
        <v>0.48695497399999998</v>
      </c>
      <c r="L1752" s="1">
        <v>0.54991327199999995</v>
      </c>
      <c r="M1752" s="3">
        <v>0.67282609299999996</v>
      </c>
      <c r="N1752" s="1" t="s">
        <v>14</v>
      </c>
      <c r="O1752" s="1">
        <v>1.6052009460000001</v>
      </c>
      <c r="P1752" s="1">
        <v>26.6</v>
      </c>
      <c r="Q1752" s="1">
        <v>42.3</v>
      </c>
      <c r="R1752" s="1">
        <v>0.56989811299999993</v>
      </c>
      <c r="S1752" s="1">
        <v>5.8391341240894047E-2</v>
      </c>
      <c r="T1752" t="s">
        <v>1899</v>
      </c>
      <c r="U1752" s="1">
        <v>4266</v>
      </c>
      <c r="V1752">
        <f t="shared" si="108"/>
        <v>0.4033356501237122</v>
      </c>
      <c r="W1752" s="1">
        <f t="shared" si="109"/>
        <v>56.800000000000004</v>
      </c>
      <c r="X1752">
        <f t="shared" si="110"/>
        <v>0.1551229409999999</v>
      </c>
      <c r="Y1752">
        <f t="shared" si="111"/>
        <v>81.2</v>
      </c>
      <c r="Z1752" s="1">
        <v>1</v>
      </c>
      <c r="AA1752">
        <v>99</v>
      </c>
      <c r="AB1752">
        <v>1.01E-2</v>
      </c>
      <c r="AC1752">
        <v>2</v>
      </c>
      <c r="AD1752">
        <v>86</v>
      </c>
      <c r="AE1752">
        <v>2.3300000000000001E-2</v>
      </c>
      <c r="AF1752" t="s">
        <v>2589</v>
      </c>
      <c r="AG1752" t="s">
        <v>2590</v>
      </c>
    </row>
    <row r="1753" spans="1:33">
      <c r="A1753" s="2" t="s">
        <v>83</v>
      </c>
      <c r="B1753" s="2" t="s">
        <v>15</v>
      </c>
      <c r="C1753" s="1">
        <v>0.51815179099999997</v>
      </c>
      <c r="D1753">
        <v>0.50115949400000004</v>
      </c>
      <c r="E1753">
        <v>0.68053170600000001</v>
      </c>
      <c r="F1753" s="1" t="s">
        <v>84</v>
      </c>
      <c r="G1753" s="1">
        <v>1.760323887</v>
      </c>
      <c r="H1753" s="1">
        <v>83.4</v>
      </c>
      <c r="I1753" s="1">
        <v>123.5</v>
      </c>
      <c r="J1753" s="1">
        <v>0.56661433033333342</v>
      </c>
      <c r="K1753" s="1">
        <v>0.54560998800000005</v>
      </c>
      <c r="L1753" s="1">
        <v>0.66721428400000005</v>
      </c>
      <c r="M1753" s="3">
        <v>0.72650398400000005</v>
      </c>
      <c r="N1753" s="1" t="s">
        <v>16</v>
      </c>
      <c r="O1753" s="1">
        <v>5.1392405060000002</v>
      </c>
      <c r="P1753" s="1">
        <v>35.9</v>
      </c>
      <c r="Q1753" s="1">
        <v>15.8</v>
      </c>
      <c r="R1753" s="1">
        <v>0.64644275200000012</v>
      </c>
      <c r="S1753" s="1">
        <v>0.17447520227512048</v>
      </c>
      <c r="T1753" t="s">
        <v>1900</v>
      </c>
      <c r="U1753" s="1">
        <v>20835</v>
      </c>
      <c r="V1753">
        <f t="shared" si="108"/>
        <v>0.47986594497703294</v>
      </c>
      <c r="W1753" s="1">
        <f t="shared" si="109"/>
        <v>47.500000000000007</v>
      </c>
      <c r="X1753">
        <f t="shared" si="110"/>
        <v>3.378916619</v>
      </c>
      <c r="Y1753">
        <f t="shared" si="111"/>
        <v>107.7</v>
      </c>
      <c r="Z1753" s="1">
        <v>0</v>
      </c>
      <c r="AA1753">
        <v>100</v>
      </c>
      <c r="AB1753">
        <v>0</v>
      </c>
      <c r="AC1753">
        <v>0</v>
      </c>
      <c r="AD1753">
        <v>84</v>
      </c>
      <c r="AE1753">
        <v>0</v>
      </c>
      <c r="AF1753" t="s">
        <v>2589</v>
      </c>
      <c r="AG1753" t="s">
        <v>2591</v>
      </c>
    </row>
    <row r="1754" spans="1:33">
      <c r="A1754" s="2" t="s">
        <v>83</v>
      </c>
      <c r="B1754" s="2" t="s">
        <v>17</v>
      </c>
      <c r="C1754" s="1">
        <v>0.51815179099999997</v>
      </c>
      <c r="D1754">
        <v>0.50115949400000004</v>
      </c>
      <c r="E1754">
        <v>0.68053170600000001</v>
      </c>
      <c r="F1754" s="1" t="s">
        <v>84</v>
      </c>
      <c r="G1754" s="1">
        <v>1.760323887</v>
      </c>
      <c r="H1754" s="1">
        <v>83.4</v>
      </c>
      <c r="I1754" s="1">
        <v>123.5</v>
      </c>
      <c r="J1754" s="1">
        <v>0.56661433033333342</v>
      </c>
      <c r="K1754" s="1">
        <v>0.659112378</v>
      </c>
      <c r="L1754" s="1">
        <v>0.68333493499999998</v>
      </c>
      <c r="M1754" s="3">
        <v>0.70345495199999997</v>
      </c>
      <c r="N1754" s="1" t="s">
        <v>18</v>
      </c>
      <c r="O1754" s="1">
        <v>1.9463955639999999</v>
      </c>
      <c r="P1754" s="1">
        <v>46.3</v>
      </c>
      <c r="Q1754" s="1">
        <v>54.1</v>
      </c>
      <c r="R1754" s="1">
        <v>0.68196742166666668</v>
      </c>
      <c r="S1754" s="1">
        <v>0.23148056851084836</v>
      </c>
      <c r="T1754" t="s">
        <v>1901</v>
      </c>
      <c r="U1754" s="1">
        <v>2280</v>
      </c>
      <c r="V1754">
        <f t="shared" si="108"/>
        <v>0.37310387188893934</v>
      </c>
      <c r="W1754" s="1">
        <f t="shared" si="109"/>
        <v>37.100000000000009</v>
      </c>
      <c r="X1754">
        <f t="shared" si="110"/>
        <v>0.18607167699999994</v>
      </c>
      <c r="Y1754">
        <f t="shared" si="111"/>
        <v>69.400000000000006</v>
      </c>
      <c r="Z1754" s="1">
        <v>0</v>
      </c>
      <c r="AA1754">
        <v>100</v>
      </c>
      <c r="AB1754">
        <v>0</v>
      </c>
      <c r="AC1754">
        <v>0</v>
      </c>
      <c r="AD1754">
        <v>98</v>
      </c>
      <c r="AE1754">
        <v>0</v>
      </c>
      <c r="AF1754" t="s">
        <v>2589</v>
      </c>
      <c r="AG1754" t="s">
        <v>2591</v>
      </c>
    </row>
    <row r="1755" spans="1:33">
      <c r="A1755" s="2" t="s">
        <v>83</v>
      </c>
      <c r="B1755" s="2" t="s">
        <v>19</v>
      </c>
      <c r="C1755" s="1">
        <v>0.51815179099999997</v>
      </c>
      <c r="D1755">
        <v>0.50115949400000004</v>
      </c>
      <c r="E1755">
        <v>0.68053170600000001</v>
      </c>
      <c r="F1755" s="1" t="s">
        <v>84</v>
      </c>
      <c r="G1755" s="1">
        <v>1.760323887</v>
      </c>
      <c r="H1755" s="1">
        <v>83.4</v>
      </c>
      <c r="I1755" s="1">
        <v>123.5</v>
      </c>
      <c r="J1755" s="1">
        <v>0.56661433033333342</v>
      </c>
      <c r="K1755" s="1">
        <v>0.49391595300000002</v>
      </c>
      <c r="L1755" s="1">
        <v>0.603599314</v>
      </c>
      <c r="M1755" s="3">
        <v>0.63481471599999995</v>
      </c>
      <c r="N1755" s="1" t="s">
        <v>20</v>
      </c>
      <c r="O1755" s="1">
        <v>1.2140902870000001</v>
      </c>
      <c r="P1755" s="1">
        <v>64.900000000000006</v>
      </c>
      <c r="Q1755" s="1">
        <v>146.19999999999999</v>
      </c>
      <c r="R1755" s="1">
        <v>0.57744332766666662</v>
      </c>
      <c r="S1755" s="1">
        <v>0.11476643995460842</v>
      </c>
      <c r="T1755" t="s">
        <v>1902</v>
      </c>
      <c r="U1755" s="1">
        <v>8826</v>
      </c>
      <c r="V1755">
        <f t="shared" si="108"/>
        <v>0.43841821367901929</v>
      </c>
      <c r="W1755" s="1">
        <f t="shared" si="109"/>
        <v>18.5</v>
      </c>
      <c r="X1755">
        <f t="shared" si="110"/>
        <v>0.54623359999999987</v>
      </c>
      <c r="Y1755">
        <f t="shared" si="111"/>
        <v>22.699999999999989</v>
      </c>
      <c r="Z1755" s="1">
        <v>7</v>
      </c>
      <c r="AA1755">
        <v>93</v>
      </c>
      <c r="AB1755">
        <v>7.5300000000000006E-2</v>
      </c>
      <c r="AC1755">
        <v>8</v>
      </c>
      <c r="AD1755">
        <v>70</v>
      </c>
      <c r="AE1755">
        <v>0.1143</v>
      </c>
      <c r="AF1755" t="s">
        <v>2589</v>
      </c>
      <c r="AG1755" t="s">
        <v>2593</v>
      </c>
    </row>
    <row r="1756" spans="1:33">
      <c r="A1756" s="2" t="s">
        <v>83</v>
      </c>
      <c r="B1756" s="2" t="s">
        <v>21</v>
      </c>
      <c r="C1756" s="1">
        <v>0.51815179099999997</v>
      </c>
      <c r="D1756">
        <v>0.50115949400000004</v>
      </c>
      <c r="E1756">
        <v>0.68053170600000001</v>
      </c>
      <c r="F1756" s="1" t="s">
        <v>84</v>
      </c>
      <c r="G1756" s="1">
        <v>1.760323887</v>
      </c>
      <c r="H1756" s="1">
        <v>83.4</v>
      </c>
      <c r="I1756" s="1">
        <v>123.5</v>
      </c>
      <c r="J1756" s="1">
        <v>0.56661433033333342</v>
      </c>
      <c r="K1756" s="1">
        <v>0.53276376800000003</v>
      </c>
      <c r="L1756" s="1">
        <v>0.65428149899999999</v>
      </c>
      <c r="M1756" s="3">
        <v>0.70160154799999996</v>
      </c>
      <c r="N1756" s="1" t="s">
        <v>22</v>
      </c>
      <c r="O1756" s="1">
        <v>1.2440604749999999</v>
      </c>
      <c r="P1756" s="1">
        <v>24.6</v>
      </c>
      <c r="Q1756" s="1">
        <v>46.3</v>
      </c>
      <c r="R1756" s="1">
        <v>0.62954893833333336</v>
      </c>
      <c r="S1756" s="1">
        <v>0.15525397427754789</v>
      </c>
      <c r="T1756" t="s">
        <v>1903</v>
      </c>
      <c r="U1756" s="1">
        <v>22236</v>
      </c>
      <c r="V1756">
        <f t="shared" si="108"/>
        <v>0.48300629615183577</v>
      </c>
      <c r="W1756" s="1">
        <f t="shared" si="109"/>
        <v>58.800000000000004</v>
      </c>
      <c r="X1756">
        <f t="shared" si="110"/>
        <v>0.51626341200000003</v>
      </c>
      <c r="Y1756">
        <f t="shared" si="111"/>
        <v>77.2</v>
      </c>
      <c r="Z1756" s="1">
        <v>1</v>
      </c>
      <c r="AA1756">
        <v>99</v>
      </c>
      <c r="AB1756">
        <v>1.01E-2</v>
      </c>
      <c r="AC1756">
        <v>2</v>
      </c>
      <c r="AD1756">
        <v>82</v>
      </c>
      <c r="AE1756">
        <v>2.4400000000000002E-2</v>
      </c>
      <c r="AF1756" t="s">
        <v>2589</v>
      </c>
      <c r="AG1756" t="s">
        <v>2589</v>
      </c>
    </row>
    <row r="1757" spans="1:33">
      <c r="A1757" s="2" t="s">
        <v>83</v>
      </c>
      <c r="B1757" s="2" t="s">
        <v>23</v>
      </c>
      <c r="C1757" s="1">
        <v>0.51815179099999997</v>
      </c>
      <c r="D1757">
        <v>0.50115949400000004</v>
      </c>
      <c r="E1757">
        <v>0.68053170600000001</v>
      </c>
      <c r="F1757" s="1" t="s">
        <v>84</v>
      </c>
      <c r="G1757" s="1">
        <v>1.760323887</v>
      </c>
      <c r="H1757" s="1">
        <v>83.4</v>
      </c>
      <c r="I1757" s="1">
        <v>123.5</v>
      </c>
      <c r="J1757" s="1">
        <v>0.56661433033333342</v>
      </c>
      <c r="K1757" s="1">
        <v>0.49415677200000002</v>
      </c>
      <c r="L1757" s="1">
        <v>0.62090818999999997</v>
      </c>
      <c r="M1757" s="3">
        <v>0.63381026900000004</v>
      </c>
      <c r="N1757" s="1" t="s">
        <v>24</v>
      </c>
      <c r="O1757" s="1">
        <v>1.141304348</v>
      </c>
      <c r="P1757" s="1">
        <v>44.4</v>
      </c>
      <c r="Q1757" s="1">
        <v>101.2</v>
      </c>
      <c r="R1757" s="1">
        <v>0.58295841033333329</v>
      </c>
      <c r="S1757" s="1">
        <v>0.13076086496293807</v>
      </c>
      <c r="T1757" t="s">
        <v>1904</v>
      </c>
      <c r="U1757" s="1">
        <v>1273</v>
      </c>
      <c r="V1757">
        <f t="shared" si="108"/>
        <v>0.34498093373929506</v>
      </c>
      <c r="W1757" s="1">
        <f t="shared" si="109"/>
        <v>39.000000000000007</v>
      </c>
      <c r="X1757">
        <f t="shared" si="110"/>
        <v>0.61901953899999995</v>
      </c>
      <c r="Y1757">
        <f t="shared" si="111"/>
        <v>22.299999999999997</v>
      </c>
      <c r="Z1757" s="1">
        <v>3</v>
      </c>
      <c r="AA1757">
        <v>97</v>
      </c>
      <c r="AB1757">
        <v>3.09E-2</v>
      </c>
      <c r="AC1757">
        <v>4</v>
      </c>
      <c r="AD1757">
        <v>76</v>
      </c>
      <c r="AE1757">
        <v>5.2600000000000001E-2</v>
      </c>
      <c r="AF1757" t="s">
        <v>2589</v>
      </c>
      <c r="AG1757" t="s">
        <v>2590</v>
      </c>
    </row>
    <row r="1758" spans="1:33">
      <c r="A1758" s="2" t="s">
        <v>83</v>
      </c>
      <c r="B1758" s="2" t="s">
        <v>25</v>
      </c>
      <c r="C1758" s="1">
        <v>0.51815179099999997</v>
      </c>
      <c r="D1758">
        <v>0.50115949400000004</v>
      </c>
      <c r="E1758">
        <v>0.68053170600000001</v>
      </c>
      <c r="F1758" s="1" t="s">
        <v>84</v>
      </c>
      <c r="G1758" s="1">
        <v>1.760323887</v>
      </c>
      <c r="H1758" s="1">
        <v>83.4</v>
      </c>
      <c r="I1758" s="1">
        <v>123.5</v>
      </c>
      <c r="J1758" s="1">
        <v>0.56661433033333342</v>
      </c>
      <c r="K1758" s="1">
        <v>0.53959274199999996</v>
      </c>
      <c r="L1758" s="1">
        <v>0.64971567399999997</v>
      </c>
      <c r="M1758" s="3">
        <v>0.65028459999999999</v>
      </c>
      <c r="N1758" s="1" t="s">
        <v>26</v>
      </c>
      <c r="O1758" s="1">
        <v>1.623046875</v>
      </c>
      <c r="P1758" s="1">
        <v>34.700000000000003</v>
      </c>
      <c r="Q1758" s="1">
        <v>51.2</v>
      </c>
      <c r="R1758" s="1">
        <v>0.61319767199999997</v>
      </c>
      <c r="S1758" s="1">
        <v>0.15311283557348163</v>
      </c>
      <c r="T1758" t="s">
        <v>1905</v>
      </c>
      <c r="U1758" s="1">
        <v>1559</v>
      </c>
      <c r="V1758">
        <f t="shared" si="108"/>
        <v>0.35476067946542689</v>
      </c>
      <c r="W1758" s="1">
        <f t="shared" si="109"/>
        <v>48.7</v>
      </c>
      <c r="X1758">
        <f t="shared" si="110"/>
        <v>0.13727701199999998</v>
      </c>
      <c r="Y1758">
        <f t="shared" si="111"/>
        <v>72.3</v>
      </c>
      <c r="Z1758" s="1">
        <v>0</v>
      </c>
      <c r="AA1758">
        <v>100</v>
      </c>
      <c r="AB1758">
        <v>0</v>
      </c>
      <c r="AC1758">
        <v>0</v>
      </c>
      <c r="AD1758">
        <v>82</v>
      </c>
      <c r="AE1758">
        <v>0</v>
      </c>
      <c r="AF1758" t="s">
        <v>2589</v>
      </c>
      <c r="AG1758" t="s">
        <v>2594</v>
      </c>
    </row>
    <row r="1759" spans="1:33">
      <c r="A1759" s="2" t="s">
        <v>83</v>
      </c>
      <c r="B1759" s="2" t="s">
        <v>27</v>
      </c>
      <c r="C1759" s="1">
        <v>0.51815179099999997</v>
      </c>
      <c r="D1759">
        <v>0.50115949400000004</v>
      </c>
      <c r="E1759">
        <v>0.68053170600000001</v>
      </c>
      <c r="F1759" s="1" t="s">
        <v>84</v>
      </c>
      <c r="G1759" s="1">
        <v>1.760323887</v>
      </c>
      <c r="H1759" s="1">
        <v>83.4</v>
      </c>
      <c r="I1759" s="1">
        <v>123.5</v>
      </c>
      <c r="J1759" s="1">
        <v>0.56661433033333342</v>
      </c>
      <c r="K1759" s="1">
        <v>0.518608662</v>
      </c>
      <c r="L1759" s="1">
        <v>0.64320369700000002</v>
      </c>
      <c r="M1759" s="3">
        <v>0.62228994199999998</v>
      </c>
      <c r="N1759" s="1" t="s">
        <v>28</v>
      </c>
      <c r="O1759" s="1">
        <v>1.8717391299999999</v>
      </c>
      <c r="P1759" s="1">
        <v>33.700000000000003</v>
      </c>
      <c r="Q1759" s="1">
        <v>46</v>
      </c>
      <c r="R1759" s="1">
        <v>0.59470076699999996</v>
      </c>
      <c r="S1759" s="1">
        <v>0.15352155357098085</v>
      </c>
      <c r="T1759" t="s">
        <v>1906</v>
      </c>
      <c r="U1759" s="1">
        <v>4994</v>
      </c>
      <c r="V1759">
        <f t="shared" si="108"/>
        <v>0.41093872644614771</v>
      </c>
      <c r="W1759" s="1">
        <f t="shared" si="109"/>
        <v>49.7</v>
      </c>
      <c r="X1759">
        <f t="shared" si="110"/>
        <v>0.11141524299999994</v>
      </c>
      <c r="Y1759">
        <f t="shared" si="111"/>
        <v>77.5</v>
      </c>
      <c r="Z1759" s="1">
        <v>2</v>
      </c>
      <c r="AA1759">
        <v>98</v>
      </c>
      <c r="AB1759">
        <v>2.0400000000000001E-2</v>
      </c>
      <c r="AC1759">
        <v>3</v>
      </c>
      <c r="AD1759">
        <v>86</v>
      </c>
      <c r="AE1759">
        <v>3.49E-2</v>
      </c>
      <c r="AF1759" t="s">
        <v>2589</v>
      </c>
      <c r="AG1759" t="s">
        <v>2590</v>
      </c>
    </row>
    <row r="1760" spans="1:33">
      <c r="A1760" s="2" t="s">
        <v>83</v>
      </c>
      <c r="B1760" s="2" t="s">
        <v>29</v>
      </c>
      <c r="C1760" s="1">
        <v>0.51815179099999997</v>
      </c>
      <c r="D1760">
        <v>0.50115949400000004</v>
      </c>
      <c r="E1760">
        <v>0.68053170600000001</v>
      </c>
      <c r="F1760" s="1" t="s">
        <v>84</v>
      </c>
      <c r="G1760" s="1">
        <v>1.760323887</v>
      </c>
      <c r="H1760" s="1">
        <v>83.4</v>
      </c>
      <c r="I1760" s="1">
        <v>123.5</v>
      </c>
      <c r="J1760" s="1">
        <v>0.56661433033333342</v>
      </c>
      <c r="K1760" s="1">
        <v>0.59351545100000003</v>
      </c>
      <c r="L1760" s="1">
        <v>0.68136602400000001</v>
      </c>
      <c r="M1760" s="3">
        <v>0.73518087600000004</v>
      </c>
      <c r="N1760" s="1" t="s">
        <v>30</v>
      </c>
      <c r="O1760" s="1">
        <v>2.849112426</v>
      </c>
      <c r="P1760" s="1">
        <v>37.9</v>
      </c>
      <c r="Q1760" s="1">
        <v>33.799999999999997</v>
      </c>
      <c r="R1760" s="1">
        <v>0.67002078366666673</v>
      </c>
      <c r="S1760" s="1">
        <v>0.20283147311234861</v>
      </c>
      <c r="T1760" t="s">
        <v>1907</v>
      </c>
      <c r="U1760" s="1">
        <v>1145</v>
      </c>
      <c r="V1760">
        <f t="shared" si="108"/>
        <v>0.33986727629732294</v>
      </c>
      <c r="W1760" s="1">
        <f t="shared" si="109"/>
        <v>45.500000000000007</v>
      </c>
      <c r="X1760">
        <f t="shared" si="110"/>
        <v>1.0887885390000001</v>
      </c>
      <c r="Y1760">
        <f t="shared" si="111"/>
        <v>89.7</v>
      </c>
      <c r="Z1760" s="1">
        <v>0</v>
      </c>
      <c r="AA1760">
        <v>100</v>
      </c>
      <c r="AB1760">
        <v>0</v>
      </c>
      <c r="AC1760">
        <v>0</v>
      </c>
      <c r="AD1760">
        <v>78</v>
      </c>
      <c r="AE1760">
        <v>0</v>
      </c>
      <c r="AF1760" t="s">
        <v>2589</v>
      </c>
      <c r="AG1760" t="s">
        <v>2593</v>
      </c>
    </row>
    <row r="1761" spans="1:33">
      <c r="A1761" s="2" t="s">
        <v>83</v>
      </c>
      <c r="B1761" s="2" t="s">
        <v>31</v>
      </c>
      <c r="C1761" s="1">
        <v>0.51815179099999997</v>
      </c>
      <c r="D1761">
        <v>0.50115949400000004</v>
      </c>
      <c r="E1761">
        <v>0.68053170600000001</v>
      </c>
      <c r="F1761" s="1" t="s">
        <v>84</v>
      </c>
      <c r="G1761" s="1">
        <v>1.760323887</v>
      </c>
      <c r="H1761" s="1">
        <v>83.4</v>
      </c>
      <c r="I1761" s="1">
        <v>123.5</v>
      </c>
      <c r="J1761" s="1">
        <v>0.56661433033333342</v>
      </c>
      <c r="K1761" s="1">
        <v>0.47727961800000002</v>
      </c>
      <c r="L1761" s="1">
        <v>0.66941086400000005</v>
      </c>
      <c r="M1761" s="3">
        <v>0.69294815300000001</v>
      </c>
      <c r="N1761" s="1" t="s">
        <v>32</v>
      </c>
      <c r="O1761" s="1">
        <v>1.341891892</v>
      </c>
      <c r="P1761" s="1">
        <v>42.1</v>
      </c>
      <c r="Q1761" s="1">
        <v>74</v>
      </c>
      <c r="R1761" s="1">
        <v>0.61321287833333338</v>
      </c>
      <c r="S1761" s="1">
        <v>0.17358924560214736</v>
      </c>
      <c r="T1761" t="s">
        <v>1908</v>
      </c>
      <c r="U1761" s="1">
        <v>24350</v>
      </c>
      <c r="V1761">
        <f t="shared" si="108"/>
        <v>0.48738877395007257</v>
      </c>
      <c r="W1761" s="1">
        <f t="shared" si="109"/>
        <v>41.300000000000004</v>
      </c>
      <c r="X1761">
        <f t="shared" si="110"/>
        <v>0.41843199499999995</v>
      </c>
      <c r="Y1761">
        <f t="shared" si="111"/>
        <v>49.5</v>
      </c>
      <c r="Z1761" s="1">
        <v>5</v>
      </c>
      <c r="AA1761">
        <v>95</v>
      </c>
      <c r="AB1761">
        <v>5.2600000000000001E-2</v>
      </c>
      <c r="AC1761">
        <v>6</v>
      </c>
      <c r="AD1761">
        <v>80</v>
      </c>
      <c r="AE1761">
        <v>7.4999999999999997E-2</v>
      </c>
      <c r="AF1761" t="s">
        <v>2589</v>
      </c>
      <c r="AG1761" t="s">
        <v>2589</v>
      </c>
    </row>
    <row r="1762" spans="1:33">
      <c r="A1762" s="2" t="s">
        <v>83</v>
      </c>
      <c r="B1762" s="2" t="s">
        <v>33</v>
      </c>
      <c r="C1762" s="1">
        <v>0.51815179099999997</v>
      </c>
      <c r="D1762">
        <v>0.50115949400000004</v>
      </c>
      <c r="E1762">
        <v>0.68053170600000001</v>
      </c>
      <c r="F1762" s="1" t="s">
        <v>84</v>
      </c>
      <c r="G1762" s="1">
        <v>1.760323887</v>
      </c>
      <c r="H1762" s="1">
        <v>83.4</v>
      </c>
      <c r="I1762" s="1">
        <v>123.5</v>
      </c>
      <c r="J1762" s="1">
        <v>0.56661433033333342</v>
      </c>
      <c r="K1762" s="1">
        <v>0.51347926600000005</v>
      </c>
      <c r="L1762" s="1">
        <v>0.63144379399999995</v>
      </c>
      <c r="M1762" s="3">
        <v>0.64189093500000005</v>
      </c>
      <c r="N1762" s="1" t="s">
        <v>34</v>
      </c>
      <c r="O1762" s="1">
        <v>2.3123667380000001</v>
      </c>
      <c r="P1762" s="1">
        <v>79.099999999999994</v>
      </c>
      <c r="Q1762" s="1">
        <v>93.8</v>
      </c>
      <c r="R1762" s="1">
        <v>0.59560466500000009</v>
      </c>
      <c r="S1762" s="1">
        <v>0.13597404347830522</v>
      </c>
      <c r="T1762" t="s">
        <v>1909</v>
      </c>
      <c r="U1762" s="1">
        <v>6178</v>
      </c>
      <c r="V1762">
        <f t="shared" si="108"/>
        <v>0.42120532266282573</v>
      </c>
      <c r="W1762" s="1">
        <f t="shared" si="109"/>
        <v>4.3000000000000114</v>
      </c>
      <c r="X1762">
        <f t="shared" si="110"/>
        <v>0.55204285100000017</v>
      </c>
      <c r="Y1762">
        <f t="shared" si="111"/>
        <v>29.700000000000003</v>
      </c>
      <c r="Z1762" s="1">
        <v>5</v>
      </c>
      <c r="AA1762">
        <v>95</v>
      </c>
      <c r="AB1762">
        <v>5.2600000000000001E-2</v>
      </c>
      <c r="AC1762">
        <v>6</v>
      </c>
      <c r="AD1762">
        <v>74</v>
      </c>
      <c r="AE1762">
        <v>8.1100000000000005E-2</v>
      </c>
      <c r="AF1762" t="s">
        <v>2589</v>
      </c>
      <c r="AG1762" t="s">
        <v>2590</v>
      </c>
    </row>
    <row r="1763" spans="1:33">
      <c r="A1763" s="2" t="s">
        <v>83</v>
      </c>
      <c r="B1763" s="2" t="s">
        <v>35</v>
      </c>
      <c r="C1763" s="1">
        <v>0.51815179099999997</v>
      </c>
      <c r="D1763">
        <v>0.50115949400000004</v>
      </c>
      <c r="E1763">
        <v>0.68053170600000001</v>
      </c>
      <c r="F1763" s="1" t="s">
        <v>84</v>
      </c>
      <c r="G1763" s="1">
        <v>1.760323887</v>
      </c>
      <c r="H1763" s="1">
        <v>83.4</v>
      </c>
      <c r="I1763" s="1">
        <v>123.5</v>
      </c>
      <c r="J1763" s="1">
        <v>0.56661433033333342</v>
      </c>
      <c r="K1763" s="1">
        <v>0.52542897600000005</v>
      </c>
      <c r="L1763" s="1">
        <v>0.60774736299999998</v>
      </c>
      <c r="M1763" s="3">
        <v>0.62585751700000003</v>
      </c>
      <c r="N1763" s="1" t="s">
        <v>36</v>
      </c>
      <c r="O1763" s="1">
        <v>0.98848810399999998</v>
      </c>
      <c r="P1763" s="1">
        <v>54.2</v>
      </c>
      <c r="Q1763" s="1">
        <v>130.30000000000001</v>
      </c>
      <c r="R1763" s="1">
        <v>0.58634461866666665</v>
      </c>
      <c r="S1763" s="1">
        <v>0.12001332501973727</v>
      </c>
      <c r="T1763" t="s">
        <v>1910</v>
      </c>
      <c r="U1763" s="1">
        <v>165751</v>
      </c>
      <c r="V1763">
        <f t="shared" si="108"/>
        <v>0.57993957302741961</v>
      </c>
      <c r="W1763" s="1">
        <f t="shared" si="109"/>
        <v>29.200000000000003</v>
      </c>
      <c r="X1763">
        <f t="shared" si="110"/>
        <v>0.771835783</v>
      </c>
      <c r="Y1763">
        <f t="shared" si="111"/>
        <v>6.8000000000000114</v>
      </c>
      <c r="Z1763" s="1">
        <v>5</v>
      </c>
      <c r="AA1763">
        <v>95</v>
      </c>
      <c r="AB1763">
        <v>5.2600000000000001E-2</v>
      </c>
      <c r="AC1763">
        <v>6</v>
      </c>
      <c r="AD1763">
        <v>73</v>
      </c>
      <c r="AE1763">
        <v>8.2199999999999995E-2</v>
      </c>
      <c r="AF1763" t="s">
        <v>2589</v>
      </c>
      <c r="AG1763" t="s">
        <v>2589</v>
      </c>
    </row>
    <row r="1764" spans="1:33">
      <c r="A1764" s="2" t="s">
        <v>83</v>
      </c>
      <c r="B1764" s="2" t="s">
        <v>37</v>
      </c>
      <c r="C1764" s="1">
        <v>0.51815179099999997</v>
      </c>
      <c r="D1764">
        <v>0.50115949400000004</v>
      </c>
      <c r="E1764">
        <v>0.68053170600000001</v>
      </c>
      <c r="F1764" s="1" t="s">
        <v>84</v>
      </c>
      <c r="G1764" s="1">
        <v>1.760323887</v>
      </c>
      <c r="H1764" s="1">
        <v>83.4</v>
      </c>
      <c r="I1764" s="1">
        <v>123.5</v>
      </c>
      <c r="J1764" s="1">
        <v>0.56661433033333342</v>
      </c>
      <c r="K1764" s="1">
        <v>0.50856695500000004</v>
      </c>
      <c r="L1764" s="1">
        <v>0.654733224</v>
      </c>
      <c r="M1764" s="3">
        <v>0.61418267199999999</v>
      </c>
      <c r="N1764" s="1" t="s">
        <v>38</v>
      </c>
      <c r="O1764" s="1">
        <v>0.64065708399999999</v>
      </c>
      <c r="P1764" s="1">
        <v>41.9</v>
      </c>
      <c r="Q1764" s="1">
        <v>146.1</v>
      </c>
      <c r="R1764" s="1">
        <v>0.59249428366666679</v>
      </c>
      <c r="S1764" s="1">
        <v>0.16756775924978212</v>
      </c>
      <c r="T1764" t="s">
        <v>1911</v>
      </c>
      <c r="U1764" s="1">
        <v>1928</v>
      </c>
      <c r="V1764">
        <f t="shared" si="108"/>
        <v>0.36501189217409025</v>
      </c>
      <c r="W1764" s="1">
        <f t="shared" si="109"/>
        <v>41.500000000000007</v>
      </c>
      <c r="X1764">
        <f t="shared" si="110"/>
        <v>1.1196668029999999</v>
      </c>
      <c r="Y1764">
        <f t="shared" si="111"/>
        <v>22.599999999999994</v>
      </c>
      <c r="Z1764" s="1">
        <v>4</v>
      </c>
      <c r="AA1764">
        <v>96</v>
      </c>
      <c r="AB1764">
        <v>4.1700000000000001E-2</v>
      </c>
      <c r="AC1764">
        <v>5</v>
      </c>
      <c r="AD1764">
        <v>73</v>
      </c>
      <c r="AE1764">
        <v>6.8500000000000005E-2</v>
      </c>
      <c r="AF1764" t="s">
        <v>2589</v>
      </c>
      <c r="AG1764" t="s">
        <v>2590</v>
      </c>
    </row>
    <row r="1765" spans="1:33">
      <c r="A1765" s="2" t="s">
        <v>83</v>
      </c>
      <c r="B1765" s="2" t="s">
        <v>39</v>
      </c>
      <c r="C1765" s="1">
        <v>0.51815179099999997</v>
      </c>
      <c r="D1765">
        <v>0.50115949400000004</v>
      </c>
      <c r="E1765">
        <v>0.68053170600000001</v>
      </c>
      <c r="F1765" s="1" t="s">
        <v>84</v>
      </c>
      <c r="G1765" s="1">
        <v>1.760323887</v>
      </c>
      <c r="H1765" s="1">
        <v>83.4</v>
      </c>
      <c r="I1765" s="1">
        <v>123.5</v>
      </c>
      <c r="J1765" s="1">
        <v>0.56661433033333342</v>
      </c>
      <c r="K1765" s="1">
        <v>0.60811616199999996</v>
      </c>
      <c r="L1765" s="1">
        <v>0.721105683</v>
      </c>
      <c r="M1765" s="3">
        <v>0.741016169</v>
      </c>
      <c r="N1765" s="1" t="s">
        <v>40</v>
      </c>
      <c r="O1765" s="1">
        <v>1.0601915180000001</v>
      </c>
      <c r="P1765" s="1">
        <v>34</v>
      </c>
      <c r="Q1765" s="1">
        <v>73.099999999999994</v>
      </c>
      <c r="R1765" s="1">
        <v>0.69007933799999999</v>
      </c>
      <c r="S1765" s="1">
        <v>0.24521069383174893</v>
      </c>
      <c r="T1765" t="s">
        <v>1912</v>
      </c>
      <c r="U1765" s="1">
        <v>34880</v>
      </c>
      <c r="V1765">
        <f t="shared" si="108"/>
        <v>0.50473071958450322</v>
      </c>
      <c r="W1765" s="1">
        <f t="shared" si="109"/>
        <v>49.400000000000006</v>
      </c>
      <c r="X1765">
        <f t="shared" si="110"/>
        <v>0.70013236899999987</v>
      </c>
      <c r="Y1765">
        <f t="shared" si="111"/>
        <v>50.400000000000006</v>
      </c>
      <c r="Z1765" s="1">
        <v>1</v>
      </c>
      <c r="AA1765">
        <v>99</v>
      </c>
      <c r="AB1765">
        <v>1.01E-2</v>
      </c>
      <c r="AC1765">
        <v>2</v>
      </c>
      <c r="AD1765">
        <v>79</v>
      </c>
      <c r="AE1765">
        <v>2.53E-2</v>
      </c>
      <c r="AF1765" t="s">
        <v>2589</v>
      </c>
      <c r="AG1765" t="s">
        <v>2589</v>
      </c>
    </row>
    <row r="1766" spans="1:33">
      <c r="A1766" s="2" t="s">
        <v>83</v>
      </c>
      <c r="B1766" s="2" t="s">
        <v>41</v>
      </c>
      <c r="C1766" s="1">
        <v>0.51815179099999997</v>
      </c>
      <c r="D1766">
        <v>0.50115949400000004</v>
      </c>
      <c r="E1766">
        <v>0.68053170600000001</v>
      </c>
      <c r="F1766" s="1" t="s">
        <v>84</v>
      </c>
      <c r="G1766" s="1">
        <v>1.760323887</v>
      </c>
      <c r="H1766" s="1">
        <v>83.4</v>
      </c>
      <c r="I1766" s="1">
        <v>123.5</v>
      </c>
      <c r="J1766" s="1">
        <v>0.56661433033333342</v>
      </c>
      <c r="K1766" s="1">
        <v>0.60402244999999999</v>
      </c>
      <c r="L1766" s="1">
        <v>0.669189213</v>
      </c>
      <c r="M1766" s="3">
        <v>0.69821693799999995</v>
      </c>
      <c r="N1766" s="1" t="s">
        <v>42</v>
      </c>
      <c r="O1766" s="1">
        <v>1.3243902439999999</v>
      </c>
      <c r="P1766" s="1">
        <v>23</v>
      </c>
      <c r="Q1766" s="1">
        <v>41</v>
      </c>
      <c r="R1766" s="1">
        <v>0.65714286700000002</v>
      </c>
      <c r="S1766" s="1">
        <v>0.18952710617536231</v>
      </c>
      <c r="T1766" t="s">
        <v>1913</v>
      </c>
      <c r="U1766" s="1">
        <v>1818</v>
      </c>
      <c r="V1766">
        <f t="shared" si="108"/>
        <v>0.36217709765399431</v>
      </c>
      <c r="W1766" s="1">
        <f t="shared" si="109"/>
        <v>60.400000000000006</v>
      </c>
      <c r="X1766">
        <f t="shared" si="110"/>
        <v>0.43593364300000004</v>
      </c>
      <c r="Y1766">
        <f t="shared" si="111"/>
        <v>82.5</v>
      </c>
      <c r="Z1766" s="1">
        <v>0</v>
      </c>
      <c r="AA1766">
        <v>100</v>
      </c>
      <c r="AB1766">
        <v>0</v>
      </c>
      <c r="AC1766">
        <v>0</v>
      </c>
      <c r="AD1766">
        <v>95</v>
      </c>
      <c r="AE1766">
        <v>0</v>
      </c>
      <c r="AF1766" t="s">
        <v>2589</v>
      </c>
      <c r="AG1766" t="s">
        <v>2591</v>
      </c>
    </row>
    <row r="1767" spans="1:33">
      <c r="A1767" s="2" t="s">
        <v>83</v>
      </c>
      <c r="B1767" s="2" t="s">
        <v>43</v>
      </c>
      <c r="C1767" s="1">
        <v>0.51815179099999997</v>
      </c>
      <c r="D1767">
        <v>0.50115949400000004</v>
      </c>
      <c r="E1767">
        <v>0.68053170600000001</v>
      </c>
      <c r="F1767" s="1" t="s">
        <v>84</v>
      </c>
      <c r="G1767" s="1">
        <v>1.760323887</v>
      </c>
      <c r="H1767" s="1">
        <v>83.4</v>
      </c>
      <c r="I1767" s="1">
        <v>123.5</v>
      </c>
      <c r="J1767" s="1">
        <v>0.56661433033333342</v>
      </c>
      <c r="K1767" s="1">
        <v>0.54180634699999997</v>
      </c>
      <c r="L1767" s="1">
        <v>0.59470779900000004</v>
      </c>
      <c r="M1767" s="3">
        <v>0.69518155599999998</v>
      </c>
      <c r="N1767" s="1" t="s">
        <v>44</v>
      </c>
      <c r="O1767" s="1">
        <v>1.7403685090000001</v>
      </c>
      <c r="P1767" s="1">
        <v>41.2</v>
      </c>
      <c r="Q1767" s="1">
        <v>59.7</v>
      </c>
      <c r="R1767" s="1">
        <v>0.61056523400000007</v>
      </c>
      <c r="S1767" s="1">
        <v>9.7598368290421011E-2</v>
      </c>
      <c r="T1767" t="s">
        <v>1914</v>
      </c>
      <c r="U1767" s="1">
        <v>47835</v>
      </c>
      <c r="V1767">
        <f t="shared" si="108"/>
        <v>0.51997175314429334</v>
      </c>
      <c r="W1767" s="1">
        <f t="shared" si="109"/>
        <v>42.2</v>
      </c>
      <c r="X1767">
        <f t="shared" si="110"/>
        <v>1.9955377999999913E-2</v>
      </c>
      <c r="Y1767">
        <f t="shared" si="111"/>
        <v>63.8</v>
      </c>
      <c r="Z1767" s="1">
        <v>5</v>
      </c>
      <c r="AA1767">
        <v>95</v>
      </c>
      <c r="AB1767">
        <v>5.2600000000000001E-2</v>
      </c>
      <c r="AC1767">
        <v>6</v>
      </c>
      <c r="AD1767">
        <v>111</v>
      </c>
      <c r="AE1767">
        <v>5.4100000000000002E-2</v>
      </c>
      <c r="AF1767" t="s">
        <v>2589</v>
      </c>
      <c r="AG1767" t="s">
        <v>2589</v>
      </c>
    </row>
    <row r="1768" spans="1:33">
      <c r="A1768" s="2" t="s">
        <v>83</v>
      </c>
      <c r="B1768" s="2" t="s">
        <v>45</v>
      </c>
      <c r="C1768" s="1">
        <v>0.51815179099999997</v>
      </c>
      <c r="D1768">
        <v>0.50115949400000004</v>
      </c>
      <c r="E1768">
        <v>0.68053170600000001</v>
      </c>
      <c r="F1768" s="1" t="s">
        <v>84</v>
      </c>
      <c r="G1768" s="1">
        <v>1.760323887</v>
      </c>
      <c r="H1768" s="1">
        <v>83.4</v>
      </c>
      <c r="I1768" s="1">
        <v>123.5</v>
      </c>
      <c r="J1768" s="1">
        <v>0.56661433033333342</v>
      </c>
      <c r="K1768" s="1">
        <v>0.50907007599999998</v>
      </c>
      <c r="L1768" s="1">
        <v>0.68428041399999995</v>
      </c>
      <c r="M1768" s="3">
        <v>0.67454742099999998</v>
      </c>
      <c r="N1768" s="1" t="s">
        <v>46</v>
      </c>
      <c r="O1768" s="1">
        <v>0.98140043799999999</v>
      </c>
      <c r="P1768" s="1">
        <v>38.9</v>
      </c>
      <c r="Q1768" s="1">
        <v>91.4</v>
      </c>
      <c r="R1768" s="1">
        <v>0.62263263699999993</v>
      </c>
      <c r="S1768" s="1">
        <v>0.18344361683075489</v>
      </c>
      <c r="T1768" t="s">
        <v>1915</v>
      </c>
      <c r="U1768" s="1">
        <v>129203</v>
      </c>
      <c r="V1768">
        <f t="shared" si="108"/>
        <v>0.56791917753102061</v>
      </c>
      <c r="W1768" s="1">
        <f t="shared" si="109"/>
        <v>44.500000000000007</v>
      </c>
      <c r="X1768">
        <f t="shared" si="110"/>
        <v>0.77892344899999999</v>
      </c>
      <c r="Y1768">
        <f t="shared" si="111"/>
        <v>32.099999999999994</v>
      </c>
      <c r="Z1768" s="1">
        <v>5</v>
      </c>
      <c r="AA1768">
        <v>95</v>
      </c>
      <c r="AB1768">
        <v>5.2600000000000001E-2</v>
      </c>
      <c r="AC1768">
        <v>6</v>
      </c>
      <c r="AD1768">
        <v>91</v>
      </c>
      <c r="AE1768">
        <v>6.59E-2</v>
      </c>
      <c r="AF1768" t="s">
        <v>2589</v>
      </c>
      <c r="AG1768" t="s">
        <v>2589</v>
      </c>
    </row>
    <row r="1769" spans="1:33">
      <c r="A1769" s="2" t="s">
        <v>83</v>
      </c>
      <c r="B1769" s="2" t="s">
        <v>47</v>
      </c>
      <c r="C1769" s="1">
        <v>0.51815179099999997</v>
      </c>
      <c r="D1769">
        <v>0.50115949400000004</v>
      </c>
      <c r="E1769">
        <v>0.68053170600000001</v>
      </c>
      <c r="F1769" s="1" t="s">
        <v>84</v>
      </c>
      <c r="G1769" s="1">
        <v>1.760323887</v>
      </c>
      <c r="H1769" s="1">
        <v>83.4</v>
      </c>
      <c r="I1769" s="1">
        <v>123.5</v>
      </c>
      <c r="J1769" s="1">
        <v>0.56661433033333342</v>
      </c>
      <c r="K1769" s="1">
        <v>0.50612154099999995</v>
      </c>
      <c r="L1769" s="1">
        <v>0.55940039100000005</v>
      </c>
      <c r="M1769" s="3">
        <v>0.66789001699999995</v>
      </c>
      <c r="N1769" s="1" t="s">
        <v>48</v>
      </c>
      <c r="O1769" s="1">
        <v>1.242622951</v>
      </c>
      <c r="P1769" s="1">
        <v>17.8</v>
      </c>
      <c r="Q1769" s="1">
        <v>30.5</v>
      </c>
      <c r="R1769" s="1">
        <v>0.57780398300000002</v>
      </c>
      <c r="S1769" s="1">
        <v>6.0799188310370018E-2</v>
      </c>
      <c r="T1769" t="s">
        <v>1916</v>
      </c>
      <c r="U1769" s="1">
        <v>985</v>
      </c>
      <c r="V1769">
        <f t="shared" si="108"/>
        <v>0.33260402561084573</v>
      </c>
      <c r="W1769" s="1">
        <f t="shared" si="109"/>
        <v>65.600000000000009</v>
      </c>
      <c r="X1769">
        <f t="shared" si="110"/>
        <v>0.517700936</v>
      </c>
      <c r="Y1769">
        <f t="shared" si="111"/>
        <v>93</v>
      </c>
      <c r="Z1769" s="1">
        <v>1</v>
      </c>
      <c r="AA1769">
        <v>99</v>
      </c>
      <c r="AB1769">
        <v>1.01E-2</v>
      </c>
      <c r="AC1769">
        <v>2</v>
      </c>
      <c r="AD1769">
        <v>102</v>
      </c>
      <c r="AE1769">
        <v>1.9599999999999999E-2</v>
      </c>
      <c r="AF1769" t="s">
        <v>2589</v>
      </c>
      <c r="AG1769" t="s">
        <v>2590</v>
      </c>
    </row>
    <row r="1770" spans="1:33">
      <c r="A1770" s="2" t="s">
        <v>83</v>
      </c>
      <c r="B1770" s="2" t="s">
        <v>49</v>
      </c>
      <c r="C1770" s="1">
        <v>0.51815179099999997</v>
      </c>
      <c r="D1770">
        <v>0.50115949400000004</v>
      </c>
      <c r="E1770">
        <v>0.68053170600000001</v>
      </c>
      <c r="F1770" s="1" t="s">
        <v>84</v>
      </c>
      <c r="G1770" s="1">
        <v>1.760323887</v>
      </c>
      <c r="H1770" s="1">
        <v>83.4</v>
      </c>
      <c r="I1770" s="1">
        <v>123.5</v>
      </c>
      <c r="J1770" s="1">
        <v>0.56661433033333342</v>
      </c>
      <c r="K1770" s="1">
        <v>0.50647110500000003</v>
      </c>
      <c r="L1770" s="1">
        <v>0.55713136799999996</v>
      </c>
      <c r="M1770" s="3">
        <v>0.63402682300000002</v>
      </c>
      <c r="N1770" s="1" t="s">
        <v>50</v>
      </c>
      <c r="O1770" s="1">
        <v>1.876675603</v>
      </c>
      <c r="P1770" s="1">
        <v>28.8</v>
      </c>
      <c r="Q1770" s="1">
        <v>37.299999999999997</v>
      </c>
      <c r="R1770" s="1">
        <v>0.56587643200000004</v>
      </c>
      <c r="S1770" s="1">
        <v>7.3702057280283229E-2</v>
      </c>
      <c r="T1770" t="s">
        <v>1917</v>
      </c>
      <c r="U1770" s="1">
        <v>8249</v>
      </c>
      <c r="V1770">
        <f t="shared" si="108"/>
        <v>0.43515570040043067</v>
      </c>
      <c r="W1770" s="1">
        <f t="shared" si="109"/>
        <v>54.600000000000009</v>
      </c>
      <c r="X1770">
        <f t="shared" si="110"/>
        <v>0.11635171600000005</v>
      </c>
      <c r="Y1770">
        <f t="shared" si="111"/>
        <v>86.2</v>
      </c>
      <c r="Z1770" s="1">
        <v>2</v>
      </c>
      <c r="AA1770">
        <v>98</v>
      </c>
      <c r="AB1770">
        <v>2.0400000000000001E-2</v>
      </c>
      <c r="AC1770">
        <v>3</v>
      </c>
      <c r="AD1770">
        <v>75</v>
      </c>
      <c r="AE1770">
        <v>0.04</v>
      </c>
      <c r="AF1770" t="s">
        <v>2589</v>
      </c>
      <c r="AG1770" t="s">
        <v>2590</v>
      </c>
    </row>
    <row r="1771" spans="1:33">
      <c r="A1771" s="2" t="s">
        <v>83</v>
      </c>
      <c r="B1771" s="2" t="s">
        <v>51</v>
      </c>
      <c r="C1771" s="1">
        <v>0.51815179099999997</v>
      </c>
      <c r="D1771">
        <v>0.50115949400000004</v>
      </c>
      <c r="E1771">
        <v>0.68053170600000001</v>
      </c>
      <c r="F1771" s="1" t="s">
        <v>84</v>
      </c>
      <c r="G1771" s="1">
        <v>1.760323887</v>
      </c>
      <c r="H1771" s="1">
        <v>83.4</v>
      </c>
      <c r="I1771" s="1">
        <v>123.5</v>
      </c>
      <c r="J1771" s="1">
        <v>0.56661433033333342</v>
      </c>
      <c r="K1771" s="1">
        <v>0.60067161999999996</v>
      </c>
      <c r="L1771" s="1">
        <v>0.68094129999999997</v>
      </c>
      <c r="M1771" s="3">
        <v>0.73595931299999995</v>
      </c>
      <c r="N1771" s="1" t="s">
        <v>52</v>
      </c>
      <c r="O1771" s="1">
        <v>1.858638743</v>
      </c>
      <c r="P1771" s="1">
        <v>29.4</v>
      </c>
      <c r="Q1771" s="1">
        <v>38.200000000000003</v>
      </c>
      <c r="R1771" s="1">
        <v>0.67252407766666666</v>
      </c>
      <c r="S1771" s="1">
        <v>0.20543427066718273</v>
      </c>
      <c r="T1771" t="s">
        <v>1918</v>
      </c>
      <c r="U1771" s="1">
        <v>1717</v>
      </c>
      <c r="V1771">
        <f t="shared" si="108"/>
        <v>0.35941892168454626</v>
      </c>
      <c r="W1771" s="1">
        <f t="shared" si="109"/>
        <v>54.000000000000007</v>
      </c>
      <c r="X1771">
        <f t="shared" si="110"/>
        <v>9.8314856000000006E-2</v>
      </c>
      <c r="Y1771">
        <f t="shared" si="111"/>
        <v>85.3</v>
      </c>
      <c r="Z1771" s="1">
        <v>3</v>
      </c>
      <c r="AA1771">
        <v>97</v>
      </c>
      <c r="AB1771">
        <v>3.09E-2</v>
      </c>
      <c r="AC1771">
        <v>4</v>
      </c>
      <c r="AD1771">
        <v>83</v>
      </c>
      <c r="AE1771">
        <v>4.82E-2</v>
      </c>
      <c r="AF1771" t="s">
        <v>2589</v>
      </c>
      <c r="AG1771" t="s">
        <v>2591</v>
      </c>
    </row>
    <row r="1772" spans="1:33">
      <c r="A1772" s="2" t="s">
        <v>83</v>
      </c>
      <c r="B1772" s="2" t="s">
        <v>53</v>
      </c>
      <c r="C1772" s="1">
        <v>0.51815179099999997</v>
      </c>
      <c r="D1772">
        <v>0.50115949400000004</v>
      </c>
      <c r="E1772">
        <v>0.68053170600000001</v>
      </c>
      <c r="F1772" s="1" t="s">
        <v>84</v>
      </c>
      <c r="G1772" s="1">
        <v>1.760323887</v>
      </c>
      <c r="H1772" s="1">
        <v>83.4</v>
      </c>
      <c r="I1772" s="1">
        <v>123.5</v>
      </c>
      <c r="J1772" s="1">
        <v>0.56661433033333342</v>
      </c>
      <c r="K1772" s="1">
        <v>0.54695832700000002</v>
      </c>
      <c r="L1772" s="1">
        <v>0.659790137</v>
      </c>
      <c r="M1772" s="3">
        <v>0.70662085500000005</v>
      </c>
      <c r="N1772" s="1" t="s">
        <v>54</v>
      </c>
      <c r="O1772" s="1">
        <v>2.5053995680000001</v>
      </c>
      <c r="P1772" s="1">
        <v>43.9</v>
      </c>
      <c r="Q1772" s="1">
        <v>46.3</v>
      </c>
      <c r="R1772" s="1">
        <v>0.63778977300000006</v>
      </c>
      <c r="S1772" s="1">
        <v>0.16332220029884775</v>
      </c>
      <c r="T1772" t="s">
        <v>1919</v>
      </c>
      <c r="U1772" s="1">
        <v>3330</v>
      </c>
      <c r="V1772">
        <f t="shared" si="108"/>
        <v>0.3913826926118133</v>
      </c>
      <c r="W1772" s="1">
        <f t="shared" si="109"/>
        <v>39.500000000000007</v>
      </c>
      <c r="X1772">
        <f t="shared" si="110"/>
        <v>0.7450756810000001</v>
      </c>
      <c r="Y1772">
        <f t="shared" si="111"/>
        <v>77.2</v>
      </c>
      <c r="Z1772" s="1">
        <v>1</v>
      </c>
      <c r="AA1772">
        <v>99</v>
      </c>
      <c r="AB1772">
        <v>1.01E-2</v>
      </c>
      <c r="AC1772">
        <v>2</v>
      </c>
      <c r="AD1772">
        <v>85</v>
      </c>
      <c r="AE1772">
        <v>2.35E-2</v>
      </c>
      <c r="AF1772" t="s">
        <v>2589</v>
      </c>
      <c r="AG1772" t="s">
        <v>2593</v>
      </c>
    </row>
    <row r="1773" spans="1:33">
      <c r="A1773" s="2" t="s">
        <v>83</v>
      </c>
      <c r="B1773" s="2" t="s">
        <v>55</v>
      </c>
      <c r="C1773" s="1">
        <v>0.51815179099999997</v>
      </c>
      <c r="D1773">
        <v>0.50115949400000004</v>
      </c>
      <c r="E1773">
        <v>0.68053170600000001</v>
      </c>
      <c r="F1773" s="1" t="s">
        <v>84</v>
      </c>
      <c r="G1773" s="1">
        <v>1.760323887</v>
      </c>
      <c r="H1773" s="1">
        <v>83.4</v>
      </c>
      <c r="I1773" s="1">
        <v>123.5</v>
      </c>
      <c r="J1773" s="1">
        <v>0.56661433033333342</v>
      </c>
      <c r="K1773" s="1">
        <v>0.52971861799999997</v>
      </c>
      <c r="L1773" s="1">
        <v>0.62258244500000004</v>
      </c>
      <c r="M1773" s="3">
        <v>0.63939760400000001</v>
      </c>
      <c r="N1773" s="1" t="s">
        <v>56</v>
      </c>
      <c r="O1773" s="1">
        <v>1.0796934869999999</v>
      </c>
      <c r="P1773" s="1">
        <v>55.3</v>
      </c>
      <c r="Q1773" s="1">
        <v>130.5</v>
      </c>
      <c r="R1773" s="1">
        <v>0.59723288899999993</v>
      </c>
      <c r="S1773" s="1">
        <v>0.12872194398680722</v>
      </c>
      <c r="T1773" t="s">
        <v>1920</v>
      </c>
      <c r="U1773" s="1">
        <v>14881</v>
      </c>
      <c r="V1773">
        <f t="shared" si="108"/>
        <v>0.46362579074292154</v>
      </c>
      <c r="W1773" s="1">
        <f t="shared" si="109"/>
        <v>28.100000000000009</v>
      </c>
      <c r="X1773">
        <f t="shared" si="110"/>
        <v>0.68063040000000008</v>
      </c>
      <c r="Y1773">
        <f t="shared" si="111"/>
        <v>7</v>
      </c>
      <c r="Z1773" s="1">
        <v>7</v>
      </c>
      <c r="AA1773">
        <v>93</v>
      </c>
      <c r="AB1773">
        <v>7.5300000000000006E-2</v>
      </c>
      <c r="AC1773">
        <v>8</v>
      </c>
      <c r="AD1773">
        <v>71</v>
      </c>
      <c r="AE1773">
        <v>0.11269999999999999</v>
      </c>
      <c r="AF1773" t="s">
        <v>2589</v>
      </c>
      <c r="AG1773" t="s">
        <v>2592</v>
      </c>
    </row>
    <row r="1774" spans="1:33">
      <c r="A1774" s="2" t="s">
        <v>83</v>
      </c>
      <c r="B1774" s="2" t="s">
        <v>57</v>
      </c>
      <c r="C1774" s="1">
        <v>0.51815179099999997</v>
      </c>
      <c r="D1774">
        <v>0.50115949400000004</v>
      </c>
      <c r="E1774">
        <v>0.68053170600000001</v>
      </c>
      <c r="F1774" s="1" t="s">
        <v>84</v>
      </c>
      <c r="G1774" s="1">
        <v>1.760323887</v>
      </c>
      <c r="H1774" s="1">
        <v>83.4</v>
      </c>
      <c r="I1774" s="1">
        <v>123.5</v>
      </c>
      <c r="J1774" s="1">
        <v>0.56661433033333342</v>
      </c>
      <c r="K1774" s="1">
        <v>0.528732855</v>
      </c>
      <c r="L1774" s="1">
        <v>0.63387497599999998</v>
      </c>
      <c r="M1774" s="3">
        <v>0.63337360200000004</v>
      </c>
      <c r="N1774" s="1" t="s">
        <v>58</v>
      </c>
      <c r="O1774" s="1">
        <v>1.386610879</v>
      </c>
      <c r="P1774" s="1">
        <v>69</v>
      </c>
      <c r="Q1774" s="1">
        <v>119.5</v>
      </c>
      <c r="R1774" s="1">
        <v>0.59866047766666663</v>
      </c>
      <c r="S1774" s="1">
        <v>0.14124179569355247</v>
      </c>
      <c r="T1774" t="s">
        <v>1921</v>
      </c>
      <c r="U1774" s="1">
        <v>318060</v>
      </c>
      <c r="V1774">
        <f t="shared" si="108"/>
        <v>0.61138989495667451</v>
      </c>
      <c r="W1774" s="1">
        <f t="shared" si="109"/>
        <v>14.400000000000006</v>
      </c>
      <c r="X1774">
        <f t="shared" si="110"/>
        <v>0.37371300799999996</v>
      </c>
      <c r="Y1774">
        <f t="shared" si="111"/>
        <v>4</v>
      </c>
      <c r="Z1774" s="1">
        <v>5</v>
      </c>
      <c r="AA1774">
        <v>95</v>
      </c>
      <c r="AB1774">
        <v>5.2600000000000001E-2</v>
      </c>
      <c r="AC1774">
        <v>6</v>
      </c>
      <c r="AD1774">
        <v>79</v>
      </c>
      <c r="AE1774">
        <v>7.5899999999999995E-2</v>
      </c>
      <c r="AF1774" t="s">
        <v>2589</v>
      </c>
      <c r="AG1774" t="s">
        <v>2589</v>
      </c>
    </row>
    <row r="1775" spans="1:33">
      <c r="A1775" s="2" t="s">
        <v>83</v>
      </c>
      <c r="B1775" s="2" t="s">
        <v>59</v>
      </c>
      <c r="C1775" s="1">
        <v>0.51815179099999997</v>
      </c>
      <c r="D1775">
        <v>0.50115949400000004</v>
      </c>
      <c r="E1775">
        <v>0.68053170600000001</v>
      </c>
      <c r="F1775" s="1" t="s">
        <v>84</v>
      </c>
      <c r="G1775" s="1">
        <v>1.760323887</v>
      </c>
      <c r="H1775" s="1">
        <v>83.4</v>
      </c>
      <c r="I1775" s="1">
        <v>123.5</v>
      </c>
      <c r="J1775" s="1">
        <v>0.56661433033333342</v>
      </c>
      <c r="K1775" s="1">
        <v>0.56225432799999997</v>
      </c>
      <c r="L1775" s="1">
        <v>0.68100706499999997</v>
      </c>
      <c r="M1775" s="3">
        <v>0.67505263699999996</v>
      </c>
      <c r="N1775" s="1" t="s">
        <v>60</v>
      </c>
      <c r="O1775" s="1">
        <v>1.1501154730000001</v>
      </c>
      <c r="P1775" s="1">
        <v>60.5</v>
      </c>
      <c r="Q1775" s="1">
        <v>129.9</v>
      </c>
      <c r="R1775" s="1">
        <v>0.63943801</v>
      </c>
      <c r="S1775" s="1">
        <v>0.18525712607493172</v>
      </c>
      <c r="T1775" t="s">
        <v>1922</v>
      </c>
      <c r="U1775" s="1">
        <v>30928</v>
      </c>
      <c r="V1775">
        <f t="shared" si="108"/>
        <v>0.49892798185383086</v>
      </c>
      <c r="W1775" s="1">
        <f t="shared" si="109"/>
        <v>22.900000000000006</v>
      </c>
      <c r="X1775">
        <f t="shared" si="110"/>
        <v>0.61020841399999992</v>
      </c>
      <c r="Y1775">
        <f t="shared" si="111"/>
        <v>6.4000000000000057</v>
      </c>
      <c r="Z1775" s="1">
        <v>5</v>
      </c>
      <c r="AA1775">
        <v>95</v>
      </c>
      <c r="AB1775">
        <v>5.2600000000000001E-2</v>
      </c>
      <c r="AC1775">
        <v>6</v>
      </c>
      <c r="AD1775">
        <v>98</v>
      </c>
      <c r="AE1775">
        <v>6.1199999999999997E-2</v>
      </c>
      <c r="AF1775" t="s">
        <v>2589</v>
      </c>
      <c r="AG1775" t="s">
        <v>2589</v>
      </c>
    </row>
    <row r="1776" spans="1:33">
      <c r="A1776" s="2" t="s">
        <v>83</v>
      </c>
      <c r="B1776" s="2" t="s">
        <v>61</v>
      </c>
      <c r="C1776" s="1">
        <v>0.51815179099999997</v>
      </c>
      <c r="D1776">
        <v>0.50115949400000004</v>
      </c>
      <c r="E1776">
        <v>0.68053170600000001</v>
      </c>
      <c r="F1776" s="1" t="s">
        <v>84</v>
      </c>
      <c r="G1776" s="1">
        <v>1.760323887</v>
      </c>
      <c r="H1776" s="1">
        <v>83.4</v>
      </c>
      <c r="I1776" s="1">
        <v>123.5</v>
      </c>
      <c r="J1776" s="1">
        <v>0.56661433033333342</v>
      </c>
      <c r="K1776" s="1">
        <v>0.62063455999999995</v>
      </c>
      <c r="L1776" s="1">
        <v>0.67798104299999995</v>
      </c>
      <c r="M1776" s="3">
        <v>0.72175371600000005</v>
      </c>
      <c r="N1776" s="1" t="s">
        <v>62</v>
      </c>
      <c r="O1776" s="1">
        <v>7.5471698109999998</v>
      </c>
      <c r="P1776" s="1">
        <v>26.4</v>
      </c>
      <c r="Q1776" s="1">
        <v>10.6</v>
      </c>
      <c r="R1776" s="1">
        <v>0.6734564396666668</v>
      </c>
      <c r="S1776" s="1">
        <v>0.20848940558480861</v>
      </c>
      <c r="T1776" t="s">
        <v>1923</v>
      </c>
      <c r="U1776" s="1">
        <v>2512</v>
      </c>
      <c r="V1776">
        <f t="shared" si="108"/>
        <v>0.3777799594516843</v>
      </c>
      <c r="W1776" s="1">
        <f t="shared" si="109"/>
        <v>57.000000000000007</v>
      </c>
      <c r="X1776">
        <f t="shared" si="110"/>
        <v>5.7868459239999996</v>
      </c>
      <c r="Y1776">
        <f t="shared" si="111"/>
        <v>112.9</v>
      </c>
      <c r="Z1776" s="1">
        <v>0</v>
      </c>
      <c r="AA1776">
        <v>100</v>
      </c>
      <c r="AB1776">
        <v>0</v>
      </c>
      <c r="AC1776">
        <v>0</v>
      </c>
      <c r="AD1776">
        <v>79</v>
      </c>
      <c r="AE1776">
        <v>0</v>
      </c>
      <c r="AF1776" t="s">
        <v>2589</v>
      </c>
      <c r="AG1776" t="s">
        <v>2588</v>
      </c>
    </row>
    <row r="1777" spans="1:33">
      <c r="A1777" s="2" t="s">
        <v>83</v>
      </c>
      <c r="B1777" s="2" t="s">
        <v>63</v>
      </c>
      <c r="C1777" s="1">
        <v>0.51815179099999997</v>
      </c>
      <c r="D1777">
        <v>0.50115949400000004</v>
      </c>
      <c r="E1777">
        <v>0.68053170600000001</v>
      </c>
      <c r="F1777" s="1" t="s">
        <v>84</v>
      </c>
      <c r="G1777" s="1">
        <v>1.760323887</v>
      </c>
      <c r="H1777" s="1">
        <v>83.4</v>
      </c>
      <c r="I1777" s="1">
        <v>123.5</v>
      </c>
      <c r="J1777" s="1">
        <v>0.56661433033333342</v>
      </c>
      <c r="K1777" s="1">
        <v>0.44311141399999998</v>
      </c>
      <c r="L1777" s="1">
        <v>0.57053969199999999</v>
      </c>
      <c r="M1777" s="3">
        <v>0.59266330599999995</v>
      </c>
      <c r="N1777" s="1" t="s">
        <v>64</v>
      </c>
      <c r="O1777" s="1">
        <v>0.89618138400000003</v>
      </c>
      <c r="P1777" s="1">
        <v>29.7</v>
      </c>
      <c r="Q1777" s="1">
        <v>83.8</v>
      </c>
      <c r="R1777" s="1">
        <v>0.53543813733333334</v>
      </c>
      <c r="S1777" s="1">
        <v>0.13477954508522921</v>
      </c>
      <c r="T1777" t="s">
        <v>1924</v>
      </c>
      <c r="U1777" s="1">
        <v>1330</v>
      </c>
      <c r="V1777">
        <f t="shared" si="108"/>
        <v>0.34709462677412062</v>
      </c>
      <c r="W1777" s="1">
        <f t="shared" si="109"/>
        <v>53.7</v>
      </c>
      <c r="X1777">
        <f t="shared" si="110"/>
        <v>0.86414250299999995</v>
      </c>
      <c r="Y1777">
        <f t="shared" si="111"/>
        <v>39.700000000000003</v>
      </c>
      <c r="Z1777" s="1">
        <v>3</v>
      </c>
      <c r="AA1777">
        <v>97</v>
      </c>
      <c r="AB1777">
        <v>3.09E-2</v>
      </c>
      <c r="AC1777">
        <v>4</v>
      </c>
      <c r="AD1777">
        <v>82</v>
      </c>
      <c r="AE1777">
        <v>4.8800000000000003E-2</v>
      </c>
      <c r="AF1777" t="s">
        <v>2589</v>
      </c>
      <c r="AG1777" t="s">
        <v>2590</v>
      </c>
    </row>
    <row r="1778" spans="1:33">
      <c r="A1778" s="2" t="s">
        <v>83</v>
      </c>
      <c r="B1778" s="2" t="s">
        <v>65</v>
      </c>
      <c r="C1778" s="1">
        <v>0.51815179099999997</v>
      </c>
      <c r="D1778">
        <v>0.50115949400000004</v>
      </c>
      <c r="E1778">
        <v>0.68053170600000001</v>
      </c>
      <c r="F1778" s="1" t="s">
        <v>84</v>
      </c>
      <c r="G1778" s="1">
        <v>1.760323887</v>
      </c>
      <c r="H1778" s="1">
        <v>83.4</v>
      </c>
      <c r="I1778" s="1">
        <v>123.5</v>
      </c>
      <c r="J1778" s="1">
        <v>0.56661433033333342</v>
      </c>
      <c r="K1778" s="1">
        <v>0.67377447499999998</v>
      </c>
      <c r="L1778" s="1">
        <v>0.69144672900000004</v>
      </c>
      <c r="M1778" s="3">
        <v>0.73046409700000003</v>
      </c>
      <c r="N1778" s="1" t="s">
        <v>66</v>
      </c>
      <c r="O1778" s="1">
        <v>1.8507462690000001</v>
      </c>
      <c r="P1778" s="1">
        <v>34.5</v>
      </c>
      <c r="Q1778" s="1">
        <v>46.9</v>
      </c>
      <c r="R1778" s="1">
        <v>0.69856176700000006</v>
      </c>
      <c r="S1778" s="1">
        <v>0.25084037803010495</v>
      </c>
      <c r="T1778" t="s">
        <v>1925</v>
      </c>
      <c r="U1778" s="1">
        <v>953</v>
      </c>
      <c r="V1778">
        <f t="shared" si="108"/>
        <v>0.33101032229314736</v>
      </c>
      <c r="W1778" s="1">
        <f t="shared" si="109"/>
        <v>48.900000000000006</v>
      </c>
      <c r="X1778">
        <f t="shared" si="110"/>
        <v>9.0422382000000079E-2</v>
      </c>
      <c r="Y1778">
        <f t="shared" si="111"/>
        <v>76.599999999999994</v>
      </c>
      <c r="Z1778" s="1">
        <v>0</v>
      </c>
      <c r="AA1778">
        <v>100</v>
      </c>
      <c r="AB1778">
        <v>0</v>
      </c>
      <c r="AC1778">
        <v>0</v>
      </c>
      <c r="AD1778">
        <v>68</v>
      </c>
      <c r="AE1778">
        <v>0</v>
      </c>
      <c r="AF1778" t="s">
        <v>2589</v>
      </c>
      <c r="AG1778" t="s">
        <v>2593</v>
      </c>
    </row>
    <row r="1779" spans="1:33">
      <c r="A1779" s="2" t="s">
        <v>83</v>
      </c>
      <c r="B1779" s="2" t="s">
        <v>67</v>
      </c>
      <c r="C1779" s="1">
        <v>0.51815179099999997</v>
      </c>
      <c r="D1779">
        <v>0.50115949400000004</v>
      </c>
      <c r="E1779">
        <v>0.68053170600000001</v>
      </c>
      <c r="F1779" s="1" t="s">
        <v>84</v>
      </c>
      <c r="G1779" s="1">
        <v>1.760323887</v>
      </c>
      <c r="H1779" s="1">
        <v>83.4</v>
      </c>
      <c r="I1779" s="1">
        <v>123.5</v>
      </c>
      <c r="J1779" s="1">
        <v>0.56661433033333342</v>
      </c>
      <c r="K1779" s="1">
        <v>0.53971122199999999</v>
      </c>
      <c r="L1779" s="1">
        <v>0.621203065</v>
      </c>
      <c r="M1779" s="3">
        <v>0.67806811499999997</v>
      </c>
      <c r="N1779" s="1" t="s">
        <v>68</v>
      </c>
      <c r="O1779" s="1">
        <v>1.5131894480000001</v>
      </c>
      <c r="P1779" s="1">
        <v>27.2</v>
      </c>
      <c r="Q1779" s="1">
        <v>41.7</v>
      </c>
      <c r="R1779" s="1">
        <v>0.61299413400000002</v>
      </c>
      <c r="S1779" s="1">
        <v>0.12198908674176996</v>
      </c>
      <c r="T1779" t="s">
        <v>1926</v>
      </c>
      <c r="U1779" s="1">
        <v>1716</v>
      </c>
      <c r="V1779">
        <f t="shared" si="108"/>
        <v>0.35939080927918737</v>
      </c>
      <c r="W1779" s="1">
        <f t="shared" si="109"/>
        <v>56.2</v>
      </c>
      <c r="X1779">
        <f t="shared" si="110"/>
        <v>0.24713443899999987</v>
      </c>
      <c r="Y1779">
        <f t="shared" si="111"/>
        <v>81.8</v>
      </c>
      <c r="Z1779" s="1">
        <v>1</v>
      </c>
      <c r="AA1779">
        <v>99</v>
      </c>
      <c r="AB1779">
        <v>1.01E-2</v>
      </c>
      <c r="AC1779">
        <v>2</v>
      </c>
      <c r="AD1779">
        <v>77</v>
      </c>
      <c r="AE1779">
        <v>2.5999999999999999E-2</v>
      </c>
      <c r="AF1779" t="s">
        <v>2589</v>
      </c>
      <c r="AG1779" t="s">
        <v>2588</v>
      </c>
    </row>
    <row r="1780" spans="1:33">
      <c r="A1780" s="2" t="s">
        <v>83</v>
      </c>
      <c r="B1780" s="2" t="s">
        <v>69</v>
      </c>
      <c r="C1780" s="1">
        <v>0.51815179099999997</v>
      </c>
      <c r="D1780">
        <v>0.50115949400000004</v>
      </c>
      <c r="E1780">
        <v>0.68053170600000001</v>
      </c>
      <c r="F1780" s="1" t="s">
        <v>84</v>
      </c>
      <c r="G1780" s="1">
        <v>1.760323887</v>
      </c>
      <c r="H1780" s="1">
        <v>83.4</v>
      </c>
      <c r="I1780" s="1">
        <v>123.5</v>
      </c>
      <c r="J1780" s="1">
        <v>0.56661433033333342</v>
      </c>
      <c r="K1780" s="1">
        <v>0.50188385300000005</v>
      </c>
      <c r="L1780" s="1">
        <v>0.64580031500000001</v>
      </c>
      <c r="M1780" s="3">
        <v>0.66006355800000005</v>
      </c>
      <c r="N1780" s="1" t="s">
        <v>70</v>
      </c>
      <c r="O1780" s="1">
        <v>1.2401055409999999</v>
      </c>
      <c r="P1780" s="1">
        <v>43.4</v>
      </c>
      <c r="Q1780" s="1">
        <v>75.8</v>
      </c>
      <c r="R1780" s="1">
        <v>0.60258257533333337</v>
      </c>
      <c r="S1780" s="1">
        <v>0.14698489034208848</v>
      </c>
      <c r="T1780" t="s">
        <v>1927</v>
      </c>
      <c r="U1780" s="1">
        <v>191999</v>
      </c>
      <c r="V1780">
        <f t="shared" si="108"/>
        <v>0.58703321852747026</v>
      </c>
      <c r="W1780" s="1">
        <f t="shared" si="109"/>
        <v>40.000000000000007</v>
      </c>
      <c r="X1780">
        <f t="shared" si="110"/>
        <v>0.52021834600000005</v>
      </c>
      <c r="Y1780">
        <f t="shared" si="111"/>
        <v>47.7</v>
      </c>
      <c r="Z1780" s="1">
        <v>7</v>
      </c>
      <c r="AA1780">
        <v>93</v>
      </c>
      <c r="AB1780">
        <v>7.5300000000000006E-2</v>
      </c>
      <c r="AC1780">
        <v>8</v>
      </c>
      <c r="AD1780">
        <v>78</v>
      </c>
      <c r="AE1780">
        <v>0.1026</v>
      </c>
      <c r="AF1780" t="s">
        <v>2589</v>
      </c>
      <c r="AG1780" t="s">
        <v>2589</v>
      </c>
    </row>
    <row r="1781" spans="1:33">
      <c r="A1781" s="2" t="s">
        <v>83</v>
      </c>
      <c r="B1781" s="2" t="s">
        <v>71</v>
      </c>
      <c r="C1781" s="1">
        <v>0.51815179099999997</v>
      </c>
      <c r="D1781">
        <v>0.50115949400000004</v>
      </c>
      <c r="E1781">
        <v>0.68053170600000001</v>
      </c>
      <c r="F1781" s="1" t="s">
        <v>84</v>
      </c>
      <c r="G1781" s="1">
        <v>1.760323887</v>
      </c>
      <c r="H1781" s="1">
        <v>83.4</v>
      </c>
      <c r="I1781" s="1">
        <v>123.5</v>
      </c>
      <c r="J1781" s="1">
        <v>0.56661433033333342</v>
      </c>
      <c r="K1781" s="1">
        <v>0.53267569100000001</v>
      </c>
      <c r="L1781" s="1">
        <v>0.64507433599999997</v>
      </c>
      <c r="M1781" s="3">
        <v>0.66598465100000004</v>
      </c>
      <c r="N1781" s="1" t="s">
        <v>72</v>
      </c>
      <c r="O1781" s="1">
        <v>0.97289666900000005</v>
      </c>
      <c r="P1781" s="1">
        <v>64.8</v>
      </c>
      <c r="Q1781" s="1">
        <v>177.1</v>
      </c>
      <c r="R1781" s="1">
        <v>0.61457822600000001</v>
      </c>
      <c r="S1781" s="1">
        <v>0.14537552142045088</v>
      </c>
      <c r="T1781" t="s">
        <v>1928</v>
      </c>
      <c r="U1781" s="1">
        <v>108431</v>
      </c>
      <c r="V1781">
        <f t="shared" si="108"/>
        <v>0.55946149589479732</v>
      </c>
      <c r="W1781" s="1">
        <f t="shared" si="109"/>
        <v>18.600000000000009</v>
      </c>
      <c r="X1781">
        <f t="shared" si="110"/>
        <v>0.78742721799999993</v>
      </c>
      <c r="Y1781">
        <f t="shared" si="111"/>
        <v>53.599999999999994</v>
      </c>
      <c r="Z1781" s="1">
        <v>5</v>
      </c>
      <c r="AA1781">
        <v>95</v>
      </c>
      <c r="AB1781">
        <v>5.2600000000000001E-2</v>
      </c>
      <c r="AC1781">
        <v>6</v>
      </c>
      <c r="AD1781">
        <v>91</v>
      </c>
      <c r="AE1781">
        <v>6.59E-2</v>
      </c>
      <c r="AF1781" t="s">
        <v>2589</v>
      </c>
      <c r="AG1781" t="s">
        <v>2589</v>
      </c>
    </row>
    <row r="1782" spans="1:33">
      <c r="A1782" s="2" t="s">
        <v>83</v>
      </c>
      <c r="B1782" s="2" t="s">
        <v>73</v>
      </c>
      <c r="C1782" s="1">
        <v>0.51815179099999997</v>
      </c>
      <c r="D1782">
        <v>0.50115949400000004</v>
      </c>
      <c r="E1782">
        <v>0.68053170600000001</v>
      </c>
      <c r="F1782" s="1" t="s">
        <v>84</v>
      </c>
      <c r="G1782" s="1">
        <v>1.760323887</v>
      </c>
      <c r="H1782" s="1">
        <v>83.4</v>
      </c>
      <c r="I1782" s="1">
        <v>123.5</v>
      </c>
      <c r="J1782" s="1">
        <v>0.56661433033333342</v>
      </c>
      <c r="K1782" s="1">
        <v>0.55697925299999995</v>
      </c>
      <c r="L1782" s="1">
        <v>0.64461978399999997</v>
      </c>
      <c r="M1782" s="3">
        <v>0.69570690000000002</v>
      </c>
      <c r="N1782" s="1" t="s">
        <v>74</v>
      </c>
      <c r="O1782" s="1">
        <v>1.23433584</v>
      </c>
      <c r="P1782" s="1">
        <v>44</v>
      </c>
      <c r="Q1782" s="1">
        <v>79.8</v>
      </c>
      <c r="R1782" s="1">
        <v>0.63243531233333328</v>
      </c>
      <c r="S1782" s="1">
        <v>0.14939448826908963</v>
      </c>
      <c r="T1782" t="s">
        <v>1929</v>
      </c>
      <c r="U1782" s="1">
        <v>180734</v>
      </c>
      <c r="V1782">
        <f t="shared" si="108"/>
        <v>0.58411554005482003</v>
      </c>
      <c r="W1782" s="1">
        <f t="shared" si="109"/>
        <v>39.400000000000006</v>
      </c>
      <c r="X1782">
        <f t="shared" si="110"/>
        <v>0.52598804700000001</v>
      </c>
      <c r="Y1782">
        <f t="shared" si="111"/>
        <v>43.7</v>
      </c>
      <c r="Z1782" s="1">
        <v>6</v>
      </c>
      <c r="AA1782">
        <v>94</v>
      </c>
      <c r="AB1782">
        <v>6.3799999999999996E-2</v>
      </c>
      <c r="AC1782">
        <v>7</v>
      </c>
      <c r="AD1782">
        <v>75</v>
      </c>
      <c r="AE1782">
        <v>9.3299999999999994E-2</v>
      </c>
      <c r="AF1782" t="s">
        <v>2589</v>
      </c>
      <c r="AG1782" t="s">
        <v>2589</v>
      </c>
    </row>
    <row r="1783" spans="1:33">
      <c r="A1783" s="2" t="s">
        <v>83</v>
      </c>
      <c r="B1783" s="2" t="s">
        <v>75</v>
      </c>
      <c r="C1783" s="1">
        <v>0.51815179099999997</v>
      </c>
      <c r="D1783">
        <v>0.50115949400000004</v>
      </c>
      <c r="E1783">
        <v>0.68053170600000001</v>
      </c>
      <c r="F1783" s="1" t="s">
        <v>84</v>
      </c>
      <c r="G1783" s="1">
        <v>1.760323887</v>
      </c>
      <c r="H1783" s="1">
        <v>83.4</v>
      </c>
      <c r="I1783" s="1">
        <v>123.5</v>
      </c>
      <c r="J1783" s="1">
        <v>0.56661433033333342</v>
      </c>
      <c r="K1783" s="1">
        <v>0.50354843500000002</v>
      </c>
      <c r="L1783" s="1">
        <v>0.59724402499999996</v>
      </c>
      <c r="M1783" s="3">
        <v>0.70308254199999998</v>
      </c>
      <c r="N1783" s="1" t="s">
        <v>76</v>
      </c>
      <c r="O1783" s="1">
        <v>1.2696850390000001</v>
      </c>
      <c r="P1783" s="1">
        <v>26.6</v>
      </c>
      <c r="Q1783" s="1">
        <v>50.8</v>
      </c>
      <c r="R1783" s="1">
        <v>0.60129166733333339</v>
      </c>
      <c r="S1783" s="1">
        <v>9.9769911838447439E-2</v>
      </c>
      <c r="T1783" t="s">
        <v>1930</v>
      </c>
      <c r="U1783" s="1">
        <v>1618</v>
      </c>
      <c r="V1783">
        <f t="shared" si="108"/>
        <v>0.35655316858625041</v>
      </c>
      <c r="W1783" s="1">
        <f t="shared" si="109"/>
        <v>56.800000000000004</v>
      </c>
      <c r="X1783">
        <f t="shared" si="110"/>
        <v>0.49063884799999991</v>
      </c>
      <c r="Y1783">
        <f t="shared" si="111"/>
        <v>72.7</v>
      </c>
      <c r="Z1783" s="1">
        <v>2</v>
      </c>
      <c r="AA1783">
        <v>98</v>
      </c>
      <c r="AB1783">
        <v>2.0400000000000001E-2</v>
      </c>
      <c r="AC1783">
        <v>3</v>
      </c>
      <c r="AD1783">
        <v>79</v>
      </c>
      <c r="AE1783">
        <v>3.7999999999999999E-2</v>
      </c>
      <c r="AF1783" t="s">
        <v>2589</v>
      </c>
      <c r="AG1783" t="s">
        <v>2594</v>
      </c>
    </row>
    <row r="1784" spans="1:33">
      <c r="A1784" s="2" t="s">
        <v>83</v>
      </c>
      <c r="B1784" s="2" t="s">
        <v>77</v>
      </c>
      <c r="C1784" s="1">
        <v>0.51815179099999997</v>
      </c>
      <c r="D1784">
        <v>0.50115949400000004</v>
      </c>
      <c r="E1784">
        <v>0.68053170600000001</v>
      </c>
      <c r="F1784" s="1" t="s">
        <v>84</v>
      </c>
      <c r="G1784" s="1">
        <v>1.760323887</v>
      </c>
      <c r="H1784" s="1">
        <v>83.4</v>
      </c>
      <c r="I1784" s="1">
        <v>123.5</v>
      </c>
      <c r="J1784" s="1">
        <v>0.56661433033333342</v>
      </c>
      <c r="K1784" s="1">
        <v>0.54630843299999998</v>
      </c>
      <c r="L1784" s="1">
        <v>0.68935555900000001</v>
      </c>
      <c r="M1784" s="3">
        <v>0.65478744899999997</v>
      </c>
      <c r="N1784" s="1" t="s">
        <v>78</v>
      </c>
      <c r="O1784" s="1">
        <v>1.3914285710000001</v>
      </c>
      <c r="P1784" s="1">
        <v>56.5</v>
      </c>
      <c r="Q1784" s="1">
        <v>105</v>
      </c>
      <c r="R1784" s="1">
        <v>0.63015048033333343</v>
      </c>
      <c r="S1784" s="1">
        <v>0.19202427486826354</v>
      </c>
      <c r="T1784" t="s">
        <v>1931</v>
      </c>
      <c r="U1784" s="1">
        <v>2735</v>
      </c>
      <c r="V1784">
        <f t="shared" si="108"/>
        <v>0.38188414785216107</v>
      </c>
      <c r="W1784" s="1">
        <f t="shared" si="109"/>
        <v>26.900000000000006</v>
      </c>
      <c r="X1784">
        <f t="shared" si="110"/>
        <v>0.36889531599999992</v>
      </c>
      <c r="Y1784">
        <f t="shared" si="111"/>
        <v>18.5</v>
      </c>
      <c r="Z1784" s="1">
        <v>2</v>
      </c>
      <c r="AA1784">
        <v>98</v>
      </c>
      <c r="AB1784">
        <v>2.0400000000000001E-2</v>
      </c>
      <c r="AC1784">
        <v>3</v>
      </c>
      <c r="AD1784">
        <v>68</v>
      </c>
      <c r="AE1784">
        <v>4.41E-2</v>
      </c>
      <c r="AF1784" t="s">
        <v>2589</v>
      </c>
      <c r="AG1784" t="s">
        <v>2590</v>
      </c>
    </row>
    <row r="1785" spans="1:33">
      <c r="A1785" s="2" t="s">
        <v>83</v>
      </c>
      <c r="B1785" s="2" t="s">
        <v>79</v>
      </c>
      <c r="C1785" s="1">
        <v>0.51815179099999997</v>
      </c>
      <c r="D1785">
        <v>0.50115949400000004</v>
      </c>
      <c r="E1785">
        <v>0.68053170600000001</v>
      </c>
      <c r="F1785" s="1" t="s">
        <v>84</v>
      </c>
      <c r="G1785" s="1">
        <v>1.760323887</v>
      </c>
      <c r="H1785" s="1">
        <v>83.4</v>
      </c>
      <c r="I1785" s="1">
        <v>123.5</v>
      </c>
      <c r="J1785" s="1">
        <v>0.56661433033333342</v>
      </c>
      <c r="K1785" s="1">
        <v>0.63652882899999996</v>
      </c>
      <c r="L1785" s="1">
        <v>0.77536518600000004</v>
      </c>
      <c r="M1785" s="3">
        <v>0.610415606</v>
      </c>
      <c r="N1785" s="1" t="s">
        <v>80</v>
      </c>
      <c r="O1785" s="1">
        <v>0.95325542600000002</v>
      </c>
      <c r="P1785" s="1">
        <v>45.6</v>
      </c>
      <c r="Q1785" s="1">
        <v>119.8</v>
      </c>
      <c r="R1785" s="1">
        <v>0.67410320700000004</v>
      </c>
      <c r="S1785" s="1">
        <v>0.30678681870325247</v>
      </c>
      <c r="T1785" t="s">
        <v>1932</v>
      </c>
      <c r="U1785" s="1">
        <v>4358</v>
      </c>
      <c r="V1785">
        <f t="shared" si="108"/>
        <v>0.40436524732335966</v>
      </c>
      <c r="W1785" s="1">
        <f t="shared" si="109"/>
        <v>37.800000000000004</v>
      </c>
      <c r="X1785">
        <f t="shared" si="110"/>
        <v>0.80706846099999996</v>
      </c>
      <c r="Y1785">
        <f t="shared" si="111"/>
        <v>3.7000000000000028</v>
      </c>
      <c r="Z1785" s="1">
        <v>1</v>
      </c>
      <c r="AA1785">
        <v>99</v>
      </c>
      <c r="AB1785">
        <v>1.01E-2</v>
      </c>
      <c r="AC1785">
        <v>2</v>
      </c>
      <c r="AD1785">
        <v>60</v>
      </c>
      <c r="AE1785">
        <v>3.3300000000000003E-2</v>
      </c>
      <c r="AF1785" t="s">
        <v>2589</v>
      </c>
      <c r="AG1785" t="s">
        <v>2590</v>
      </c>
    </row>
    <row r="1786" spans="1:33">
      <c r="A1786" s="2" t="s">
        <v>83</v>
      </c>
      <c r="B1786" s="2" t="s">
        <v>81</v>
      </c>
      <c r="C1786" s="1">
        <v>0.51815179099999997</v>
      </c>
      <c r="D1786">
        <v>0.50115949400000004</v>
      </c>
      <c r="E1786">
        <v>0.68053170600000001</v>
      </c>
      <c r="F1786" s="1" t="s">
        <v>84</v>
      </c>
      <c r="G1786" s="1">
        <v>1.760323887</v>
      </c>
      <c r="H1786" s="1">
        <v>83.4</v>
      </c>
      <c r="I1786" s="1">
        <v>123.5</v>
      </c>
      <c r="J1786" s="1">
        <v>0.56661433033333342</v>
      </c>
      <c r="K1786" s="1">
        <v>0.50183280699999999</v>
      </c>
      <c r="L1786" s="1">
        <v>0.68550824600000004</v>
      </c>
      <c r="M1786" s="3">
        <v>0.66941488999999998</v>
      </c>
      <c r="N1786" s="1" t="s">
        <v>82</v>
      </c>
      <c r="O1786" s="1">
        <v>1.4359576970000001</v>
      </c>
      <c r="P1786" s="1">
        <v>51</v>
      </c>
      <c r="Q1786" s="1">
        <v>85.1</v>
      </c>
      <c r="R1786" s="1">
        <v>0.61891864766666671</v>
      </c>
      <c r="S1786" s="1">
        <v>0.18540322327491401</v>
      </c>
      <c r="T1786" t="s">
        <v>1933</v>
      </c>
      <c r="U1786" s="1">
        <v>13202</v>
      </c>
      <c r="V1786">
        <f t="shared" si="108"/>
        <v>0.45784885871284076</v>
      </c>
      <c r="W1786" s="1">
        <f t="shared" si="109"/>
        <v>32.400000000000006</v>
      </c>
      <c r="X1786">
        <f t="shared" si="110"/>
        <v>0.32436618999999989</v>
      </c>
      <c r="Y1786">
        <f t="shared" si="111"/>
        <v>38.400000000000006</v>
      </c>
      <c r="Z1786" s="1">
        <v>0</v>
      </c>
      <c r="AA1786">
        <v>100</v>
      </c>
      <c r="AB1786">
        <v>0</v>
      </c>
      <c r="AC1786">
        <v>0</v>
      </c>
      <c r="AD1786">
        <v>73</v>
      </c>
      <c r="AE1786">
        <v>0</v>
      </c>
      <c r="AF1786" t="s">
        <v>2589</v>
      </c>
      <c r="AG1786" t="s">
        <v>2589</v>
      </c>
    </row>
    <row r="1787" spans="1:33">
      <c r="A1787" s="2" t="s">
        <v>81</v>
      </c>
      <c r="B1787" s="2" t="s">
        <v>10</v>
      </c>
      <c r="C1787" s="1">
        <v>0.50183280699999999</v>
      </c>
      <c r="D1787">
        <v>0.68550824600000004</v>
      </c>
      <c r="E1787">
        <v>0.66941488999999998</v>
      </c>
      <c r="F1787" s="1" t="s">
        <v>82</v>
      </c>
      <c r="G1787" s="1">
        <v>1.4359576970000001</v>
      </c>
      <c r="H1787" s="1">
        <v>51</v>
      </c>
      <c r="I1787" s="1">
        <v>85.1</v>
      </c>
      <c r="J1787" s="1">
        <v>0.61891864766666671</v>
      </c>
      <c r="K1787" s="1">
        <v>0.52456325500000001</v>
      </c>
      <c r="L1787" s="1">
        <v>0.61925627999999999</v>
      </c>
      <c r="M1787" s="3">
        <v>0.72111139899999999</v>
      </c>
      <c r="N1787" s="1" t="s">
        <v>12</v>
      </c>
      <c r="O1787" s="1">
        <v>0.61690647499999995</v>
      </c>
      <c r="P1787" s="1">
        <v>30</v>
      </c>
      <c r="Q1787" s="1">
        <v>111.2</v>
      </c>
      <c r="R1787" s="1">
        <v>0.62164364466666666</v>
      </c>
      <c r="S1787" s="1">
        <v>8.705472593680913E-2</v>
      </c>
      <c r="T1787" t="s">
        <v>1934</v>
      </c>
      <c r="U1787" s="1">
        <v>805</v>
      </c>
      <c r="V1787">
        <f t="shared" si="108"/>
        <v>0.3228662089297632</v>
      </c>
      <c r="W1787" s="1">
        <f t="shared" si="109"/>
        <v>21</v>
      </c>
      <c r="X1787">
        <f t="shared" si="110"/>
        <v>0.81905122200000013</v>
      </c>
      <c r="Y1787">
        <f t="shared" si="111"/>
        <v>26.100000000000009</v>
      </c>
      <c r="Z1787" s="1">
        <v>0</v>
      </c>
      <c r="AA1787">
        <v>100</v>
      </c>
      <c r="AB1787">
        <v>0</v>
      </c>
      <c r="AC1787">
        <v>0</v>
      </c>
      <c r="AD1787">
        <v>146</v>
      </c>
      <c r="AE1787">
        <v>0</v>
      </c>
      <c r="AF1787" t="s">
        <v>2589</v>
      </c>
      <c r="AG1787" t="s">
        <v>2588</v>
      </c>
    </row>
    <row r="1788" spans="1:33">
      <c r="A1788" s="2" t="s">
        <v>81</v>
      </c>
      <c r="B1788" s="2" t="s">
        <v>13</v>
      </c>
      <c r="C1788" s="1">
        <v>0.50183280699999999</v>
      </c>
      <c r="D1788">
        <v>0.68550824600000004</v>
      </c>
      <c r="E1788">
        <v>0.66941488999999998</v>
      </c>
      <c r="F1788" s="1" t="s">
        <v>82</v>
      </c>
      <c r="G1788" s="1">
        <v>1.4359576970000001</v>
      </c>
      <c r="H1788" s="1">
        <v>51</v>
      </c>
      <c r="I1788" s="1">
        <v>85.1</v>
      </c>
      <c r="J1788" s="1">
        <v>0.61891864766666671</v>
      </c>
      <c r="K1788" s="1">
        <v>0.48695497399999998</v>
      </c>
      <c r="L1788" s="1">
        <v>0.54991327199999995</v>
      </c>
      <c r="M1788" s="3">
        <v>0.67282609299999996</v>
      </c>
      <c r="N1788" s="1" t="s">
        <v>14</v>
      </c>
      <c r="O1788" s="1">
        <v>1.6052009460000001</v>
      </c>
      <c r="P1788" s="1">
        <v>26.6</v>
      </c>
      <c r="Q1788" s="1">
        <v>42.3</v>
      </c>
      <c r="R1788" s="1">
        <v>0.56989811299999993</v>
      </c>
      <c r="S1788" s="1">
        <v>0.1364513949900982</v>
      </c>
      <c r="T1788" t="s">
        <v>1935</v>
      </c>
      <c r="U1788" s="1">
        <v>244</v>
      </c>
      <c r="V1788">
        <f t="shared" si="108"/>
        <v>0.26526553625985883</v>
      </c>
      <c r="W1788" s="1">
        <f t="shared" si="109"/>
        <v>24.4</v>
      </c>
      <c r="X1788">
        <f t="shared" si="110"/>
        <v>0.16924324899999998</v>
      </c>
      <c r="Y1788">
        <f t="shared" si="111"/>
        <v>42.8</v>
      </c>
      <c r="Z1788" s="1">
        <v>0</v>
      </c>
      <c r="AA1788">
        <v>100</v>
      </c>
      <c r="AB1788">
        <v>0</v>
      </c>
      <c r="AC1788">
        <v>0</v>
      </c>
      <c r="AD1788">
        <v>93</v>
      </c>
      <c r="AE1788">
        <v>0</v>
      </c>
      <c r="AF1788" t="s">
        <v>2589</v>
      </c>
      <c r="AG1788" t="s">
        <v>2590</v>
      </c>
    </row>
    <row r="1789" spans="1:33">
      <c r="A1789" s="2" t="s">
        <v>81</v>
      </c>
      <c r="B1789" s="2" t="s">
        <v>15</v>
      </c>
      <c r="C1789" s="1">
        <v>0.50183280699999999</v>
      </c>
      <c r="D1789">
        <v>0.68550824600000004</v>
      </c>
      <c r="E1789">
        <v>0.66941488999999998</v>
      </c>
      <c r="F1789" s="1" t="s">
        <v>82</v>
      </c>
      <c r="G1789" s="1">
        <v>1.4359576970000001</v>
      </c>
      <c r="H1789" s="1">
        <v>51</v>
      </c>
      <c r="I1789" s="1">
        <v>85.1</v>
      </c>
      <c r="J1789" s="1">
        <v>0.61891864766666671</v>
      </c>
      <c r="K1789" s="1">
        <v>0.54560998800000005</v>
      </c>
      <c r="L1789" s="1">
        <v>0.66721428400000005</v>
      </c>
      <c r="M1789" s="3">
        <v>0.72650398400000005</v>
      </c>
      <c r="N1789" s="1" t="s">
        <v>16</v>
      </c>
      <c r="O1789" s="1">
        <v>5.1392405060000002</v>
      </c>
      <c r="P1789" s="1">
        <v>35.9</v>
      </c>
      <c r="Q1789" s="1">
        <v>15.8</v>
      </c>
      <c r="R1789" s="1">
        <v>0.64644275200000012</v>
      </c>
      <c r="S1789" s="1">
        <v>7.4231228439956803E-2</v>
      </c>
      <c r="T1789" t="s">
        <v>1936</v>
      </c>
      <c r="U1789" s="1">
        <v>3664</v>
      </c>
      <c r="V1789">
        <f t="shared" si="108"/>
        <v>0.39599505166620141</v>
      </c>
      <c r="W1789" s="1">
        <f t="shared" si="109"/>
        <v>15.100000000000001</v>
      </c>
      <c r="X1789">
        <f t="shared" si="110"/>
        <v>3.7032828090000001</v>
      </c>
      <c r="Y1789">
        <f t="shared" si="111"/>
        <v>69.3</v>
      </c>
      <c r="Z1789" s="1">
        <v>3</v>
      </c>
      <c r="AA1789">
        <v>97</v>
      </c>
      <c r="AB1789">
        <v>3.09E-2</v>
      </c>
      <c r="AC1789">
        <v>3</v>
      </c>
      <c r="AD1789">
        <v>86</v>
      </c>
      <c r="AE1789">
        <v>3.49E-2</v>
      </c>
      <c r="AF1789" t="s">
        <v>2589</v>
      </c>
      <c r="AG1789" t="s">
        <v>2591</v>
      </c>
    </row>
    <row r="1790" spans="1:33">
      <c r="A1790" s="2" t="s">
        <v>81</v>
      </c>
      <c r="B1790" s="2" t="s">
        <v>17</v>
      </c>
      <c r="C1790" s="1">
        <v>0.50183280699999999</v>
      </c>
      <c r="D1790">
        <v>0.68550824600000004</v>
      </c>
      <c r="E1790">
        <v>0.66941488999999998</v>
      </c>
      <c r="F1790" s="1" t="s">
        <v>82</v>
      </c>
      <c r="G1790" s="1">
        <v>1.4359576970000001</v>
      </c>
      <c r="H1790" s="1">
        <v>51</v>
      </c>
      <c r="I1790" s="1">
        <v>85.1</v>
      </c>
      <c r="J1790" s="1">
        <v>0.61891864766666671</v>
      </c>
      <c r="K1790" s="1">
        <v>0.659112378</v>
      </c>
      <c r="L1790" s="1">
        <v>0.68333493499999998</v>
      </c>
      <c r="M1790" s="3">
        <v>0.70345495199999997</v>
      </c>
      <c r="N1790" s="1" t="s">
        <v>18</v>
      </c>
      <c r="O1790" s="1">
        <v>1.9463955639999999</v>
      </c>
      <c r="P1790" s="1">
        <v>46.3</v>
      </c>
      <c r="Q1790" s="1">
        <v>54.1</v>
      </c>
      <c r="R1790" s="1">
        <v>0.68196742166666668</v>
      </c>
      <c r="S1790" s="1">
        <v>0.16093574045441431</v>
      </c>
      <c r="T1790" t="s">
        <v>1937</v>
      </c>
      <c r="U1790" s="1">
        <v>4986</v>
      </c>
      <c r="V1790">
        <f t="shared" si="108"/>
        <v>0.41086136379641719</v>
      </c>
      <c r="W1790" s="1">
        <f t="shared" si="109"/>
        <v>4.7000000000000028</v>
      </c>
      <c r="X1790">
        <f t="shared" si="110"/>
        <v>0.51043786699999982</v>
      </c>
      <c r="Y1790">
        <f t="shared" si="111"/>
        <v>30.999999999999993</v>
      </c>
      <c r="Z1790" s="1">
        <v>3</v>
      </c>
      <c r="AA1790">
        <v>97</v>
      </c>
      <c r="AB1790">
        <v>3.09E-2</v>
      </c>
      <c r="AC1790">
        <v>3</v>
      </c>
      <c r="AD1790">
        <v>100</v>
      </c>
      <c r="AE1790">
        <v>0.03</v>
      </c>
      <c r="AF1790" t="s">
        <v>2589</v>
      </c>
      <c r="AG1790" t="s">
        <v>2591</v>
      </c>
    </row>
    <row r="1791" spans="1:33">
      <c r="A1791" s="2" t="s">
        <v>81</v>
      </c>
      <c r="B1791" s="2" t="s">
        <v>19</v>
      </c>
      <c r="C1791" s="1">
        <v>0.50183280699999999</v>
      </c>
      <c r="D1791">
        <v>0.68550824600000004</v>
      </c>
      <c r="E1791">
        <v>0.66941488999999998</v>
      </c>
      <c r="F1791" s="1" t="s">
        <v>82</v>
      </c>
      <c r="G1791" s="1">
        <v>1.4359576970000001</v>
      </c>
      <c r="H1791" s="1">
        <v>51</v>
      </c>
      <c r="I1791" s="1">
        <v>85.1</v>
      </c>
      <c r="J1791" s="1">
        <v>0.61891864766666671</v>
      </c>
      <c r="K1791" s="1">
        <v>0.49391595300000002</v>
      </c>
      <c r="L1791" s="1">
        <v>0.603599314</v>
      </c>
      <c r="M1791" s="3">
        <v>0.63481471599999995</v>
      </c>
      <c r="N1791" s="1" t="s">
        <v>20</v>
      </c>
      <c r="O1791" s="1">
        <v>1.2140902870000001</v>
      </c>
      <c r="P1791" s="1">
        <v>64.900000000000006</v>
      </c>
      <c r="Q1791" s="1">
        <v>146.19999999999999</v>
      </c>
      <c r="R1791" s="1">
        <v>0.57744332766666662</v>
      </c>
      <c r="S1791" s="1">
        <v>8.9268817397052072E-2</v>
      </c>
      <c r="T1791" t="s">
        <v>1938</v>
      </c>
      <c r="U1791" s="1">
        <v>3606</v>
      </c>
      <c r="V1791">
        <f t="shared" si="108"/>
        <v>0.39522508026515368</v>
      </c>
      <c r="W1791" s="1">
        <f t="shared" si="109"/>
        <v>13.900000000000006</v>
      </c>
      <c r="X1791">
        <f t="shared" si="110"/>
        <v>0.22186740999999999</v>
      </c>
      <c r="Y1791">
        <f t="shared" si="111"/>
        <v>61.099999999999994</v>
      </c>
      <c r="Z1791" s="1">
        <v>1</v>
      </c>
      <c r="AA1791">
        <v>99</v>
      </c>
      <c r="AB1791">
        <v>1.01E-2</v>
      </c>
      <c r="AC1791">
        <v>1</v>
      </c>
      <c r="AD1791">
        <v>82</v>
      </c>
      <c r="AE1791">
        <v>1.2200000000000001E-2</v>
      </c>
      <c r="AF1791" t="s">
        <v>2589</v>
      </c>
      <c r="AG1791" t="s">
        <v>2593</v>
      </c>
    </row>
    <row r="1792" spans="1:33">
      <c r="A1792" s="2" t="s">
        <v>81</v>
      </c>
      <c r="B1792" s="2" t="s">
        <v>21</v>
      </c>
      <c r="C1792" s="1">
        <v>0.50183280699999999</v>
      </c>
      <c r="D1792">
        <v>0.68550824600000004</v>
      </c>
      <c r="E1792">
        <v>0.66941488999999998</v>
      </c>
      <c r="F1792" s="1" t="s">
        <v>82</v>
      </c>
      <c r="G1792" s="1">
        <v>1.4359576970000001</v>
      </c>
      <c r="H1792" s="1">
        <v>51</v>
      </c>
      <c r="I1792" s="1">
        <v>85.1</v>
      </c>
      <c r="J1792" s="1">
        <v>0.61891864766666671</v>
      </c>
      <c r="K1792" s="1">
        <v>0.53276376800000003</v>
      </c>
      <c r="L1792" s="1">
        <v>0.65428149899999999</v>
      </c>
      <c r="M1792" s="3">
        <v>0.70160154799999996</v>
      </c>
      <c r="N1792" s="1" t="s">
        <v>22</v>
      </c>
      <c r="O1792" s="1">
        <v>1.2440604749999999</v>
      </c>
      <c r="P1792" s="1">
        <v>24.6</v>
      </c>
      <c r="Q1792" s="1">
        <v>46.3</v>
      </c>
      <c r="R1792" s="1">
        <v>0.62954893833333336</v>
      </c>
      <c r="S1792" s="1">
        <v>5.4477656243587594E-2</v>
      </c>
      <c r="T1792" t="s">
        <v>1939</v>
      </c>
      <c r="U1792" s="1">
        <v>14567</v>
      </c>
      <c r="V1792">
        <f t="shared" si="108"/>
        <v>0.46259668002509824</v>
      </c>
      <c r="W1792" s="1">
        <f t="shared" si="109"/>
        <v>26.4</v>
      </c>
      <c r="X1792">
        <f t="shared" si="110"/>
        <v>0.19189722200000014</v>
      </c>
      <c r="Y1792">
        <f t="shared" si="111"/>
        <v>38.799999999999997</v>
      </c>
      <c r="Z1792" s="1">
        <v>0</v>
      </c>
      <c r="AA1792">
        <v>100</v>
      </c>
      <c r="AB1792">
        <v>0</v>
      </c>
      <c r="AC1792">
        <v>0</v>
      </c>
      <c r="AD1792">
        <v>89</v>
      </c>
      <c r="AE1792">
        <v>0</v>
      </c>
      <c r="AF1792" t="s">
        <v>2589</v>
      </c>
      <c r="AG1792" t="s">
        <v>2589</v>
      </c>
    </row>
    <row r="1793" spans="1:33">
      <c r="A1793" s="2" t="s">
        <v>81</v>
      </c>
      <c r="B1793" s="2" t="s">
        <v>23</v>
      </c>
      <c r="C1793" s="1">
        <v>0.50183280699999999</v>
      </c>
      <c r="D1793">
        <v>0.68550824600000004</v>
      </c>
      <c r="E1793">
        <v>0.66941488999999998</v>
      </c>
      <c r="F1793" s="1" t="s">
        <v>82</v>
      </c>
      <c r="G1793" s="1">
        <v>1.4359576970000001</v>
      </c>
      <c r="H1793" s="1">
        <v>51</v>
      </c>
      <c r="I1793" s="1">
        <v>85.1</v>
      </c>
      <c r="J1793" s="1">
        <v>0.61891864766666671</v>
      </c>
      <c r="K1793" s="1">
        <v>0.49415677200000002</v>
      </c>
      <c r="L1793" s="1">
        <v>0.62090818999999997</v>
      </c>
      <c r="M1793" s="3">
        <v>0.63381026900000004</v>
      </c>
      <c r="N1793" s="1" t="s">
        <v>24</v>
      </c>
      <c r="O1793" s="1">
        <v>1.141304348</v>
      </c>
      <c r="P1793" s="1">
        <v>44.4</v>
      </c>
      <c r="Q1793" s="1">
        <v>101.2</v>
      </c>
      <c r="R1793" s="1">
        <v>0.58295841033333329</v>
      </c>
      <c r="S1793" s="1">
        <v>7.4160486683125318E-2</v>
      </c>
      <c r="T1793" t="s">
        <v>1940</v>
      </c>
      <c r="U1793" s="1">
        <v>909</v>
      </c>
      <c r="V1793">
        <f t="shared" si="108"/>
        <v>0.3287293203579964</v>
      </c>
      <c r="W1793" s="1">
        <f t="shared" si="109"/>
        <v>6.6000000000000014</v>
      </c>
      <c r="X1793">
        <f t="shared" si="110"/>
        <v>0.29465334900000006</v>
      </c>
      <c r="Y1793">
        <f t="shared" si="111"/>
        <v>16.100000000000009</v>
      </c>
      <c r="Z1793" s="1">
        <v>0</v>
      </c>
      <c r="AA1793">
        <v>100</v>
      </c>
      <c r="AB1793">
        <v>0</v>
      </c>
      <c r="AC1793">
        <v>0</v>
      </c>
      <c r="AD1793">
        <v>85</v>
      </c>
      <c r="AE1793">
        <v>0</v>
      </c>
      <c r="AF1793" t="s">
        <v>2589</v>
      </c>
      <c r="AG1793" t="s">
        <v>2590</v>
      </c>
    </row>
    <row r="1794" spans="1:33">
      <c r="A1794" s="2" t="s">
        <v>81</v>
      </c>
      <c r="B1794" s="2" t="s">
        <v>25</v>
      </c>
      <c r="C1794" s="1">
        <v>0.50183280699999999</v>
      </c>
      <c r="D1794">
        <v>0.68550824600000004</v>
      </c>
      <c r="E1794">
        <v>0.66941488999999998</v>
      </c>
      <c r="F1794" s="1" t="s">
        <v>82</v>
      </c>
      <c r="G1794" s="1">
        <v>1.4359576970000001</v>
      </c>
      <c r="H1794" s="1">
        <v>51</v>
      </c>
      <c r="I1794" s="1">
        <v>85.1</v>
      </c>
      <c r="J1794" s="1">
        <v>0.61891864766666671</v>
      </c>
      <c r="K1794" s="1">
        <v>0.53959274199999996</v>
      </c>
      <c r="L1794" s="1">
        <v>0.64971567399999997</v>
      </c>
      <c r="M1794" s="3">
        <v>0.65028459999999999</v>
      </c>
      <c r="N1794" s="1" t="s">
        <v>26</v>
      </c>
      <c r="O1794" s="1">
        <v>1.623046875</v>
      </c>
      <c r="P1794" s="1">
        <v>34.700000000000003</v>
      </c>
      <c r="Q1794" s="1">
        <v>51.2</v>
      </c>
      <c r="R1794" s="1">
        <v>0.61319767199999997</v>
      </c>
      <c r="S1794" s="1">
        <v>5.5433644089699821E-2</v>
      </c>
      <c r="T1794" t="s">
        <v>1941</v>
      </c>
      <c r="U1794" s="1">
        <v>1745</v>
      </c>
      <c r="V1794">
        <f t="shared" ref="V1794:V1857" si="112">LOG10(U1794) / 9</f>
        <v>0.36019949236613319</v>
      </c>
      <c r="W1794" s="1">
        <f t="shared" ref="W1794:W1857" si="113">ABS(H1794-P1794)</f>
        <v>16.299999999999997</v>
      </c>
      <c r="X1794">
        <f t="shared" ref="X1794:X1857" si="114">ABS(G1794-O1794)</f>
        <v>0.18708917799999991</v>
      </c>
      <c r="Y1794">
        <f t="shared" ref="Y1794:Y1857" si="115">ABS(I1794-Q1794)</f>
        <v>33.899999999999991</v>
      </c>
      <c r="Z1794" s="1">
        <v>0</v>
      </c>
      <c r="AA1794">
        <v>100</v>
      </c>
      <c r="AB1794">
        <v>0</v>
      </c>
      <c r="AC1794">
        <v>0</v>
      </c>
      <c r="AD1794">
        <v>87</v>
      </c>
      <c r="AE1794">
        <v>0</v>
      </c>
      <c r="AF1794" t="s">
        <v>2589</v>
      </c>
      <c r="AG1794" t="s">
        <v>2594</v>
      </c>
    </row>
    <row r="1795" spans="1:33">
      <c r="A1795" s="2" t="s">
        <v>81</v>
      </c>
      <c r="B1795" s="2" t="s">
        <v>27</v>
      </c>
      <c r="C1795" s="1">
        <v>0.50183280699999999</v>
      </c>
      <c r="D1795">
        <v>0.68550824600000004</v>
      </c>
      <c r="E1795">
        <v>0.66941488999999998</v>
      </c>
      <c r="F1795" s="1" t="s">
        <v>82</v>
      </c>
      <c r="G1795" s="1">
        <v>1.4359576970000001</v>
      </c>
      <c r="H1795" s="1">
        <v>51</v>
      </c>
      <c r="I1795" s="1">
        <v>85.1</v>
      </c>
      <c r="J1795" s="1">
        <v>0.61891864766666671</v>
      </c>
      <c r="K1795" s="1">
        <v>0.518608662</v>
      </c>
      <c r="L1795" s="1">
        <v>0.64320369700000002</v>
      </c>
      <c r="M1795" s="3">
        <v>0.62228994199999998</v>
      </c>
      <c r="N1795" s="1" t="s">
        <v>28</v>
      </c>
      <c r="O1795" s="1">
        <v>1.8717391299999999</v>
      </c>
      <c r="P1795" s="1">
        <v>33.700000000000003</v>
      </c>
      <c r="Q1795" s="1">
        <v>46</v>
      </c>
      <c r="R1795" s="1">
        <v>0.59470076699999996</v>
      </c>
      <c r="S1795" s="1">
        <v>6.5512326329303344E-2</v>
      </c>
      <c r="T1795" t="s">
        <v>1942</v>
      </c>
      <c r="U1795" s="1">
        <v>774</v>
      </c>
      <c r="V1795">
        <f t="shared" si="112"/>
        <v>0.32097121785365473</v>
      </c>
      <c r="W1795" s="1">
        <f t="shared" si="113"/>
        <v>17.299999999999997</v>
      </c>
      <c r="X1795">
        <f t="shared" si="114"/>
        <v>0.43578143299999983</v>
      </c>
      <c r="Y1795">
        <f t="shared" si="115"/>
        <v>39.099999999999994</v>
      </c>
      <c r="Z1795" s="1">
        <v>0</v>
      </c>
      <c r="AA1795">
        <v>100</v>
      </c>
      <c r="AB1795">
        <v>0</v>
      </c>
      <c r="AC1795">
        <v>0</v>
      </c>
      <c r="AD1795">
        <v>94</v>
      </c>
      <c r="AE1795">
        <v>0</v>
      </c>
      <c r="AF1795" t="s">
        <v>2589</v>
      </c>
      <c r="AG1795" t="s">
        <v>2590</v>
      </c>
    </row>
    <row r="1796" spans="1:33">
      <c r="A1796" s="2" t="s">
        <v>81</v>
      </c>
      <c r="B1796" s="2" t="s">
        <v>29</v>
      </c>
      <c r="C1796" s="1">
        <v>0.50183280699999999</v>
      </c>
      <c r="D1796">
        <v>0.68550824600000004</v>
      </c>
      <c r="E1796">
        <v>0.66941488999999998</v>
      </c>
      <c r="F1796" s="1" t="s">
        <v>82</v>
      </c>
      <c r="G1796" s="1">
        <v>1.4359576970000001</v>
      </c>
      <c r="H1796" s="1">
        <v>51</v>
      </c>
      <c r="I1796" s="1">
        <v>85.1</v>
      </c>
      <c r="J1796" s="1">
        <v>0.61891864766666671</v>
      </c>
      <c r="K1796" s="1">
        <v>0.59351545100000003</v>
      </c>
      <c r="L1796" s="1">
        <v>0.68136602400000001</v>
      </c>
      <c r="M1796" s="3">
        <v>0.73518087600000004</v>
      </c>
      <c r="N1796" s="1" t="s">
        <v>30</v>
      </c>
      <c r="O1796" s="1">
        <v>2.849112426</v>
      </c>
      <c r="P1796" s="1">
        <v>37.9</v>
      </c>
      <c r="Q1796" s="1">
        <v>33.799999999999997</v>
      </c>
      <c r="R1796" s="1">
        <v>0.67002078366666673</v>
      </c>
      <c r="S1796" s="1">
        <v>0.11290717483171843</v>
      </c>
      <c r="T1796" t="s">
        <v>1943</v>
      </c>
      <c r="U1796" s="1">
        <v>6212</v>
      </c>
      <c r="V1796">
        <f t="shared" si="112"/>
        <v>0.42147016078405786</v>
      </c>
      <c r="W1796" s="1">
        <f t="shared" si="113"/>
        <v>13.100000000000001</v>
      </c>
      <c r="X1796">
        <f t="shared" si="114"/>
        <v>1.4131547289999999</v>
      </c>
      <c r="Y1796">
        <f t="shared" si="115"/>
        <v>51.3</v>
      </c>
      <c r="Z1796" s="1">
        <v>3</v>
      </c>
      <c r="AA1796">
        <v>97</v>
      </c>
      <c r="AB1796">
        <v>3.09E-2</v>
      </c>
      <c r="AC1796">
        <v>3</v>
      </c>
      <c r="AD1796">
        <v>80</v>
      </c>
      <c r="AE1796">
        <v>3.7499999999999999E-2</v>
      </c>
      <c r="AF1796" t="s">
        <v>2589</v>
      </c>
      <c r="AG1796" t="s">
        <v>2593</v>
      </c>
    </row>
    <row r="1797" spans="1:33">
      <c r="A1797" s="2" t="s">
        <v>81</v>
      </c>
      <c r="B1797" s="2" t="s">
        <v>31</v>
      </c>
      <c r="C1797" s="1">
        <v>0.50183280699999999</v>
      </c>
      <c r="D1797">
        <v>0.68550824600000004</v>
      </c>
      <c r="E1797">
        <v>0.66941488999999998</v>
      </c>
      <c r="F1797" s="1" t="s">
        <v>82</v>
      </c>
      <c r="G1797" s="1">
        <v>1.4359576970000001</v>
      </c>
      <c r="H1797" s="1">
        <v>51</v>
      </c>
      <c r="I1797" s="1">
        <v>85.1</v>
      </c>
      <c r="J1797" s="1">
        <v>0.61891864766666671</v>
      </c>
      <c r="K1797" s="1">
        <v>0.47727961800000002</v>
      </c>
      <c r="L1797" s="1">
        <v>0.66941086400000005</v>
      </c>
      <c r="M1797" s="3">
        <v>0.69294815300000001</v>
      </c>
      <c r="N1797" s="1" t="s">
        <v>32</v>
      </c>
      <c r="O1797" s="1">
        <v>1.341891892</v>
      </c>
      <c r="P1797" s="1">
        <v>42.1</v>
      </c>
      <c r="Q1797" s="1">
        <v>74</v>
      </c>
      <c r="R1797" s="1">
        <v>0.61321287833333338</v>
      </c>
      <c r="S1797" s="1">
        <v>3.762710811038783E-2</v>
      </c>
      <c r="T1797" t="s">
        <v>1944</v>
      </c>
      <c r="U1797" s="1">
        <v>5877</v>
      </c>
      <c r="V1797">
        <f t="shared" si="112"/>
        <v>0.41879507674604427</v>
      </c>
      <c r="W1797" s="1">
        <f t="shared" si="113"/>
        <v>8.8999999999999986</v>
      </c>
      <c r="X1797">
        <f t="shared" si="114"/>
        <v>9.4065805000000058E-2</v>
      </c>
      <c r="Y1797">
        <f t="shared" si="115"/>
        <v>11.099999999999994</v>
      </c>
      <c r="Z1797" s="1">
        <v>0</v>
      </c>
      <c r="AA1797">
        <v>100</v>
      </c>
      <c r="AB1797">
        <v>0</v>
      </c>
      <c r="AC1797">
        <v>0</v>
      </c>
      <c r="AD1797">
        <v>91</v>
      </c>
      <c r="AE1797">
        <v>0</v>
      </c>
      <c r="AF1797" t="s">
        <v>2589</v>
      </c>
      <c r="AG1797" t="s">
        <v>2589</v>
      </c>
    </row>
    <row r="1798" spans="1:33">
      <c r="A1798" s="2" t="s">
        <v>81</v>
      </c>
      <c r="B1798" s="2" t="s">
        <v>33</v>
      </c>
      <c r="C1798" s="1">
        <v>0.50183280699999999</v>
      </c>
      <c r="D1798">
        <v>0.68550824600000004</v>
      </c>
      <c r="E1798">
        <v>0.66941488999999998</v>
      </c>
      <c r="F1798" s="1" t="s">
        <v>82</v>
      </c>
      <c r="G1798" s="1">
        <v>1.4359576970000001</v>
      </c>
      <c r="H1798" s="1">
        <v>51</v>
      </c>
      <c r="I1798" s="1">
        <v>85.1</v>
      </c>
      <c r="J1798" s="1">
        <v>0.61891864766666671</v>
      </c>
      <c r="K1798" s="1">
        <v>0.51347926600000005</v>
      </c>
      <c r="L1798" s="1">
        <v>0.63144379399999995</v>
      </c>
      <c r="M1798" s="3">
        <v>0.64189093500000005</v>
      </c>
      <c r="N1798" s="1" t="s">
        <v>34</v>
      </c>
      <c r="O1798" s="1">
        <v>2.3123667380000001</v>
      </c>
      <c r="P1798" s="1">
        <v>79.099999999999994</v>
      </c>
      <c r="Q1798" s="1">
        <v>93.8</v>
      </c>
      <c r="R1798" s="1">
        <v>0.59560466500000009</v>
      </c>
      <c r="S1798" s="1">
        <v>6.1775181716778607E-2</v>
      </c>
      <c r="T1798" t="s">
        <v>1945</v>
      </c>
      <c r="U1798" s="1">
        <v>4362</v>
      </c>
      <c r="V1798">
        <f t="shared" si="112"/>
        <v>0.4044095179158535</v>
      </c>
      <c r="W1798" s="1">
        <f t="shared" si="113"/>
        <v>28.099999999999994</v>
      </c>
      <c r="X1798">
        <f t="shared" si="114"/>
        <v>0.87640904100000006</v>
      </c>
      <c r="Y1798">
        <f t="shared" si="115"/>
        <v>8.7000000000000028</v>
      </c>
      <c r="Z1798" s="1">
        <v>0</v>
      </c>
      <c r="AA1798">
        <v>100</v>
      </c>
      <c r="AB1798">
        <v>0</v>
      </c>
      <c r="AC1798">
        <v>0</v>
      </c>
      <c r="AD1798">
        <v>85</v>
      </c>
      <c r="AE1798">
        <v>0</v>
      </c>
      <c r="AF1798" t="s">
        <v>2589</v>
      </c>
      <c r="AG1798" t="s">
        <v>2590</v>
      </c>
    </row>
    <row r="1799" spans="1:33">
      <c r="A1799" s="2" t="s">
        <v>81</v>
      </c>
      <c r="B1799" s="2" t="s">
        <v>35</v>
      </c>
      <c r="C1799" s="1">
        <v>0.50183280699999999</v>
      </c>
      <c r="D1799">
        <v>0.68550824600000004</v>
      </c>
      <c r="E1799">
        <v>0.66941488999999998</v>
      </c>
      <c r="F1799" s="1" t="s">
        <v>82</v>
      </c>
      <c r="G1799" s="1">
        <v>1.4359576970000001</v>
      </c>
      <c r="H1799" s="1">
        <v>51</v>
      </c>
      <c r="I1799" s="1">
        <v>85.1</v>
      </c>
      <c r="J1799" s="1">
        <v>0.61891864766666671</v>
      </c>
      <c r="K1799" s="1">
        <v>0.52542897600000005</v>
      </c>
      <c r="L1799" s="1">
        <v>0.60774736299999998</v>
      </c>
      <c r="M1799" s="3">
        <v>0.62585751700000003</v>
      </c>
      <c r="N1799" s="1" t="s">
        <v>36</v>
      </c>
      <c r="O1799" s="1">
        <v>0.98848810399999998</v>
      </c>
      <c r="P1799" s="1">
        <v>54.2</v>
      </c>
      <c r="Q1799" s="1">
        <v>130.30000000000001</v>
      </c>
      <c r="R1799" s="1">
        <v>0.58634461866666665</v>
      </c>
      <c r="S1799" s="1">
        <v>9.2199668432578361E-2</v>
      </c>
      <c r="T1799" t="s">
        <v>1946</v>
      </c>
      <c r="U1799" s="1">
        <v>7653</v>
      </c>
      <c r="V1799">
        <f t="shared" si="112"/>
        <v>0.43153685703660583</v>
      </c>
      <c r="W1799" s="1">
        <f t="shared" si="113"/>
        <v>3.2000000000000028</v>
      </c>
      <c r="X1799">
        <f t="shared" si="114"/>
        <v>0.44746959300000011</v>
      </c>
      <c r="Y1799">
        <f t="shared" si="115"/>
        <v>45.200000000000017</v>
      </c>
      <c r="Z1799" s="1">
        <v>0</v>
      </c>
      <c r="AA1799">
        <v>100</v>
      </c>
      <c r="AB1799">
        <v>0</v>
      </c>
      <c r="AC1799">
        <v>0</v>
      </c>
      <c r="AD1799">
        <v>84</v>
      </c>
      <c r="AE1799">
        <v>0</v>
      </c>
      <c r="AF1799" t="s">
        <v>2589</v>
      </c>
      <c r="AG1799" t="s">
        <v>2589</v>
      </c>
    </row>
    <row r="1800" spans="1:33">
      <c r="A1800" s="2" t="s">
        <v>81</v>
      </c>
      <c r="B1800" s="2" t="s">
        <v>37</v>
      </c>
      <c r="C1800" s="1">
        <v>0.50183280699999999</v>
      </c>
      <c r="D1800">
        <v>0.68550824600000004</v>
      </c>
      <c r="E1800">
        <v>0.66941488999999998</v>
      </c>
      <c r="F1800" s="1" t="s">
        <v>82</v>
      </c>
      <c r="G1800" s="1">
        <v>1.4359576970000001</v>
      </c>
      <c r="H1800" s="1">
        <v>51</v>
      </c>
      <c r="I1800" s="1">
        <v>85.1</v>
      </c>
      <c r="J1800" s="1">
        <v>0.61891864766666671</v>
      </c>
      <c r="K1800" s="1">
        <v>0.50856695500000004</v>
      </c>
      <c r="L1800" s="1">
        <v>0.654733224</v>
      </c>
      <c r="M1800" s="3">
        <v>0.61418267199999999</v>
      </c>
      <c r="N1800" s="1" t="s">
        <v>38</v>
      </c>
      <c r="O1800" s="1">
        <v>0.64065708399999999</v>
      </c>
      <c r="P1800" s="1">
        <v>41.9</v>
      </c>
      <c r="Q1800" s="1">
        <v>146.1</v>
      </c>
      <c r="R1800" s="1">
        <v>0.59249428366666679</v>
      </c>
      <c r="S1800" s="1">
        <v>6.3584971758945646E-2</v>
      </c>
      <c r="T1800" t="s">
        <v>1947</v>
      </c>
      <c r="U1800" s="1">
        <v>8176</v>
      </c>
      <c r="V1800">
        <f t="shared" si="112"/>
        <v>0.43472676475451527</v>
      </c>
      <c r="W1800" s="1">
        <f t="shared" si="113"/>
        <v>9.1000000000000014</v>
      </c>
      <c r="X1800">
        <f t="shared" si="114"/>
        <v>0.7953006130000001</v>
      </c>
      <c r="Y1800">
        <f t="shared" si="115"/>
        <v>61</v>
      </c>
      <c r="Z1800" s="1">
        <v>0</v>
      </c>
      <c r="AA1800">
        <v>100</v>
      </c>
      <c r="AB1800">
        <v>0</v>
      </c>
      <c r="AC1800">
        <v>0</v>
      </c>
      <c r="AD1800">
        <v>83</v>
      </c>
      <c r="AE1800">
        <v>0</v>
      </c>
      <c r="AF1800" t="s">
        <v>2589</v>
      </c>
      <c r="AG1800" t="s">
        <v>2590</v>
      </c>
    </row>
    <row r="1801" spans="1:33">
      <c r="A1801" s="2" t="s">
        <v>81</v>
      </c>
      <c r="B1801" s="2" t="s">
        <v>39</v>
      </c>
      <c r="C1801" s="1">
        <v>0.50183280699999999</v>
      </c>
      <c r="D1801">
        <v>0.68550824600000004</v>
      </c>
      <c r="E1801">
        <v>0.66941488999999998</v>
      </c>
      <c r="F1801" s="1" t="s">
        <v>82</v>
      </c>
      <c r="G1801" s="1">
        <v>1.4359576970000001</v>
      </c>
      <c r="H1801" s="1">
        <v>51</v>
      </c>
      <c r="I1801" s="1">
        <v>85.1</v>
      </c>
      <c r="J1801" s="1">
        <v>0.61891864766666671</v>
      </c>
      <c r="K1801" s="1">
        <v>0.60811616199999996</v>
      </c>
      <c r="L1801" s="1">
        <v>0.721105683</v>
      </c>
      <c r="M1801" s="3">
        <v>0.741016169</v>
      </c>
      <c r="N1801" s="1" t="s">
        <v>40</v>
      </c>
      <c r="O1801" s="1">
        <v>1.0601915180000001</v>
      </c>
      <c r="P1801" s="1">
        <v>34</v>
      </c>
      <c r="Q1801" s="1">
        <v>73.099999999999994</v>
      </c>
      <c r="R1801" s="1">
        <v>0.69007933799999999</v>
      </c>
      <c r="S1801" s="1">
        <v>0.13300403086170293</v>
      </c>
      <c r="T1801" t="s">
        <v>1948</v>
      </c>
      <c r="U1801" s="1">
        <v>69327</v>
      </c>
      <c r="V1801">
        <f t="shared" si="112"/>
        <v>0.53787804525561411</v>
      </c>
      <c r="W1801" s="1">
        <f t="shared" si="113"/>
        <v>17</v>
      </c>
      <c r="X1801">
        <f t="shared" si="114"/>
        <v>0.37576617899999998</v>
      </c>
      <c r="Y1801">
        <f t="shared" si="115"/>
        <v>12</v>
      </c>
      <c r="Z1801" s="1">
        <v>0</v>
      </c>
      <c r="AA1801">
        <v>100</v>
      </c>
      <c r="AB1801">
        <v>0</v>
      </c>
      <c r="AC1801">
        <v>0</v>
      </c>
      <c r="AD1801">
        <v>86</v>
      </c>
      <c r="AE1801">
        <v>0</v>
      </c>
      <c r="AF1801" t="s">
        <v>2589</v>
      </c>
      <c r="AG1801" t="s">
        <v>2589</v>
      </c>
    </row>
    <row r="1802" spans="1:33">
      <c r="A1802" s="2" t="s">
        <v>81</v>
      </c>
      <c r="B1802" s="2" t="s">
        <v>41</v>
      </c>
      <c r="C1802" s="1">
        <v>0.50183280699999999</v>
      </c>
      <c r="D1802">
        <v>0.68550824600000004</v>
      </c>
      <c r="E1802">
        <v>0.66941488999999998</v>
      </c>
      <c r="F1802" s="1" t="s">
        <v>82</v>
      </c>
      <c r="G1802" s="1">
        <v>1.4359576970000001</v>
      </c>
      <c r="H1802" s="1">
        <v>51</v>
      </c>
      <c r="I1802" s="1">
        <v>85.1</v>
      </c>
      <c r="J1802" s="1">
        <v>0.61891864766666671</v>
      </c>
      <c r="K1802" s="1">
        <v>0.60402244999999999</v>
      </c>
      <c r="L1802" s="1">
        <v>0.669189213</v>
      </c>
      <c r="M1802" s="3">
        <v>0.69821693799999995</v>
      </c>
      <c r="N1802" s="1" t="s">
        <v>42</v>
      </c>
      <c r="O1802" s="1">
        <v>1.3243902439999999</v>
      </c>
      <c r="P1802" s="1">
        <v>23</v>
      </c>
      <c r="Q1802" s="1">
        <v>41</v>
      </c>
      <c r="R1802" s="1">
        <v>0.65714286700000002</v>
      </c>
      <c r="S1802" s="1">
        <v>0.10741783810669828</v>
      </c>
      <c r="T1802" t="s">
        <v>1949</v>
      </c>
      <c r="U1802" s="1">
        <v>4093</v>
      </c>
      <c r="V1802">
        <f t="shared" si="112"/>
        <v>0.40133797162725215</v>
      </c>
      <c r="W1802" s="1">
        <f t="shared" si="113"/>
        <v>28</v>
      </c>
      <c r="X1802">
        <f t="shared" si="114"/>
        <v>0.11156745300000015</v>
      </c>
      <c r="Y1802">
        <f t="shared" si="115"/>
        <v>44.099999999999994</v>
      </c>
      <c r="Z1802" s="1">
        <v>3</v>
      </c>
      <c r="AA1802">
        <v>97</v>
      </c>
      <c r="AB1802">
        <v>3.09E-2</v>
      </c>
      <c r="AC1802">
        <v>3</v>
      </c>
      <c r="AD1802">
        <v>97</v>
      </c>
      <c r="AE1802">
        <v>3.09E-2</v>
      </c>
      <c r="AF1802" t="s">
        <v>2589</v>
      </c>
      <c r="AG1802" t="s">
        <v>2591</v>
      </c>
    </row>
    <row r="1803" spans="1:33">
      <c r="A1803" s="2" t="s">
        <v>81</v>
      </c>
      <c r="B1803" s="2" t="s">
        <v>43</v>
      </c>
      <c r="C1803" s="1">
        <v>0.50183280699999999</v>
      </c>
      <c r="D1803">
        <v>0.68550824600000004</v>
      </c>
      <c r="E1803">
        <v>0.66941488999999998</v>
      </c>
      <c r="F1803" s="1" t="s">
        <v>82</v>
      </c>
      <c r="G1803" s="1">
        <v>1.4359576970000001</v>
      </c>
      <c r="H1803" s="1">
        <v>51</v>
      </c>
      <c r="I1803" s="1">
        <v>85.1</v>
      </c>
      <c r="J1803" s="1">
        <v>0.61891864766666671</v>
      </c>
      <c r="K1803" s="1">
        <v>0.54180634699999997</v>
      </c>
      <c r="L1803" s="1">
        <v>0.59470779900000004</v>
      </c>
      <c r="M1803" s="3">
        <v>0.69518155599999998</v>
      </c>
      <c r="N1803" s="1" t="s">
        <v>44</v>
      </c>
      <c r="O1803" s="1">
        <v>1.7403685090000001</v>
      </c>
      <c r="P1803" s="1">
        <v>41.2</v>
      </c>
      <c r="Q1803" s="1">
        <v>59.7</v>
      </c>
      <c r="R1803" s="1">
        <v>0.61056523400000007</v>
      </c>
      <c r="S1803" s="1">
        <v>0.10250134707547488</v>
      </c>
      <c r="T1803" t="s">
        <v>1950</v>
      </c>
      <c r="U1803" s="1">
        <v>11153</v>
      </c>
      <c r="V1803">
        <f t="shared" si="112"/>
        <v>0.44971018913338262</v>
      </c>
      <c r="W1803" s="1">
        <f t="shared" si="113"/>
        <v>9.7999999999999972</v>
      </c>
      <c r="X1803">
        <f t="shared" si="114"/>
        <v>0.30441081199999998</v>
      </c>
      <c r="Y1803">
        <f t="shared" si="115"/>
        <v>25.399999999999991</v>
      </c>
      <c r="Z1803" s="1">
        <v>1</v>
      </c>
      <c r="AA1803">
        <v>99</v>
      </c>
      <c r="AB1803">
        <v>1.01E-2</v>
      </c>
      <c r="AC1803">
        <v>1</v>
      </c>
      <c r="AD1803">
        <v>121</v>
      </c>
      <c r="AE1803">
        <v>8.3000000000000001E-3</v>
      </c>
      <c r="AF1803" t="s">
        <v>2589</v>
      </c>
      <c r="AG1803" t="s">
        <v>2589</v>
      </c>
    </row>
    <row r="1804" spans="1:33">
      <c r="A1804" s="2" t="s">
        <v>81</v>
      </c>
      <c r="B1804" s="2" t="s">
        <v>45</v>
      </c>
      <c r="C1804" s="1">
        <v>0.50183280699999999</v>
      </c>
      <c r="D1804">
        <v>0.68550824600000004</v>
      </c>
      <c r="E1804">
        <v>0.66941488999999998</v>
      </c>
      <c r="F1804" s="1" t="s">
        <v>82</v>
      </c>
      <c r="G1804" s="1">
        <v>1.4359576970000001</v>
      </c>
      <c r="H1804" s="1">
        <v>51</v>
      </c>
      <c r="I1804" s="1">
        <v>85.1</v>
      </c>
      <c r="J1804" s="1">
        <v>0.61891864766666671</v>
      </c>
      <c r="K1804" s="1">
        <v>0.50907007599999998</v>
      </c>
      <c r="L1804" s="1">
        <v>0.68428041399999995</v>
      </c>
      <c r="M1804" s="3">
        <v>0.67454742099999998</v>
      </c>
      <c r="N1804" s="1" t="s">
        <v>46</v>
      </c>
      <c r="O1804" s="1">
        <v>0.98140043799999999</v>
      </c>
      <c r="P1804" s="1">
        <v>38.9</v>
      </c>
      <c r="Q1804" s="1">
        <v>91.4</v>
      </c>
      <c r="R1804" s="1">
        <v>0.62263263699999993</v>
      </c>
      <c r="S1804" s="1">
        <v>8.9570368127269671E-3</v>
      </c>
      <c r="T1804" t="s">
        <v>1951</v>
      </c>
      <c r="U1804" s="1">
        <v>5926</v>
      </c>
      <c r="V1804">
        <f t="shared" si="112"/>
        <v>0.41919573857155912</v>
      </c>
      <c r="W1804" s="1">
        <f t="shared" si="113"/>
        <v>12.100000000000001</v>
      </c>
      <c r="X1804">
        <f t="shared" si="114"/>
        <v>0.4545572590000001</v>
      </c>
      <c r="Y1804">
        <f t="shared" si="115"/>
        <v>6.3000000000000114</v>
      </c>
      <c r="Z1804" s="1">
        <v>0</v>
      </c>
      <c r="AA1804">
        <v>100</v>
      </c>
      <c r="AB1804">
        <v>0</v>
      </c>
      <c r="AC1804">
        <v>0</v>
      </c>
      <c r="AD1804">
        <v>102</v>
      </c>
      <c r="AE1804">
        <v>0</v>
      </c>
      <c r="AF1804" t="s">
        <v>2589</v>
      </c>
      <c r="AG1804" t="s">
        <v>2589</v>
      </c>
    </row>
    <row r="1805" spans="1:33">
      <c r="A1805" s="2" t="s">
        <v>81</v>
      </c>
      <c r="B1805" s="2" t="s">
        <v>47</v>
      </c>
      <c r="C1805" s="1">
        <v>0.50183280699999999</v>
      </c>
      <c r="D1805">
        <v>0.68550824600000004</v>
      </c>
      <c r="E1805">
        <v>0.66941488999999998</v>
      </c>
      <c r="F1805" s="1" t="s">
        <v>82</v>
      </c>
      <c r="G1805" s="1">
        <v>1.4359576970000001</v>
      </c>
      <c r="H1805" s="1">
        <v>51</v>
      </c>
      <c r="I1805" s="1">
        <v>85.1</v>
      </c>
      <c r="J1805" s="1">
        <v>0.61891864766666671</v>
      </c>
      <c r="K1805" s="1">
        <v>0.50612154099999995</v>
      </c>
      <c r="L1805" s="1">
        <v>0.55940039100000005</v>
      </c>
      <c r="M1805" s="3">
        <v>0.66789001699999995</v>
      </c>
      <c r="N1805" s="1" t="s">
        <v>48</v>
      </c>
      <c r="O1805" s="1">
        <v>1.242622951</v>
      </c>
      <c r="P1805" s="1">
        <v>17.8</v>
      </c>
      <c r="Q1805" s="1">
        <v>30.5</v>
      </c>
      <c r="R1805" s="1">
        <v>0.57780398300000002</v>
      </c>
      <c r="S1805" s="1">
        <v>0.12618997412508612</v>
      </c>
      <c r="T1805" t="s">
        <v>1952</v>
      </c>
      <c r="U1805" s="1">
        <v>6023</v>
      </c>
      <c r="V1805">
        <f t="shared" si="112"/>
        <v>0.41997920701895342</v>
      </c>
      <c r="W1805" s="1">
        <f t="shared" si="113"/>
        <v>33.200000000000003</v>
      </c>
      <c r="X1805">
        <f t="shared" si="114"/>
        <v>0.19333474600000011</v>
      </c>
      <c r="Y1805">
        <f t="shared" si="115"/>
        <v>54.599999999999994</v>
      </c>
      <c r="Z1805" s="1">
        <v>0</v>
      </c>
      <c r="AA1805">
        <v>100</v>
      </c>
      <c r="AB1805">
        <v>0</v>
      </c>
      <c r="AC1805">
        <v>0</v>
      </c>
      <c r="AD1805">
        <v>109</v>
      </c>
      <c r="AE1805">
        <v>0</v>
      </c>
      <c r="AF1805" t="s">
        <v>2589</v>
      </c>
      <c r="AG1805" t="s">
        <v>2590</v>
      </c>
    </row>
    <row r="1806" spans="1:33">
      <c r="A1806" s="2" t="s">
        <v>81</v>
      </c>
      <c r="B1806" s="2" t="s">
        <v>49</v>
      </c>
      <c r="C1806" s="1">
        <v>0.50183280699999999</v>
      </c>
      <c r="D1806">
        <v>0.68550824600000004</v>
      </c>
      <c r="E1806">
        <v>0.66941488999999998</v>
      </c>
      <c r="F1806" s="1" t="s">
        <v>82</v>
      </c>
      <c r="G1806" s="1">
        <v>1.4359576970000001</v>
      </c>
      <c r="H1806" s="1">
        <v>51</v>
      </c>
      <c r="I1806" s="1">
        <v>85.1</v>
      </c>
      <c r="J1806" s="1">
        <v>0.61891864766666671</v>
      </c>
      <c r="K1806" s="1">
        <v>0.50647110500000003</v>
      </c>
      <c r="L1806" s="1">
        <v>0.55713136799999996</v>
      </c>
      <c r="M1806" s="3">
        <v>0.63402682300000002</v>
      </c>
      <c r="N1806" s="1" t="s">
        <v>50</v>
      </c>
      <c r="O1806" s="1">
        <v>1.876675603</v>
      </c>
      <c r="P1806" s="1">
        <v>28.8</v>
      </c>
      <c r="Q1806" s="1">
        <v>37.299999999999997</v>
      </c>
      <c r="R1806" s="1">
        <v>0.56587643200000004</v>
      </c>
      <c r="S1806" s="1">
        <v>0.13324583257783412</v>
      </c>
      <c r="T1806" t="s">
        <v>1953</v>
      </c>
      <c r="U1806" s="1">
        <v>3072</v>
      </c>
      <c r="V1806">
        <f t="shared" si="112"/>
        <v>0.38749124570660826</v>
      </c>
      <c r="W1806" s="1">
        <f t="shared" si="113"/>
        <v>22.2</v>
      </c>
      <c r="X1806">
        <f t="shared" si="114"/>
        <v>0.44071790599999994</v>
      </c>
      <c r="Y1806">
        <f t="shared" si="115"/>
        <v>47.8</v>
      </c>
      <c r="Z1806" s="1">
        <v>0</v>
      </c>
      <c r="AA1806">
        <v>100</v>
      </c>
      <c r="AB1806">
        <v>0</v>
      </c>
      <c r="AC1806">
        <v>0</v>
      </c>
      <c r="AD1806">
        <v>83</v>
      </c>
      <c r="AE1806">
        <v>0</v>
      </c>
      <c r="AF1806" t="s">
        <v>2589</v>
      </c>
      <c r="AG1806" t="s">
        <v>2590</v>
      </c>
    </row>
    <row r="1807" spans="1:33">
      <c r="A1807" s="2" t="s">
        <v>81</v>
      </c>
      <c r="B1807" s="2" t="s">
        <v>51</v>
      </c>
      <c r="C1807" s="1">
        <v>0.50183280699999999</v>
      </c>
      <c r="D1807">
        <v>0.68550824600000004</v>
      </c>
      <c r="E1807">
        <v>0.66941488999999998</v>
      </c>
      <c r="F1807" s="1" t="s">
        <v>82</v>
      </c>
      <c r="G1807" s="1">
        <v>1.4359576970000001</v>
      </c>
      <c r="H1807" s="1">
        <v>51</v>
      </c>
      <c r="I1807" s="1">
        <v>85.1</v>
      </c>
      <c r="J1807" s="1">
        <v>0.61891864766666671</v>
      </c>
      <c r="K1807" s="1">
        <v>0.60067161999999996</v>
      </c>
      <c r="L1807" s="1">
        <v>0.68094129999999997</v>
      </c>
      <c r="M1807" s="3">
        <v>0.73595931299999995</v>
      </c>
      <c r="N1807" s="1" t="s">
        <v>52</v>
      </c>
      <c r="O1807" s="1">
        <v>1.858638743</v>
      </c>
      <c r="P1807" s="1">
        <v>29.4</v>
      </c>
      <c r="Q1807" s="1">
        <v>38.200000000000003</v>
      </c>
      <c r="R1807" s="1">
        <v>0.67252407766666666</v>
      </c>
      <c r="S1807" s="1">
        <v>0.11923979278503802</v>
      </c>
      <c r="T1807" t="s">
        <v>1954</v>
      </c>
      <c r="U1807" s="1">
        <v>8984</v>
      </c>
      <c r="V1807">
        <f t="shared" si="112"/>
        <v>0.43927441591704458</v>
      </c>
      <c r="W1807" s="1">
        <f t="shared" si="113"/>
        <v>21.6</v>
      </c>
      <c r="X1807">
        <f t="shared" si="114"/>
        <v>0.42268104599999989</v>
      </c>
      <c r="Y1807">
        <f t="shared" si="115"/>
        <v>46.899999999999991</v>
      </c>
      <c r="Z1807" s="1">
        <v>3</v>
      </c>
      <c r="AA1807">
        <v>97</v>
      </c>
      <c r="AB1807">
        <v>3.09E-2</v>
      </c>
      <c r="AC1807">
        <v>3</v>
      </c>
      <c r="AD1807">
        <v>89</v>
      </c>
      <c r="AE1807">
        <v>3.3700000000000001E-2</v>
      </c>
      <c r="AF1807" t="s">
        <v>2589</v>
      </c>
      <c r="AG1807" t="s">
        <v>2591</v>
      </c>
    </row>
    <row r="1808" spans="1:33">
      <c r="A1808" s="2" t="s">
        <v>81</v>
      </c>
      <c r="B1808" s="2" t="s">
        <v>53</v>
      </c>
      <c r="C1808" s="1">
        <v>0.50183280699999999</v>
      </c>
      <c r="D1808">
        <v>0.68550824600000004</v>
      </c>
      <c r="E1808">
        <v>0.66941488999999998</v>
      </c>
      <c r="F1808" s="1" t="s">
        <v>82</v>
      </c>
      <c r="G1808" s="1">
        <v>1.4359576970000001</v>
      </c>
      <c r="H1808" s="1">
        <v>51</v>
      </c>
      <c r="I1808" s="1">
        <v>85.1</v>
      </c>
      <c r="J1808" s="1">
        <v>0.61891864766666671</v>
      </c>
      <c r="K1808" s="1">
        <v>0.54695832700000002</v>
      </c>
      <c r="L1808" s="1">
        <v>0.659790137</v>
      </c>
      <c r="M1808" s="3">
        <v>0.70662085500000005</v>
      </c>
      <c r="N1808" s="1" t="s">
        <v>54</v>
      </c>
      <c r="O1808" s="1">
        <v>2.5053995680000001</v>
      </c>
      <c r="P1808" s="1">
        <v>43.9</v>
      </c>
      <c r="Q1808" s="1">
        <v>46.3</v>
      </c>
      <c r="R1808" s="1">
        <v>0.63778977300000006</v>
      </c>
      <c r="S1808" s="1">
        <v>6.3890668468779652E-2</v>
      </c>
      <c r="T1808" t="s">
        <v>1955</v>
      </c>
      <c r="U1808" s="1">
        <v>3038</v>
      </c>
      <c r="V1808">
        <f t="shared" si="112"/>
        <v>0.38695419661408531</v>
      </c>
      <c r="W1808" s="1">
        <f t="shared" si="113"/>
        <v>7.1000000000000014</v>
      </c>
      <c r="X1808">
        <f t="shared" si="114"/>
        <v>1.069441871</v>
      </c>
      <c r="Y1808">
        <f t="shared" si="115"/>
        <v>38.799999999999997</v>
      </c>
      <c r="Z1808" s="1">
        <v>3</v>
      </c>
      <c r="AA1808">
        <v>97</v>
      </c>
      <c r="AB1808">
        <v>3.09E-2</v>
      </c>
      <c r="AC1808">
        <v>3</v>
      </c>
      <c r="AD1808">
        <v>89</v>
      </c>
      <c r="AE1808">
        <v>3.3700000000000001E-2</v>
      </c>
      <c r="AF1808" t="s">
        <v>2589</v>
      </c>
      <c r="AG1808" t="s">
        <v>2593</v>
      </c>
    </row>
    <row r="1809" spans="1:33">
      <c r="A1809" s="2" t="s">
        <v>81</v>
      </c>
      <c r="B1809" s="2" t="s">
        <v>55</v>
      </c>
      <c r="C1809" s="1">
        <v>0.50183280699999999</v>
      </c>
      <c r="D1809">
        <v>0.68550824600000004</v>
      </c>
      <c r="E1809">
        <v>0.66941488999999998</v>
      </c>
      <c r="F1809" s="1" t="s">
        <v>82</v>
      </c>
      <c r="G1809" s="1">
        <v>1.4359576970000001</v>
      </c>
      <c r="H1809" s="1">
        <v>51</v>
      </c>
      <c r="I1809" s="1">
        <v>85.1</v>
      </c>
      <c r="J1809" s="1">
        <v>0.61891864766666671</v>
      </c>
      <c r="K1809" s="1">
        <v>0.52971861799999997</v>
      </c>
      <c r="L1809" s="1">
        <v>0.62258244500000004</v>
      </c>
      <c r="M1809" s="3">
        <v>0.63939760400000001</v>
      </c>
      <c r="N1809" s="1" t="s">
        <v>56</v>
      </c>
      <c r="O1809" s="1">
        <v>1.0796934869999999</v>
      </c>
      <c r="P1809" s="1">
        <v>55.3</v>
      </c>
      <c r="Q1809" s="1">
        <v>130.5</v>
      </c>
      <c r="R1809" s="1">
        <v>0.59723288899999993</v>
      </c>
      <c r="S1809" s="1">
        <v>7.508869652234694E-2</v>
      </c>
      <c r="T1809" t="s">
        <v>1956</v>
      </c>
      <c r="U1809" s="1">
        <v>4362</v>
      </c>
      <c r="V1809">
        <f t="shared" si="112"/>
        <v>0.4044095179158535</v>
      </c>
      <c r="W1809" s="1">
        <f t="shared" si="113"/>
        <v>4.2999999999999972</v>
      </c>
      <c r="X1809">
        <f t="shared" si="114"/>
        <v>0.35626421000000019</v>
      </c>
      <c r="Y1809">
        <f t="shared" si="115"/>
        <v>45.400000000000006</v>
      </c>
      <c r="Z1809" s="1">
        <v>0</v>
      </c>
      <c r="AA1809">
        <v>100</v>
      </c>
      <c r="AB1809">
        <v>0</v>
      </c>
      <c r="AC1809">
        <v>0</v>
      </c>
      <c r="AD1809">
        <v>84</v>
      </c>
      <c r="AE1809">
        <v>0</v>
      </c>
      <c r="AF1809" t="s">
        <v>2589</v>
      </c>
      <c r="AG1809" t="s">
        <v>2592</v>
      </c>
    </row>
    <row r="1810" spans="1:33">
      <c r="A1810" s="2" t="s">
        <v>81</v>
      </c>
      <c r="B1810" s="2" t="s">
        <v>57</v>
      </c>
      <c r="C1810" s="1">
        <v>0.50183280699999999</v>
      </c>
      <c r="D1810">
        <v>0.68550824600000004</v>
      </c>
      <c r="E1810">
        <v>0.66941488999999998</v>
      </c>
      <c r="F1810" s="1" t="s">
        <v>82</v>
      </c>
      <c r="G1810" s="1">
        <v>1.4359576970000001</v>
      </c>
      <c r="H1810" s="1">
        <v>51</v>
      </c>
      <c r="I1810" s="1">
        <v>85.1</v>
      </c>
      <c r="J1810" s="1">
        <v>0.61891864766666671</v>
      </c>
      <c r="K1810" s="1">
        <v>0.528732855</v>
      </c>
      <c r="L1810" s="1">
        <v>0.63387497599999998</v>
      </c>
      <c r="M1810" s="3">
        <v>0.63337360200000004</v>
      </c>
      <c r="N1810" s="1" t="s">
        <v>58</v>
      </c>
      <c r="O1810" s="1">
        <v>1.386610879</v>
      </c>
      <c r="P1810" s="1">
        <v>69</v>
      </c>
      <c r="Q1810" s="1">
        <v>119.5</v>
      </c>
      <c r="R1810" s="1">
        <v>0.59866047766666663</v>
      </c>
      <c r="S1810" s="1">
        <v>6.8473218078268755E-2</v>
      </c>
      <c r="T1810" t="s">
        <v>1957</v>
      </c>
      <c r="U1810" s="1">
        <v>6844</v>
      </c>
      <c r="V1810">
        <f t="shared" si="112"/>
        <v>0.42614555565211809</v>
      </c>
      <c r="W1810" s="1">
        <f t="shared" si="113"/>
        <v>18</v>
      </c>
      <c r="X1810">
        <f t="shared" si="114"/>
        <v>4.934681800000007E-2</v>
      </c>
      <c r="Y1810">
        <f t="shared" si="115"/>
        <v>34.400000000000006</v>
      </c>
      <c r="Z1810" s="1">
        <v>0</v>
      </c>
      <c r="AA1810">
        <v>100</v>
      </c>
      <c r="AB1810">
        <v>0</v>
      </c>
      <c r="AC1810">
        <v>0</v>
      </c>
      <c r="AD1810">
        <v>90</v>
      </c>
      <c r="AE1810">
        <v>0</v>
      </c>
      <c r="AF1810" t="s">
        <v>2589</v>
      </c>
      <c r="AG1810" t="s">
        <v>2589</v>
      </c>
    </row>
    <row r="1811" spans="1:33">
      <c r="A1811" s="2" t="s">
        <v>81</v>
      </c>
      <c r="B1811" s="2" t="s">
        <v>59</v>
      </c>
      <c r="C1811" s="1">
        <v>0.50183280699999999</v>
      </c>
      <c r="D1811">
        <v>0.68550824600000004</v>
      </c>
      <c r="E1811">
        <v>0.66941488999999998</v>
      </c>
      <c r="F1811" s="1" t="s">
        <v>82</v>
      </c>
      <c r="G1811" s="1">
        <v>1.4359576970000001</v>
      </c>
      <c r="H1811" s="1">
        <v>51</v>
      </c>
      <c r="I1811" s="1">
        <v>85.1</v>
      </c>
      <c r="J1811" s="1">
        <v>0.61891864766666671</v>
      </c>
      <c r="K1811" s="1">
        <v>0.56225432799999997</v>
      </c>
      <c r="L1811" s="1">
        <v>0.68100706499999997</v>
      </c>
      <c r="M1811" s="3">
        <v>0.67505263699999996</v>
      </c>
      <c r="N1811" s="1" t="s">
        <v>60</v>
      </c>
      <c r="O1811" s="1">
        <v>1.1501154730000001</v>
      </c>
      <c r="P1811" s="1">
        <v>60.5</v>
      </c>
      <c r="Q1811" s="1">
        <v>129.9</v>
      </c>
      <c r="R1811" s="1">
        <v>0.63943801</v>
      </c>
      <c r="S1811" s="1">
        <v>6.0850678070044614E-2</v>
      </c>
      <c r="T1811" t="s">
        <v>1958</v>
      </c>
      <c r="U1811" s="1">
        <v>12972</v>
      </c>
      <c r="V1811">
        <f t="shared" si="112"/>
        <v>0.45700077111121501</v>
      </c>
      <c r="W1811" s="1">
        <f t="shared" si="113"/>
        <v>9.5</v>
      </c>
      <c r="X1811">
        <f t="shared" si="114"/>
        <v>0.28584222400000003</v>
      </c>
      <c r="Y1811">
        <f t="shared" si="115"/>
        <v>44.800000000000011</v>
      </c>
      <c r="Z1811" s="1">
        <v>0</v>
      </c>
      <c r="AA1811">
        <v>100</v>
      </c>
      <c r="AB1811">
        <v>0</v>
      </c>
      <c r="AC1811">
        <v>0</v>
      </c>
      <c r="AD1811">
        <v>109</v>
      </c>
      <c r="AE1811">
        <v>0</v>
      </c>
      <c r="AF1811" t="s">
        <v>2589</v>
      </c>
      <c r="AG1811" t="s">
        <v>2589</v>
      </c>
    </row>
    <row r="1812" spans="1:33">
      <c r="A1812" s="2" t="s">
        <v>81</v>
      </c>
      <c r="B1812" s="2" t="s">
        <v>61</v>
      </c>
      <c r="C1812" s="1">
        <v>0.50183280699999999</v>
      </c>
      <c r="D1812">
        <v>0.68550824600000004</v>
      </c>
      <c r="E1812">
        <v>0.66941488999999998</v>
      </c>
      <c r="F1812" s="1" t="s">
        <v>82</v>
      </c>
      <c r="G1812" s="1">
        <v>1.4359576970000001</v>
      </c>
      <c r="H1812" s="1">
        <v>51</v>
      </c>
      <c r="I1812" s="1">
        <v>85.1</v>
      </c>
      <c r="J1812" s="1">
        <v>0.61891864766666671</v>
      </c>
      <c r="K1812" s="1">
        <v>0.62063455999999995</v>
      </c>
      <c r="L1812" s="1">
        <v>0.67798104299999995</v>
      </c>
      <c r="M1812" s="3">
        <v>0.72175371600000005</v>
      </c>
      <c r="N1812" s="1" t="s">
        <v>62</v>
      </c>
      <c r="O1812" s="1">
        <v>7.5471698109999998</v>
      </c>
      <c r="P1812" s="1">
        <v>26.4</v>
      </c>
      <c r="Q1812" s="1">
        <v>10.6</v>
      </c>
      <c r="R1812" s="1">
        <v>0.6734564396666668</v>
      </c>
      <c r="S1812" s="1">
        <v>0.13003794833791593</v>
      </c>
      <c r="T1812" t="s">
        <v>1959</v>
      </c>
      <c r="U1812" s="1">
        <v>3946</v>
      </c>
      <c r="V1812">
        <f t="shared" si="112"/>
        <v>0.39957300899068582</v>
      </c>
      <c r="W1812" s="1">
        <f t="shared" si="113"/>
        <v>24.6</v>
      </c>
      <c r="X1812">
        <f t="shared" si="114"/>
        <v>6.1112121139999998</v>
      </c>
      <c r="Y1812">
        <f t="shared" si="115"/>
        <v>74.5</v>
      </c>
      <c r="Z1812" s="1">
        <v>0</v>
      </c>
      <c r="AA1812">
        <v>100</v>
      </c>
      <c r="AB1812">
        <v>0</v>
      </c>
      <c r="AC1812">
        <v>0</v>
      </c>
      <c r="AD1812">
        <v>84</v>
      </c>
      <c r="AE1812">
        <v>0</v>
      </c>
      <c r="AF1812" t="s">
        <v>2589</v>
      </c>
      <c r="AG1812" t="s">
        <v>2588</v>
      </c>
    </row>
    <row r="1813" spans="1:33">
      <c r="A1813" s="2" t="s">
        <v>81</v>
      </c>
      <c r="B1813" s="2" t="s">
        <v>63</v>
      </c>
      <c r="C1813" s="1">
        <v>0.50183280699999999</v>
      </c>
      <c r="D1813">
        <v>0.68550824600000004</v>
      </c>
      <c r="E1813">
        <v>0.66941488999999998</v>
      </c>
      <c r="F1813" s="1" t="s">
        <v>82</v>
      </c>
      <c r="G1813" s="1">
        <v>1.4359576970000001</v>
      </c>
      <c r="H1813" s="1">
        <v>51</v>
      </c>
      <c r="I1813" s="1">
        <v>85.1</v>
      </c>
      <c r="J1813" s="1">
        <v>0.61891864766666671</v>
      </c>
      <c r="K1813" s="1">
        <v>0.44311141399999998</v>
      </c>
      <c r="L1813" s="1">
        <v>0.57053969199999999</v>
      </c>
      <c r="M1813" s="3">
        <v>0.59266330599999995</v>
      </c>
      <c r="N1813" s="1" t="s">
        <v>64</v>
      </c>
      <c r="O1813" s="1">
        <v>0.89618138400000003</v>
      </c>
      <c r="P1813" s="1">
        <v>29.7</v>
      </c>
      <c r="Q1813" s="1">
        <v>83.8</v>
      </c>
      <c r="R1813" s="1">
        <v>0.53543813733333334</v>
      </c>
      <c r="S1813" s="1">
        <v>0.15018913426483435</v>
      </c>
      <c r="T1813" t="s">
        <v>1960</v>
      </c>
      <c r="U1813" s="1">
        <v>1905</v>
      </c>
      <c r="V1813">
        <f t="shared" si="112"/>
        <v>0.36443277555684866</v>
      </c>
      <c r="W1813" s="1">
        <f t="shared" si="113"/>
        <v>21.3</v>
      </c>
      <c r="X1813">
        <f t="shared" si="114"/>
        <v>0.53977631300000006</v>
      </c>
      <c r="Y1813">
        <f t="shared" si="115"/>
        <v>1.2999999999999972</v>
      </c>
      <c r="Z1813" s="1">
        <v>0</v>
      </c>
      <c r="AA1813">
        <v>100</v>
      </c>
      <c r="AB1813">
        <v>0</v>
      </c>
      <c r="AC1813">
        <v>0</v>
      </c>
      <c r="AD1813">
        <v>91</v>
      </c>
      <c r="AE1813">
        <v>0</v>
      </c>
      <c r="AF1813" t="s">
        <v>2589</v>
      </c>
      <c r="AG1813" t="s">
        <v>2590</v>
      </c>
    </row>
    <row r="1814" spans="1:33">
      <c r="A1814" s="2" t="s">
        <v>81</v>
      </c>
      <c r="B1814" s="2" t="s">
        <v>65</v>
      </c>
      <c r="C1814" s="1">
        <v>0.50183280699999999</v>
      </c>
      <c r="D1814">
        <v>0.68550824600000004</v>
      </c>
      <c r="E1814">
        <v>0.66941488999999998</v>
      </c>
      <c r="F1814" s="1" t="s">
        <v>82</v>
      </c>
      <c r="G1814" s="1">
        <v>1.4359576970000001</v>
      </c>
      <c r="H1814" s="1">
        <v>51</v>
      </c>
      <c r="I1814" s="1">
        <v>85.1</v>
      </c>
      <c r="J1814" s="1">
        <v>0.61891864766666671</v>
      </c>
      <c r="K1814" s="1">
        <v>0.67377447499999998</v>
      </c>
      <c r="L1814" s="1">
        <v>0.69144672900000004</v>
      </c>
      <c r="M1814" s="3">
        <v>0.73046409700000003</v>
      </c>
      <c r="N1814" s="1" t="s">
        <v>66</v>
      </c>
      <c r="O1814" s="1">
        <v>1.8507462690000001</v>
      </c>
      <c r="P1814" s="1">
        <v>34.5</v>
      </c>
      <c r="Q1814" s="1">
        <v>46.9</v>
      </c>
      <c r="R1814" s="1">
        <v>0.69856176700000006</v>
      </c>
      <c r="S1814" s="1">
        <v>0.18255467249646709</v>
      </c>
      <c r="T1814" t="s">
        <v>1961</v>
      </c>
      <c r="U1814" s="1">
        <v>1074</v>
      </c>
      <c r="V1814">
        <f t="shared" si="112"/>
        <v>0.33677825348483742</v>
      </c>
      <c r="W1814" s="1">
        <f t="shared" si="113"/>
        <v>16.5</v>
      </c>
      <c r="X1814">
        <f t="shared" si="114"/>
        <v>0.41478857199999997</v>
      </c>
      <c r="Y1814">
        <f t="shared" si="115"/>
        <v>38.199999999999996</v>
      </c>
      <c r="Z1814" s="1">
        <v>1</v>
      </c>
      <c r="AA1814">
        <v>99</v>
      </c>
      <c r="AB1814">
        <v>1.01E-2</v>
      </c>
      <c r="AC1814">
        <v>1</v>
      </c>
      <c r="AD1814">
        <v>72</v>
      </c>
      <c r="AE1814">
        <v>1.3899999999999999E-2</v>
      </c>
      <c r="AF1814" t="s">
        <v>2589</v>
      </c>
      <c r="AG1814" t="s">
        <v>2593</v>
      </c>
    </row>
    <row r="1815" spans="1:33">
      <c r="A1815" s="2" t="s">
        <v>81</v>
      </c>
      <c r="B1815" s="2" t="s">
        <v>67</v>
      </c>
      <c r="C1815" s="1">
        <v>0.50183280699999999</v>
      </c>
      <c r="D1815">
        <v>0.68550824600000004</v>
      </c>
      <c r="E1815">
        <v>0.66941488999999998</v>
      </c>
      <c r="F1815" s="1" t="s">
        <v>82</v>
      </c>
      <c r="G1815" s="1">
        <v>1.4359576970000001</v>
      </c>
      <c r="H1815" s="1">
        <v>51</v>
      </c>
      <c r="I1815" s="1">
        <v>85.1</v>
      </c>
      <c r="J1815" s="1">
        <v>0.61891864766666671</v>
      </c>
      <c r="K1815" s="1">
        <v>0.53971122199999999</v>
      </c>
      <c r="L1815" s="1">
        <v>0.621203065</v>
      </c>
      <c r="M1815" s="3">
        <v>0.67806811499999997</v>
      </c>
      <c r="N1815" s="1" t="s">
        <v>68</v>
      </c>
      <c r="O1815" s="1">
        <v>1.5131894480000001</v>
      </c>
      <c r="P1815" s="1">
        <v>27.2</v>
      </c>
      <c r="Q1815" s="1">
        <v>41.7</v>
      </c>
      <c r="R1815" s="1">
        <v>0.61299413400000002</v>
      </c>
      <c r="S1815" s="1">
        <v>7.513194346784606E-2</v>
      </c>
      <c r="T1815" t="s">
        <v>1962</v>
      </c>
      <c r="U1815" s="1">
        <v>17141</v>
      </c>
      <c r="V1815">
        <f t="shared" si="112"/>
        <v>0.47044846165731635</v>
      </c>
      <c r="W1815" s="1">
        <f t="shared" si="113"/>
        <v>23.8</v>
      </c>
      <c r="X1815">
        <f t="shared" si="114"/>
        <v>7.7231751000000015E-2</v>
      </c>
      <c r="Y1815">
        <f t="shared" si="115"/>
        <v>43.399999999999991</v>
      </c>
      <c r="Z1815" s="1">
        <v>0</v>
      </c>
      <c r="AA1815">
        <v>100</v>
      </c>
      <c r="AB1815">
        <v>0</v>
      </c>
      <c r="AC1815">
        <v>0</v>
      </c>
      <c r="AD1815">
        <v>84</v>
      </c>
      <c r="AE1815">
        <v>0</v>
      </c>
      <c r="AF1815" t="s">
        <v>2589</v>
      </c>
      <c r="AG1815" t="s">
        <v>2588</v>
      </c>
    </row>
    <row r="1816" spans="1:33">
      <c r="A1816" s="2" t="s">
        <v>81</v>
      </c>
      <c r="B1816" s="2" t="s">
        <v>69</v>
      </c>
      <c r="C1816" s="1">
        <v>0.50183280699999999</v>
      </c>
      <c r="D1816">
        <v>0.68550824600000004</v>
      </c>
      <c r="E1816">
        <v>0.66941488999999998</v>
      </c>
      <c r="F1816" s="1" t="s">
        <v>82</v>
      </c>
      <c r="G1816" s="1">
        <v>1.4359576970000001</v>
      </c>
      <c r="H1816" s="1">
        <v>51</v>
      </c>
      <c r="I1816" s="1">
        <v>85.1</v>
      </c>
      <c r="J1816" s="1">
        <v>0.61891864766666671</v>
      </c>
      <c r="K1816" s="1">
        <v>0.50188385300000005</v>
      </c>
      <c r="L1816" s="1">
        <v>0.64580031500000001</v>
      </c>
      <c r="M1816" s="3">
        <v>0.66006355800000005</v>
      </c>
      <c r="N1816" s="1" t="s">
        <v>70</v>
      </c>
      <c r="O1816" s="1">
        <v>1.2401055409999999</v>
      </c>
      <c r="P1816" s="1">
        <v>43.4</v>
      </c>
      <c r="Q1816" s="1">
        <v>75.8</v>
      </c>
      <c r="R1816" s="1">
        <v>0.60258257533333337</v>
      </c>
      <c r="S1816" s="1">
        <v>4.0794237340206548E-2</v>
      </c>
      <c r="T1816" t="s">
        <v>1963</v>
      </c>
      <c r="U1816" s="1">
        <v>6554</v>
      </c>
      <c r="V1816">
        <f t="shared" si="112"/>
        <v>0.42405627078292851</v>
      </c>
      <c r="W1816" s="1">
        <f t="shared" si="113"/>
        <v>7.6000000000000014</v>
      </c>
      <c r="X1816">
        <f t="shared" si="114"/>
        <v>0.19585215600000017</v>
      </c>
      <c r="Y1816">
        <f t="shared" si="115"/>
        <v>9.2999999999999972</v>
      </c>
      <c r="Z1816" s="1">
        <v>0</v>
      </c>
      <c r="AA1816">
        <v>100</v>
      </c>
      <c r="AB1816">
        <v>0</v>
      </c>
      <c r="AC1816">
        <v>0</v>
      </c>
      <c r="AD1816">
        <v>91</v>
      </c>
      <c r="AE1816">
        <v>0</v>
      </c>
      <c r="AF1816" t="s">
        <v>2589</v>
      </c>
      <c r="AG1816" t="s">
        <v>2589</v>
      </c>
    </row>
    <row r="1817" spans="1:33">
      <c r="A1817" s="2" t="s">
        <v>81</v>
      </c>
      <c r="B1817" s="2" t="s">
        <v>71</v>
      </c>
      <c r="C1817" s="1">
        <v>0.50183280699999999</v>
      </c>
      <c r="D1817">
        <v>0.68550824600000004</v>
      </c>
      <c r="E1817">
        <v>0.66941488999999998</v>
      </c>
      <c r="F1817" s="1" t="s">
        <v>82</v>
      </c>
      <c r="G1817" s="1">
        <v>1.4359576970000001</v>
      </c>
      <c r="H1817" s="1">
        <v>51</v>
      </c>
      <c r="I1817" s="1">
        <v>85.1</v>
      </c>
      <c r="J1817" s="1">
        <v>0.61891864766666671</v>
      </c>
      <c r="K1817" s="1">
        <v>0.53267569100000001</v>
      </c>
      <c r="L1817" s="1">
        <v>0.64507433599999997</v>
      </c>
      <c r="M1817" s="3">
        <v>0.66598465100000004</v>
      </c>
      <c r="N1817" s="1" t="s">
        <v>72</v>
      </c>
      <c r="O1817" s="1">
        <v>0.97289666900000005</v>
      </c>
      <c r="P1817" s="1">
        <v>64.8</v>
      </c>
      <c r="Q1817" s="1">
        <v>177.1</v>
      </c>
      <c r="R1817" s="1">
        <v>0.61457822600000001</v>
      </c>
      <c r="S1817" s="1">
        <v>5.0970100165907889E-2</v>
      </c>
      <c r="T1817" t="s">
        <v>1964</v>
      </c>
      <c r="U1817" s="1">
        <v>63252</v>
      </c>
      <c r="V1817">
        <f t="shared" si="112"/>
        <v>0.53345269580695354</v>
      </c>
      <c r="W1817" s="1">
        <f t="shared" si="113"/>
        <v>13.799999999999997</v>
      </c>
      <c r="X1817">
        <f t="shared" si="114"/>
        <v>0.46306102800000004</v>
      </c>
      <c r="Y1817">
        <f t="shared" si="115"/>
        <v>92</v>
      </c>
      <c r="Z1817" s="1">
        <v>2</v>
      </c>
      <c r="AA1817">
        <v>98</v>
      </c>
      <c r="AB1817">
        <v>2.0400000000000001E-2</v>
      </c>
      <c r="AC1817">
        <v>1</v>
      </c>
      <c r="AD1817">
        <v>101</v>
      </c>
      <c r="AE1817">
        <v>9.9000000000000008E-3</v>
      </c>
      <c r="AF1817" t="s">
        <v>2589</v>
      </c>
      <c r="AG1817" t="s">
        <v>2589</v>
      </c>
    </row>
    <row r="1818" spans="1:33">
      <c r="A1818" s="2" t="s">
        <v>81</v>
      </c>
      <c r="B1818" s="2" t="s">
        <v>73</v>
      </c>
      <c r="C1818" s="1">
        <v>0.50183280699999999</v>
      </c>
      <c r="D1818">
        <v>0.68550824600000004</v>
      </c>
      <c r="E1818">
        <v>0.66941488999999998</v>
      </c>
      <c r="F1818" s="1" t="s">
        <v>82</v>
      </c>
      <c r="G1818" s="1">
        <v>1.4359576970000001</v>
      </c>
      <c r="H1818" s="1">
        <v>51</v>
      </c>
      <c r="I1818" s="1">
        <v>85.1</v>
      </c>
      <c r="J1818" s="1">
        <v>0.61891864766666671</v>
      </c>
      <c r="K1818" s="1">
        <v>0.55697925299999995</v>
      </c>
      <c r="L1818" s="1">
        <v>0.64461978399999997</v>
      </c>
      <c r="M1818" s="3">
        <v>0.69570690000000002</v>
      </c>
      <c r="N1818" s="1" t="s">
        <v>74</v>
      </c>
      <c r="O1818" s="1">
        <v>1.23433584</v>
      </c>
      <c r="P1818" s="1">
        <v>44</v>
      </c>
      <c r="Q1818" s="1">
        <v>79.8</v>
      </c>
      <c r="R1818" s="1">
        <v>0.63243531233333328</v>
      </c>
      <c r="S1818" s="1">
        <v>7.3513717230163672E-2</v>
      </c>
      <c r="T1818" t="s">
        <v>1965</v>
      </c>
      <c r="U1818" s="1">
        <v>5794</v>
      </c>
      <c r="V1818">
        <f t="shared" si="112"/>
        <v>0.41810872120752696</v>
      </c>
      <c r="W1818" s="1">
        <f t="shared" si="113"/>
        <v>7</v>
      </c>
      <c r="X1818">
        <f t="shared" si="114"/>
        <v>0.20162185700000013</v>
      </c>
      <c r="Y1818">
        <f t="shared" si="115"/>
        <v>5.2999999999999972</v>
      </c>
      <c r="Z1818" s="1">
        <v>0</v>
      </c>
      <c r="AA1818">
        <v>100</v>
      </c>
      <c r="AB1818">
        <v>0</v>
      </c>
      <c r="AC1818">
        <v>0</v>
      </c>
      <c r="AD1818">
        <v>87</v>
      </c>
      <c r="AE1818">
        <v>0</v>
      </c>
      <c r="AF1818" t="s">
        <v>2589</v>
      </c>
      <c r="AG1818" t="s">
        <v>2589</v>
      </c>
    </row>
    <row r="1819" spans="1:33">
      <c r="A1819" s="2" t="s">
        <v>81</v>
      </c>
      <c r="B1819" s="2" t="s">
        <v>75</v>
      </c>
      <c r="C1819" s="1">
        <v>0.50183280699999999</v>
      </c>
      <c r="D1819">
        <v>0.68550824600000004</v>
      </c>
      <c r="E1819">
        <v>0.66941488999999998</v>
      </c>
      <c r="F1819" s="1" t="s">
        <v>82</v>
      </c>
      <c r="G1819" s="1">
        <v>1.4359576970000001</v>
      </c>
      <c r="H1819" s="1">
        <v>51</v>
      </c>
      <c r="I1819" s="1">
        <v>85.1</v>
      </c>
      <c r="J1819" s="1">
        <v>0.61891864766666671</v>
      </c>
      <c r="K1819" s="1">
        <v>0.50354843500000002</v>
      </c>
      <c r="L1819" s="1">
        <v>0.59724402499999996</v>
      </c>
      <c r="M1819" s="3">
        <v>0.70308254199999998</v>
      </c>
      <c r="N1819" s="1" t="s">
        <v>76</v>
      </c>
      <c r="O1819" s="1">
        <v>1.2696850390000001</v>
      </c>
      <c r="P1819" s="1">
        <v>26.6</v>
      </c>
      <c r="Q1819" s="1">
        <v>50.8</v>
      </c>
      <c r="R1819" s="1">
        <v>0.60129166733333339</v>
      </c>
      <c r="S1819" s="1">
        <v>9.4482944912636715E-2</v>
      </c>
      <c r="T1819" t="s">
        <v>1966</v>
      </c>
      <c r="U1819" s="1">
        <v>2741</v>
      </c>
      <c r="V1819">
        <f t="shared" si="112"/>
        <v>0.38198989283772206</v>
      </c>
      <c r="W1819" s="1">
        <f t="shared" si="113"/>
        <v>24.4</v>
      </c>
      <c r="X1819">
        <f t="shared" si="114"/>
        <v>0.16627265800000002</v>
      </c>
      <c r="Y1819">
        <f t="shared" si="115"/>
        <v>34.299999999999997</v>
      </c>
      <c r="Z1819" s="1">
        <v>0</v>
      </c>
      <c r="AA1819">
        <v>100</v>
      </c>
      <c r="AB1819">
        <v>0</v>
      </c>
      <c r="AC1819">
        <v>0</v>
      </c>
      <c r="AD1819">
        <v>87</v>
      </c>
      <c r="AE1819">
        <v>0</v>
      </c>
      <c r="AF1819" t="s">
        <v>2589</v>
      </c>
      <c r="AG1819" t="s">
        <v>2594</v>
      </c>
    </row>
    <row r="1820" spans="1:33">
      <c r="A1820" s="2" t="s">
        <v>81</v>
      </c>
      <c r="B1820" s="2" t="s">
        <v>77</v>
      </c>
      <c r="C1820" s="1">
        <v>0.50183280699999999</v>
      </c>
      <c r="D1820">
        <v>0.68550824600000004</v>
      </c>
      <c r="E1820">
        <v>0.66941488999999998</v>
      </c>
      <c r="F1820" s="1" t="s">
        <v>82</v>
      </c>
      <c r="G1820" s="1">
        <v>1.4359576970000001</v>
      </c>
      <c r="H1820" s="1">
        <v>51</v>
      </c>
      <c r="I1820" s="1">
        <v>85.1</v>
      </c>
      <c r="J1820" s="1">
        <v>0.61891864766666671</v>
      </c>
      <c r="K1820" s="1">
        <v>0.54630843299999998</v>
      </c>
      <c r="L1820" s="1">
        <v>0.68935555900000001</v>
      </c>
      <c r="M1820" s="3">
        <v>0.65478744899999997</v>
      </c>
      <c r="N1820" s="1" t="s">
        <v>78</v>
      </c>
      <c r="O1820" s="1">
        <v>1.3914285710000001</v>
      </c>
      <c r="P1820" s="1">
        <v>56.5</v>
      </c>
      <c r="Q1820" s="1">
        <v>105</v>
      </c>
      <c r="R1820" s="1">
        <v>0.63015048033333343</v>
      </c>
      <c r="S1820" s="1">
        <v>4.6977070530422875E-2</v>
      </c>
      <c r="T1820" t="s">
        <v>1967</v>
      </c>
      <c r="U1820" s="1">
        <v>2155</v>
      </c>
      <c r="V1820">
        <f t="shared" si="112"/>
        <v>0.37038303049963894</v>
      </c>
      <c r="W1820" s="1">
        <f t="shared" si="113"/>
        <v>5.5</v>
      </c>
      <c r="X1820">
        <f t="shared" si="114"/>
        <v>4.452912600000003E-2</v>
      </c>
      <c r="Y1820">
        <f t="shared" si="115"/>
        <v>19.900000000000006</v>
      </c>
      <c r="Z1820" s="1">
        <v>0</v>
      </c>
      <c r="AA1820">
        <v>100</v>
      </c>
      <c r="AB1820">
        <v>0</v>
      </c>
      <c r="AC1820">
        <v>0</v>
      </c>
      <c r="AD1820">
        <v>76</v>
      </c>
      <c r="AE1820">
        <v>0</v>
      </c>
      <c r="AF1820" t="s">
        <v>2589</v>
      </c>
      <c r="AG1820" t="s">
        <v>2590</v>
      </c>
    </row>
    <row r="1821" spans="1:33">
      <c r="A1821" s="2" t="s">
        <v>81</v>
      </c>
      <c r="B1821" s="2" t="s">
        <v>79</v>
      </c>
      <c r="C1821" s="1">
        <v>0.50183280699999999</v>
      </c>
      <c r="D1821">
        <v>0.68550824600000004</v>
      </c>
      <c r="E1821">
        <v>0.66941488999999998</v>
      </c>
      <c r="F1821" s="1" t="s">
        <v>82</v>
      </c>
      <c r="G1821" s="1">
        <v>1.4359576970000001</v>
      </c>
      <c r="H1821" s="1">
        <v>51</v>
      </c>
      <c r="I1821" s="1">
        <v>85.1</v>
      </c>
      <c r="J1821" s="1">
        <v>0.61891864766666671</v>
      </c>
      <c r="K1821" s="1">
        <v>0.63652882899999996</v>
      </c>
      <c r="L1821" s="1">
        <v>0.77536518600000004</v>
      </c>
      <c r="M1821" s="3">
        <v>0.610415606</v>
      </c>
      <c r="N1821" s="1" t="s">
        <v>80</v>
      </c>
      <c r="O1821" s="1">
        <v>0.95325542600000002</v>
      </c>
      <c r="P1821" s="1">
        <v>45.6</v>
      </c>
      <c r="Q1821" s="1">
        <v>119.8</v>
      </c>
      <c r="R1821" s="1">
        <v>0.67410320700000004</v>
      </c>
      <c r="S1821" s="1">
        <v>0.1723316672039725</v>
      </c>
      <c r="T1821" t="s">
        <v>1968</v>
      </c>
      <c r="U1821" s="1">
        <v>3147</v>
      </c>
      <c r="V1821">
        <f t="shared" si="112"/>
        <v>0.38865519365702444</v>
      </c>
      <c r="W1821" s="1">
        <f t="shared" si="113"/>
        <v>5.3999999999999986</v>
      </c>
      <c r="X1821">
        <f t="shared" si="114"/>
        <v>0.48270227100000007</v>
      </c>
      <c r="Y1821">
        <f t="shared" si="115"/>
        <v>34.700000000000003</v>
      </c>
      <c r="Z1821" s="1">
        <v>0</v>
      </c>
      <c r="AA1821">
        <v>100</v>
      </c>
      <c r="AB1821">
        <v>0</v>
      </c>
      <c r="AC1821">
        <v>0</v>
      </c>
      <c r="AD1821">
        <v>67</v>
      </c>
      <c r="AE1821">
        <v>0</v>
      </c>
      <c r="AF1821" t="s">
        <v>2589</v>
      </c>
      <c r="AG1821" t="s">
        <v>2590</v>
      </c>
    </row>
    <row r="1822" spans="1:33">
      <c r="A1822" s="2" t="s">
        <v>79</v>
      </c>
      <c r="B1822" s="2" t="s">
        <v>10</v>
      </c>
      <c r="C1822" s="1">
        <v>0.63652882899999996</v>
      </c>
      <c r="D1822">
        <v>0.77536518600000004</v>
      </c>
      <c r="E1822">
        <v>0.610415606</v>
      </c>
      <c r="F1822" s="1" t="s">
        <v>80</v>
      </c>
      <c r="G1822" s="1">
        <v>0.95325542600000002</v>
      </c>
      <c r="H1822" s="1">
        <v>45.6</v>
      </c>
      <c r="I1822" s="1">
        <v>119.8</v>
      </c>
      <c r="J1822" s="1">
        <v>0.67410320700000004</v>
      </c>
      <c r="K1822" s="1">
        <v>0.52456325500000001</v>
      </c>
      <c r="L1822" s="1">
        <v>0.61925627999999999</v>
      </c>
      <c r="M1822" s="3">
        <v>0.72111139899999999</v>
      </c>
      <c r="N1822" s="1" t="s">
        <v>12</v>
      </c>
      <c r="O1822" s="1">
        <v>0.61690647499999995</v>
      </c>
      <c r="P1822" s="1">
        <v>30</v>
      </c>
      <c r="Q1822" s="1">
        <v>111.2</v>
      </c>
      <c r="R1822" s="1">
        <v>0.62164364466666666</v>
      </c>
      <c r="S1822" s="1">
        <v>0.22172018149362308</v>
      </c>
      <c r="T1822" t="s">
        <v>1969</v>
      </c>
      <c r="U1822" s="1">
        <v>394</v>
      </c>
      <c r="V1822">
        <f t="shared" si="112"/>
        <v>0.28838846909173044</v>
      </c>
      <c r="W1822" s="1">
        <f t="shared" si="113"/>
        <v>15.600000000000001</v>
      </c>
      <c r="X1822">
        <f t="shared" si="114"/>
        <v>0.33634895100000006</v>
      </c>
      <c r="Y1822">
        <f t="shared" si="115"/>
        <v>8.5999999999999943</v>
      </c>
      <c r="Z1822" s="1">
        <v>1</v>
      </c>
      <c r="AA1822">
        <v>99</v>
      </c>
      <c r="AB1822">
        <v>1.01E-2</v>
      </c>
      <c r="AC1822">
        <v>2</v>
      </c>
      <c r="AD1822">
        <v>133</v>
      </c>
      <c r="AE1822">
        <v>1.4999999999999999E-2</v>
      </c>
      <c r="AF1822" t="s">
        <v>2590</v>
      </c>
      <c r="AG1822" t="s">
        <v>2588</v>
      </c>
    </row>
    <row r="1823" spans="1:33">
      <c r="A1823" s="2" t="s">
        <v>79</v>
      </c>
      <c r="B1823" s="2" t="s">
        <v>13</v>
      </c>
      <c r="C1823" s="1">
        <v>0.63652882899999996</v>
      </c>
      <c r="D1823">
        <v>0.77536518600000004</v>
      </c>
      <c r="E1823">
        <v>0.610415606</v>
      </c>
      <c r="F1823" s="1" t="s">
        <v>80</v>
      </c>
      <c r="G1823" s="1">
        <v>0.95325542600000002</v>
      </c>
      <c r="H1823" s="1">
        <v>45.6</v>
      </c>
      <c r="I1823" s="1">
        <v>119.8</v>
      </c>
      <c r="J1823" s="1">
        <v>0.67410320700000004</v>
      </c>
      <c r="K1823" s="1">
        <v>0.48695497399999998</v>
      </c>
      <c r="L1823" s="1">
        <v>0.54991327199999995</v>
      </c>
      <c r="M1823" s="3">
        <v>0.67282609299999996</v>
      </c>
      <c r="N1823" s="1" t="s">
        <v>14</v>
      </c>
      <c r="O1823" s="1">
        <v>1.6052009460000001</v>
      </c>
      <c r="P1823" s="1">
        <v>26.6</v>
      </c>
      <c r="Q1823" s="1">
        <v>42.3</v>
      </c>
      <c r="R1823" s="1">
        <v>0.56989811299999993</v>
      </c>
      <c r="S1823" s="1">
        <v>0.27766161512424009</v>
      </c>
      <c r="T1823" t="s">
        <v>1970</v>
      </c>
      <c r="U1823" s="1">
        <v>44509</v>
      </c>
      <c r="V1823">
        <f t="shared" si="112"/>
        <v>0.51649420410433233</v>
      </c>
      <c r="W1823" s="1">
        <f t="shared" si="113"/>
        <v>19</v>
      </c>
      <c r="X1823">
        <f t="shared" si="114"/>
        <v>0.65194552000000006</v>
      </c>
      <c r="Y1823">
        <f t="shared" si="115"/>
        <v>77.5</v>
      </c>
      <c r="Z1823" s="1">
        <v>2</v>
      </c>
      <c r="AA1823">
        <v>98</v>
      </c>
      <c r="AB1823">
        <v>2.0400000000000001E-2</v>
      </c>
      <c r="AC1823">
        <v>3</v>
      </c>
      <c r="AD1823">
        <v>79</v>
      </c>
      <c r="AE1823">
        <v>3.7999999999999999E-2</v>
      </c>
      <c r="AF1823" t="s">
        <v>2590</v>
      </c>
      <c r="AG1823" t="s">
        <v>2590</v>
      </c>
    </row>
    <row r="1824" spans="1:33">
      <c r="A1824" s="2" t="s">
        <v>79</v>
      </c>
      <c r="B1824" s="2" t="s">
        <v>15</v>
      </c>
      <c r="C1824" s="1">
        <v>0.63652882899999996</v>
      </c>
      <c r="D1824">
        <v>0.77536518600000004</v>
      </c>
      <c r="E1824">
        <v>0.610415606</v>
      </c>
      <c r="F1824" s="1" t="s">
        <v>80</v>
      </c>
      <c r="G1824" s="1">
        <v>0.95325542600000002</v>
      </c>
      <c r="H1824" s="1">
        <v>45.6</v>
      </c>
      <c r="I1824" s="1">
        <v>119.8</v>
      </c>
      <c r="J1824" s="1">
        <v>0.67410320700000004</v>
      </c>
      <c r="K1824" s="1">
        <v>0.54560998800000005</v>
      </c>
      <c r="L1824" s="1">
        <v>0.66721428400000005</v>
      </c>
      <c r="M1824" s="3">
        <v>0.72650398400000005</v>
      </c>
      <c r="N1824" s="1" t="s">
        <v>16</v>
      </c>
      <c r="O1824" s="1">
        <v>5.1392405060000002</v>
      </c>
      <c r="P1824" s="1">
        <v>35.9</v>
      </c>
      <c r="Q1824" s="1">
        <v>15.8</v>
      </c>
      <c r="R1824" s="1">
        <v>0.64644275200000012</v>
      </c>
      <c r="S1824" s="1">
        <v>0.18286433429968724</v>
      </c>
      <c r="T1824" t="s">
        <v>1971</v>
      </c>
      <c r="U1824" s="1">
        <v>260</v>
      </c>
      <c r="V1824">
        <f t="shared" si="112"/>
        <v>0.26833037199675752</v>
      </c>
      <c r="W1824" s="1">
        <f t="shared" si="113"/>
        <v>9.7000000000000028</v>
      </c>
      <c r="X1824">
        <f t="shared" si="114"/>
        <v>4.18598508</v>
      </c>
      <c r="Y1824">
        <f t="shared" si="115"/>
        <v>104</v>
      </c>
      <c r="Z1824" s="1">
        <v>2</v>
      </c>
      <c r="AA1824">
        <v>98</v>
      </c>
      <c r="AB1824">
        <v>2.0400000000000001E-2</v>
      </c>
      <c r="AC1824">
        <v>2</v>
      </c>
      <c r="AD1824">
        <v>76</v>
      </c>
      <c r="AE1824">
        <v>2.63E-2</v>
      </c>
      <c r="AF1824" t="s">
        <v>2590</v>
      </c>
      <c r="AG1824" t="s">
        <v>2591</v>
      </c>
    </row>
    <row r="1825" spans="1:33">
      <c r="A1825" s="2" t="s">
        <v>79</v>
      </c>
      <c r="B1825" s="2" t="s">
        <v>17</v>
      </c>
      <c r="C1825" s="1">
        <v>0.63652882899999996</v>
      </c>
      <c r="D1825">
        <v>0.77536518600000004</v>
      </c>
      <c r="E1825">
        <v>0.610415606</v>
      </c>
      <c r="F1825" s="1" t="s">
        <v>80</v>
      </c>
      <c r="G1825" s="1">
        <v>0.95325542600000002</v>
      </c>
      <c r="H1825" s="1">
        <v>45.6</v>
      </c>
      <c r="I1825" s="1">
        <v>119.8</v>
      </c>
      <c r="J1825" s="1">
        <v>0.67410320700000004</v>
      </c>
      <c r="K1825" s="1">
        <v>0.659112378</v>
      </c>
      <c r="L1825" s="1">
        <v>0.68333493499999998</v>
      </c>
      <c r="M1825" s="3">
        <v>0.70345495199999997</v>
      </c>
      <c r="N1825" s="1" t="s">
        <v>18</v>
      </c>
      <c r="O1825" s="1">
        <v>1.9463955639999999</v>
      </c>
      <c r="P1825" s="1">
        <v>46.3</v>
      </c>
      <c r="Q1825" s="1">
        <v>54.1</v>
      </c>
      <c r="R1825" s="1">
        <v>0.68196742166666668</v>
      </c>
      <c r="S1825" s="1">
        <v>0.13280023979144814</v>
      </c>
      <c r="T1825" t="s">
        <v>1972</v>
      </c>
      <c r="U1825" s="1">
        <v>716</v>
      </c>
      <c r="V1825">
        <f t="shared" si="112"/>
        <v>0.31721255803420617</v>
      </c>
      <c r="W1825" s="1">
        <f t="shared" si="113"/>
        <v>0.69999999999999574</v>
      </c>
      <c r="X1825">
        <f t="shared" si="114"/>
        <v>0.99314013799999989</v>
      </c>
      <c r="Y1825">
        <f t="shared" si="115"/>
        <v>65.699999999999989</v>
      </c>
      <c r="Z1825" s="1">
        <v>1</v>
      </c>
      <c r="AA1825">
        <v>99</v>
      </c>
      <c r="AB1825">
        <v>1.01E-2</v>
      </c>
      <c r="AC1825">
        <v>1</v>
      </c>
      <c r="AD1825">
        <v>91</v>
      </c>
      <c r="AE1825">
        <v>1.0999999999999999E-2</v>
      </c>
      <c r="AF1825" t="s">
        <v>2590</v>
      </c>
      <c r="AG1825" t="s">
        <v>2591</v>
      </c>
    </row>
    <row r="1826" spans="1:33">
      <c r="A1826" s="2" t="s">
        <v>79</v>
      </c>
      <c r="B1826" s="2" t="s">
        <v>19</v>
      </c>
      <c r="C1826" s="1">
        <v>0.63652882899999996</v>
      </c>
      <c r="D1826">
        <v>0.77536518600000004</v>
      </c>
      <c r="E1826">
        <v>0.610415606</v>
      </c>
      <c r="F1826" s="1" t="s">
        <v>80</v>
      </c>
      <c r="G1826" s="1">
        <v>0.95325542600000002</v>
      </c>
      <c r="H1826" s="1">
        <v>45.6</v>
      </c>
      <c r="I1826" s="1">
        <v>119.8</v>
      </c>
      <c r="J1826" s="1">
        <v>0.67410320700000004</v>
      </c>
      <c r="K1826" s="1">
        <v>0.49391595300000002</v>
      </c>
      <c r="L1826" s="1">
        <v>0.603599314</v>
      </c>
      <c r="M1826" s="3">
        <v>0.63481471599999995</v>
      </c>
      <c r="N1826" s="1" t="s">
        <v>20</v>
      </c>
      <c r="O1826" s="1">
        <v>1.2140902870000001</v>
      </c>
      <c r="P1826" s="1">
        <v>64.900000000000006</v>
      </c>
      <c r="Q1826" s="1">
        <v>146.19999999999999</v>
      </c>
      <c r="R1826" s="1">
        <v>0.57744332766666662</v>
      </c>
      <c r="S1826" s="1">
        <v>0.22458242084745605</v>
      </c>
      <c r="T1826" t="s">
        <v>1973</v>
      </c>
      <c r="U1826" s="1">
        <v>4339</v>
      </c>
      <c r="V1826">
        <f t="shared" si="112"/>
        <v>0.40415440556991244</v>
      </c>
      <c r="W1826" s="1">
        <f t="shared" si="113"/>
        <v>19.300000000000004</v>
      </c>
      <c r="X1826">
        <f t="shared" si="114"/>
        <v>0.26083486100000008</v>
      </c>
      <c r="Y1826">
        <f t="shared" si="115"/>
        <v>26.399999999999991</v>
      </c>
      <c r="Z1826" s="1">
        <v>1</v>
      </c>
      <c r="AA1826">
        <v>99</v>
      </c>
      <c r="AB1826">
        <v>1.01E-2</v>
      </c>
      <c r="AC1826">
        <v>2</v>
      </c>
      <c r="AD1826">
        <v>70</v>
      </c>
      <c r="AE1826">
        <v>2.86E-2</v>
      </c>
      <c r="AF1826" t="s">
        <v>2590</v>
      </c>
      <c r="AG1826" t="s">
        <v>2593</v>
      </c>
    </row>
    <row r="1827" spans="1:33">
      <c r="A1827" s="2" t="s">
        <v>79</v>
      </c>
      <c r="B1827" s="2" t="s">
        <v>21</v>
      </c>
      <c r="C1827" s="1">
        <v>0.63652882899999996</v>
      </c>
      <c r="D1827">
        <v>0.77536518600000004</v>
      </c>
      <c r="E1827">
        <v>0.610415606</v>
      </c>
      <c r="F1827" s="1" t="s">
        <v>80</v>
      </c>
      <c r="G1827" s="1">
        <v>0.95325542600000002</v>
      </c>
      <c r="H1827" s="1">
        <v>45.6</v>
      </c>
      <c r="I1827" s="1">
        <v>119.8</v>
      </c>
      <c r="J1827" s="1">
        <v>0.67410320700000004</v>
      </c>
      <c r="K1827" s="1">
        <v>0.53276376800000003</v>
      </c>
      <c r="L1827" s="1">
        <v>0.65428149899999999</v>
      </c>
      <c r="M1827" s="3">
        <v>0.70160154799999996</v>
      </c>
      <c r="N1827" s="1" t="s">
        <v>22</v>
      </c>
      <c r="O1827" s="1">
        <v>1.2440604749999999</v>
      </c>
      <c r="P1827" s="1">
        <v>24.6</v>
      </c>
      <c r="Q1827" s="1">
        <v>46.3</v>
      </c>
      <c r="R1827" s="1">
        <v>0.62954893833333336</v>
      </c>
      <c r="S1827" s="1">
        <v>0.18369355775387183</v>
      </c>
      <c r="T1827" t="s">
        <v>1974</v>
      </c>
      <c r="U1827" s="1">
        <v>662</v>
      </c>
      <c r="V1827">
        <f t="shared" si="112"/>
        <v>0.31342866549330001</v>
      </c>
      <c r="W1827" s="1">
        <f t="shared" si="113"/>
        <v>21</v>
      </c>
      <c r="X1827">
        <f t="shared" si="114"/>
        <v>0.29080504899999993</v>
      </c>
      <c r="Y1827">
        <f t="shared" si="115"/>
        <v>73.5</v>
      </c>
      <c r="Z1827" s="1">
        <v>0</v>
      </c>
      <c r="AA1827">
        <v>100</v>
      </c>
      <c r="AB1827">
        <v>0</v>
      </c>
      <c r="AC1827">
        <v>1</v>
      </c>
      <c r="AD1827">
        <v>77</v>
      </c>
      <c r="AE1827">
        <v>1.2999999999999999E-2</v>
      </c>
      <c r="AF1827" t="s">
        <v>2590</v>
      </c>
      <c r="AG1827" t="s">
        <v>2589</v>
      </c>
    </row>
    <row r="1828" spans="1:33">
      <c r="A1828" s="2" t="s">
        <v>79</v>
      </c>
      <c r="B1828" s="2" t="s">
        <v>23</v>
      </c>
      <c r="C1828" s="1">
        <v>0.63652882899999996</v>
      </c>
      <c r="D1828">
        <v>0.77536518600000004</v>
      </c>
      <c r="E1828">
        <v>0.610415606</v>
      </c>
      <c r="F1828" s="1" t="s">
        <v>80</v>
      </c>
      <c r="G1828" s="1">
        <v>0.95325542600000002</v>
      </c>
      <c r="H1828" s="1">
        <v>45.6</v>
      </c>
      <c r="I1828" s="1">
        <v>119.8</v>
      </c>
      <c r="J1828" s="1">
        <v>0.67410320700000004</v>
      </c>
      <c r="K1828" s="1">
        <v>0.49415677200000002</v>
      </c>
      <c r="L1828" s="1">
        <v>0.62090818999999997</v>
      </c>
      <c r="M1828" s="3">
        <v>0.63381026900000004</v>
      </c>
      <c r="N1828" s="1" t="s">
        <v>24</v>
      </c>
      <c r="O1828" s="1">
        <v>1.141304348</v>
      </c>
      <c r="P1828" s="1">
        <v>44.4</v>
      </c>
      <c r="Q1828" s="1">
        <v>101.2</v>
      </c>
      <c r="R1828" s="1">
        <v>0.58295841033333329</v>
      </c>
      <c r="S1828" s="1">
        <v>0.21136242921730164</v>
      </c>
      <c r="T1828" t="s">
        <v>1975</v>
      </c>
      <c r="U1828" s="1">
        <v>21686</v>
      </c>
      <c r="V1828">
        <f t="shared" si="112"/>
        <v>0.48179771704860486</v>
      </c>
      <c r="W1828" s="1">
        <f t="shared" si="113"/>
        <v>1.2000000000000028</v>
      </c>
      <c r="X1828">
        <f t="shared" si="114"/>
        <v>0.18804892200000001</v>
      </c>
      <c r="Y1828">
        <f t="shared" si="115"/>
        <v>18.599999999999994</v>
      </c>
      <c r="Z1828" s="1">
        <v>4</v>
      </c>
      <c r="AA1828">
        <v>96</v>
      </c>
      <c r="AB1828">
        <v>4.1700000000000001E-2</v>
      </c>
      <c r="AC1828">
        <v>6</v>
      </c>
      <c r="AD1828">
        <v>68</v>
      </c>
      <c r="AE1828">
        <v>8.8200000000000001E-2</v>
      </c>
      <c r="AF1828" t="s">
        <v>2590</v>
      </c>
      <c r="AG1828" t="s">
        <v>2590</v>
      </c>
    </row>
    <row r="1829" spans="1:33">
      <c r="A1829" s="2" t="s">
        <v>79</v>
      </c>
      <c r="B1829" s="2" t="s">
        <v>25</v>
      </c>
      <c r="C1829" s="1">
        <v>0.63652882899999996</v>
      </c>
      <c r="D1829">
        <v>0.77536518600000004</v>
      </c>
      <c r="E1829">
        <v>0.610415606</v>
      </c>
      <c r="F1829" s="1" t="s">
        <v>80</v>
      </c>
      <c r="G1829" s="1">
        <v>0.95325542600000002</v>
      </c>
      <c r="H1829" s="1">
        <v>45.6</v>
      </c>
      <c r="I1829" s="1">
        <v>119.8</v>
      </c>
      <c r="J1829" s="1">
        <v>0.67410320700000004</v>
      </c>
      <c r="K1829" s="1">
        <v>0.53959274199999996</v>
      </c>
      <c r="L1829" s="1">
        <v>0.64971567399999997</v>
      </c>
      <c r="M1829" s="3">
        <v>0.65028459999999999</v>
      </c>
      <c r="N1829" s="1" t="s">
        <v>26</v>
      </c>
      <c r="O1829" s="1">
        <v>1.623046875</v>
      </c>
      <c r="P1829" s="1">
        <v>34.700000000000003</v>
      </c>
      <c r="Q1829" s="1">
        <v>51.2</v>
      </c>
      <c r="R1829" s="1">
        <v>0.61319767199999997</v>
      </c>
      <c r="S1829" s="1">
        <v>0.16362744730417866</v>
      </c>
      <c r="T1829" t="s">
        <v>1976</v>
      </c>
      <c r="U1829" s="1">
        <v>828</v>
      </c>
      <c r="V1829">
        <f t="shared" si="112"/>
        <v>0.32422559297609782</v>
      </c>
      <c r="W1829" s="1">
        <f t="shared" si="113"/>
        <v>10.899999999999999</v>
      </c>
      <c r="X1829">
        <f t="shared" si="114"/>
        <v>0.66979144899999998</v>
      </c>
      <c r="Y1829">
        <f t="shared" si="115"/>
        <v>68.599999999999994</v>
      </c>
      <c r="Z1829" s="1">
        <v>0</v>
      </c>
      <c r="AA1829">
        <v>100</v>
      </c>
      <c r="AB1829">
        <v>0</v>
      </c>
      <c r="AC1829">
        <v>0</v>
      </c>
      <c r="AD1829">
        <v>76</v>
      </c>
      <c r="AE1829">
        <v>0</v>
      </c>
      <c r="AF1829" t="s">
        <v>2590</v>
      </c>
      <c r="AG1829" t="s">
        <v>2594</v>
      </c>
    </row>
    <row r="1830" spans="1:33">
      <c r="A1830" s="2" t="s">
        <v>79</v>
      </c>
      <c r="B1830" s="2" t="s">
        <v>27</v>
      </c>
      <c r="C1830" s="1">
        <v>0.63652882899999996</v>
      </c>
      <c r="D1830">
        <v>0.77536518600000004</v>
      </c>
      <c r="E1830">
        <v>0.610415606</v>
      </c>
      <c r="F1830" s="1" t="s">
        <v>80</v>
      </c>
      <c r="G1830" s="1">
        <v>0.95325542600000002</v>
      </c>
      <c r="H1830" s="1">
        <v>45.6</v>
      </c>
      <c r="I1830" s="1">
        <v>119.8</v>
      </c>
      <c r="J1830" s="1">
        <v>0.67410320700000004</v>
      </c>
      <c r="K1830" s="1">
        <v>0.518608662</v>
      </c>
      <c r="L1830" s="1">
        <v>0.64320369700000002</v>
      </c>
      <c r="M1830" s="3">
        <v>0.62228994199999998</v>
      </c>
      <c r="N1830" s="1" t="s">
        <v>28</v>
      </c>
      <c r="O1830" s="1">
        <v>1.8717391299999999</v>
      </c>
      <c r="P1830" s="1">
        <v>33.700000000000003</v>
      </c>
      <c r="Q1830" s="1">
        <v>46</v>
      </c>
      <c r="R1830" s="1">
        <v>0.59470076699999996</v>
      </c>
      <c r="S1830" s="1">
        <v>0.17751851964075721</v>
      </c>
      <c r="T1830" t="s">
        <v>1977</v>
      </c>
      <c r="U1830" s="1">
        <v>9337</v>
      </c>
      <c r="V1830">
        <f t="shared" si="112"/>
        <v>0.44113415097853942</v>
      </c>
      <c r="W1830" s="1">
        <f t="shared" si="113"/>
        <v>11.899999999999999</v>
      </c>
      <c r="X1830">
        <f t="shared" si="114"/>
        <v>0.9184837039999999</v>
      </c>
      <c r="Y1830">
        <f t="shared" si="115"/>
        <v>73.8</v>
      </c>
      <c r="Z1830" s="1">
        <v>2</v>
      </c>
      <c r="AA1830">
        <v>98</v>
      </c>
      <c r="AB1830">
        <v>2.0400000000000001E-2</v>
      </c>
      <c r="AC1830">
        <v>3</v>
      </c>
      <c r="AD1830">
        <v>80</v>
      </c>
      <c r="AE1830">
        <v>3.7499999999999999E-2</v>
      </c>
      <c r="AF1830" t="s">
        <v>2590</v>
      </c>
      <c r="AG1830" t="s">
        <v>2590</v>
      </c>
    </row>
    <row r="1831" spans="1:33">
      <c r="A1831" s="2" t="s">
        <v>79</v>
      </c>
      <c r="B1831" s="2" t="s">
        <v>29</v>
      </c>
      <c r="C1831" s="1">
        <v>0.63652882899999996</v>
      </c>
      <c r="D1831">
        <v>0.77536518600000004</v>
      </c>
      <c r="E1831">
        <v>0.610415606</v>
      </c>
      <c r="F1831" s="1" t="s">
        <v>80</v>
      </c>
      <c r="G1831" s="1">
        <v>0.95325542600000002</v>
      </c>
      <c r="H1831" s="1">
        <v>45.6</v>
      </c>
      <c r="I1831" s="1">
        <v>119.8</v>
      </c>
      <c r="J1831" s="1">
        <v>0.67410320700000004</v>
      </c>
      <c r="K1831" s="1">
        <v>0.59351545100000003</v>
      </c>
      <c r="L1831" s="1">
        <v>0.68136602400000001</v>
      </c>
      <c r="M1831" s="3">
        <v>0.73518087600000004</v>
      </c>
      <c r="N1831" s="1" t="s">
        <v>30</v>
      </c>
      <c r="O1831" s="1">
        <v>2.849112426</v>
      </c>
      <c r="P1831" s="1">
        <v>37.9</v>
      </c>
      <c r="Q1831" s="1">
        <v>33.799999999999997</v>
      </c>
      <c r="R1831" s="1">
        <v>0.67002078366666673</v>
      </c>
      <c r="S1831" s="1">
        <v>0.16202581813354944</v>
      </c>
      <c r="T1831" t="s">
        <v>1978</v>
      </c>
      <c r="U1831" s="1">
        <v>384</v>
      </c>
      <c r="V1831">
        <f t="shared" si="112"/>
        <v>0.28714791381861454</v>
      </c>
      <c r="W1831" s="1">
        <f t="shared" si="113"/>
        <v>7.7000000000000028</v>
      </c>
      <c r="X1831">
        <f t="shared" si="114"/>
        <v>1.8958569999999999</v>
      </c>
      <c r="Y1831">
        <f t="shared" si="115"/>
        <v>86</v>
      </c>
      <c r="Z1831" s="1">
        <v>1</v>
      </c>
      <c r="AA1831">
        <v>99</v>
      </c>
      <c r="AB1831">
        <v>1.01E-2</v>
      </c>
      <c r="AC1831">
        <v>1</v>
      </c>
      <c r="AD1831">
        <v>71</v>
      </c>
      <c r="AE1831">
        <v>1.41E-2</v>
      </c>
      <c r="AF1831" t="s">
        <v>2590</v>
      </c>
      <c r="AG1831" t="s">
        <v>2593</v>
      </c>
    </row>
    <row r="1832" spans="1:33">
      <c r="A1832" s="2" t="s">
        <v>79</v>
      </c>
      <c r="B1832" s="2" t="s">
        <v>31</v>
      </c>
      <c r="C1832" s="1">
        <v>0.63652882899999996</v>
      </c>
      <c r="D1832">
        <v>0.77536518600000004</v>
      </c>
      <c r="E1832">
        <v>0.610415606</v>
      </c>
      <c r="F1832" s="1" t="s">
        <v>80</v>
      </c>
      <c r="G1832" s="1">
        <v>0.95325542600000002</v>
      </c>
      <c r="H1832" s="1">
        <v>45.6</v>
      </c>
      <c r="I1832" s="1">
        <v>119.8</v>
      </c>
      <c r="J1832" s="1">
        <v>0.67410320700000004</v>
      </c>
      <c r="K1832" s="1">
        <v>0.47727961800000002</v>
      </c>
      <c r="L1832" s="1">
        <v>0.66941086400000005</v>
      </c>
      <c r="M1832" s="3">
        <v>0.69294815300000001</v>
      </c>
      <c r="N1832" s="1" t="s">
        <v>32</v>
      </c>
      <c r="O1832" s="1">
        <v>1.341891892</v>
      </c>
      <c r="P1832" s="1">
        <v>42.1</v>
      </c>
      <c r="Q1832" s="1">
        <v>74</v>
      </c>
      <c r="R1832" s="1">
        <v>0.61321287833333338</v>
      </c>
      <c r="S1832" s="1">
        <v>0.20832246846874053</v>
      </c>
      <c r="T1832" t="s">
        <v>1979</v>
      </c>
      <c r="U1832" s="1">
        <v>1486</v>
      </c>
      <c r="V1832">
        <f t="shared" si="112"/>
        <v>0.35244653438050627</v>
      </c>
      <c r="W1832" s="1">
        <f t="shared" si="113"/>
        <v>3.5</v>
      </c>
      <c r="X1832">
        <f t="shared" si="114"/>
        <v>0.38863646600000001</v>
      </c>
      <c r="Y1832">
        <f t="shared" si="115"/>
        <v>45.8</v>
      </c>
      <c r="Z1832" s="1">
        <v>1</v>
      </c>
      <c r="AA1832">
        <v>99</v>
      </c>
      <c r="AB1832">
        <v>1.01E-2</v>
      </c>
      <c r="AC1832">
        <v>2</v>
      </c>
      <c r="AD1832">
        <v>78</v>
      </c>
      <c r="AE1832">
        <v>2.5600000000000001E-2</v>
      </c>
      <c r="AF1832" t="s">
        <v>2590</v>
      </c>
      <c r="AG1832" t="s">
        <v>2589</v>
      </c>
    </row>
    <row r="1833" spans="1:33">
      <c r="A1833" s="2" t="s">
        <v>79</v>
      </c>
      <c r="B1833" s="2" t="s">
        <v>33</v>
      </c>
      <c r="C1833" s="1">
        <v>0.63652882899999996</v>
      </c>
      <c r="D1833">
        <v>0.77536518600000004</v>
      </c>
      <c r="E1833">
        <v>0.610415606</v>
      </c>
      <c r="F1833" s="1" t="s">
        <v>80</v>
      </c>
      <c r="G1833" s="1">
        <v>0.95325542600000002</v>
      </c>
      <c r="H1833" s="1">
        <v>45.6</v>
      </c>
      <c r="I1833" s="1">
        <v>119.8</v>
      </c>
      <c r="J1833" s="1">
        <v>0.67410320700000004</v>
      </c>
      <c r="K1833" s="1">
        <v>0.51347926600000005</v>
      </c>
      <c r="L1833" s="1">
        <v>0.63144379399999995</v>
      </c>
      <c r="M1833" s="3">
        <v>0.64189093500000005</v>
      </c>
      <c r="N1833" s="1" t="s">
        <v>34</v>
      </c>
      <c r="O1833" s="1">
        <v>2.3123667380000001</v>
      </c>
      <c r="P1833" s="1">
        <v>79.099999999999994</v>
      </c>
      <c r="Q1833" s="1">
        <v>93.8</v>
      </c>
      <c r="R1833" s="1">
        <v>0.59560466500000009</v>
      </c>
      <c r="S1833" s="1">
        <v>0.19195118745495399</v>
      </c>
      <c r="T1833" t="s">
        <v>1980</v>
      </c>
      <c r="U1833" s="1">
        <v>27509</v>
      </c>
      <c r="V1833">
        <f t="shared" si="112"/>
        <v>0.49327497814630927</v>
      </c>
      <c r="W1833" s="1">
        <f t="shared" si="113"/>
        <v>33.499999999999993</v>
      </c>
      <c r="X1833">
        <f t="shared" si="114"/>
        <v>1.359111312</v>
      </c>
      <c r="Y1833">
        <f t="shared" si="115"/>
        <v>26</v>
      </c>
      <c r="Z1833" s="1">
        <v>4</v>
      </c>
      <c r="AA1833">
        <v>96</v>
      </c>
      <c r="AB1833">
        <v>4.1700000000000001E-2</v>
      </c>
      <c r="AC1833">
        <v>5</v>
      </c>
      <c r="AD1833">
        <v>69</v>
      </c>
      <c r="AE1833">
        <v>7.2499999999999995E-2</v>
      </c>
      <c r="AF1833" t="s">
        <v>2590</v>
      </c>
      <c r="AG1833" t="s">
        <v>2590</v>
      </c>
    </row>
    <row r="1834" spans="1:33">
      <c r="A1834" s="2" t="s">
        <v>79</v>
      </c>
      <c r="B1834" s="2" t="s">
        <v>35</v>
      </c>
      <c r="C1834" s="1">
        <v>0.63652882899999996</v>
      </c>
      <c r="D1834">
        <v>0.77536518600000004</v>
      </c>
      <c r="E1834">
        <v>0.610415606</v>
      </c>
      <c r="F1834" s="1" t="s">
        <v>80</v>
      </c>
      <c r="G1834" s="1">
        <v>0.95325542600000002</v>
      </c>
      <c r="H1834" s="1">
        <v>45.6</v>
      </c>
      <c r="I1834" s="1">
        <v>119.8</v>
      </c>
      <c r="J1834" s="1">
        <v>0.67410320700000004</v>
      </c>
      <c r="K1834" s="1">
        <v>0.52542897600000005</v>
      </c>
      <c r="L1834" s="1">
        <v>0.60774736299999998</v>
      </c>
      <c r="M1834" s="3">
        <v>0.62585751700000003</v>
      </c>
      <c r="N1834" s="1" t="s">
        <v>36</v>
      </c>
      <c r="O1834" s="1">
        <v>0.98848810399999998</v>
      </c>
      <c r="P1834" s="1">
        <v>54.2</v>
      </c>
      <c r="Q1834" s="1">
        <v>130.30000000000001</v>
      </c>
      <c r="R1834" s="1">
        <v>0.58634461866666665</v>
      </c>
      <c r="S1834" s="1">
        <v>0.20168630230933599</v>
      </c>
      <c r="T1834" t="s">
        <v>1981</v>
      </c>
      <c r="U1834" s="1">
        <v>3027</v>
      </c>
      <c r="V1834">
        <f t="shared" si="112"/>
        <v>0.38677915788406364</v>
      </c>
      <c r="W1834" s="1">
        <f t="shared" si="113"/>
        <v>8.6000000000000014</v>
      </c>
      <c r="X1834">
        <f t="shared" si="114"/>
        <v>3.5232677999999962E-2</v>
      </c>
      <c r="Y1834">
        <f t="shared" si="115"/>
        <v>10.500000000000014</v>
      </c>
      <c r="Z1834" s="1">
        <v>1</v>
      </c>
      <c r="AA1834">
        <v>99</v>
      </c>
      <c r="AB1834">
        <v>1.01E-2</v>
      </c>
      <c r="AC1834">
        <v>2</v>
      </c>
      <c r="AD1834">
        <v>71</v>
      </c>
      <c r="AE1834">
        <v>2.8199999999999999E-2</v>
      </c>
      <c r="AF1834" t="s">
        <v>2590</v>
      </c>
      <c r="AG1834" t="s">
        <v>2589</v>
      </c>
    </row>
    <row r="1835" spans="1:33">
      <c r="A1835" s="2" t="s">
        <v>79</v>
      </c>
      <c r="B1835" s="2" t="s">
        <v>37</v>
      </c>
      <c r="C1835" s="1">
        <v>0.63652882899999996</v>
      </c>
      <c r="D1835">
        <v>0.77536518600000004</v>
      </c>
      <c r="E1835">
        <v>0.610415606</v>
      </c>
      <c r="F1835" s="1" t="s">
        <v>80</v>
      </c>
      <c r="G1835" s="1">
        <v>0.95325542600000002</v>
      </c>
      <c r="H1835" s="1">
        <v>45.6</v>
      </c>
      <c r="I1835" s="1">
        <v>119.8</v>
      </c>
      <c r="J1835" s="1">
        <v>0.67410320700000004</v>
      </c>
      <c r="K1835" s="1">
        <v>0.50856695500000004</v>
      </c>
      <c r="L1835" s="1">
        <v>0.654733224</v>
      </c>
      <c r="M1835" s="3">
        <v>0.61418267199999999</v>
      </c>
      <c r="N1835" s="1" t="s">
        <v>38</v>
      </c>
      <c r="O1835" s="1">
        <v>0.64065708399999999</v>
      </c>
      <c r="P1835" s="1">
        <v>41.9</v>
      </c>
      <c r="Q1835" s="1">
        <v>146.1</v>
      </c>
      <c r="R1835" s="1">
        <v>0.59249428366666679</v>
      </c>
      <c r="S1835" s="1">
        <v>0.17589912518204762</v>
      </c>
      <c r="T1835" t="s">
        <v>1982</v>
      </c>
      <c r="U1835" s="1">
        <v>4157</v>
      </c>
      <c r="V1835">
        <f t="shared" si="112"/>
        <v>0.40208666938957943</v>
      </c>
      <c r="W1835" s="1">
        <f t="shared" si="113"/>
        <v>3.7000000000000028</v>
      </c>
      <c r="X1835">
        <f t="shared" si="114"/>
        <v>0.31259834200000003</v>
      </c>
      <c r="Y1835">
        <f t="shared" si="115"/>
        <v>26.299999999999997</v>
      </c>
      <c r="Z1835" s="1">
        <v>1</v>
      </c>
      <c r="AA1835">
        <v>99</v>
      </c>
      <c r="AB1835">
        <v>1.01E-2</v>
      </c>
      <c r="AC1835">
        <v>2</v>
      </c>
      <c r="AD1835">
        <v>70</v>
      </c>
      <c r="AE1835">
        <v>2.86E-2</v>
      </c>
      <c r="AF1835" t="s">
        <v>2590</v>
      </c>
      <c r="AG1835" t="s">
        <v>2590</v>
      </c>
    </row>
    <row r="1836" spans="1:33">
      <c r="A1836" s="2" t="s">
        <v>79</v>
      </c>
      <c r="B1836" s="2" t="s">
        <v>39</v>
      </c>
      <c r="C1836" s="1">
        <v>0.63652882899999996</v>
      </c>
      <c r="D1836">
        <v>0.77536518600000004</v>
      </c>
      <c r="E1836">
        <v>0.610415606</v>
      </c>
      <c r="F1836" s="1" t="s">
        <v>80</v>
      </c>
      <c r="G1836" s="1">
        <v>0.95325542600000002</v>
      </c>
      <c r="H1836" s="1">
        <v>45.6</v>
      </c>
      <c r="I1836" s="1">
        <v>119.8</v>
      </c>
      <c r="J1836" s="1">
        <v>0.67410320700000004</v>
      </c>
      <c r="K1836" s="1">
        <v>0.60811616199999996</v>
      </c>
      <c r="L1836" s="1">
        <v>0.721105683</v>
      </c>
      <c r="M1836" s="3">
        <v>0.741016169</v>
      </c>
      <c r="N1836" s="1" t="s">
        <v>40</v>
      </c>
      <c r="O1836" s="1">
        <v>1.0601915180000001</v>
      </c>
      <c r="P1836" s="1">
        <v>34</v>
      </c>
      <c r="Q1836" s="1">
        <v>73.099999999999994</v>
      </c>
      <c r="R1836" s="1">
        <v>0.69007933799999999</v>
      </c>
      <c r="S1836" s="1">
        <v>0.14424936869108604</v>
      </c>
      <c r="T1836" t="s">
        <v>1983</v>
      </c>
      <c r="U1836" s="1">
        <v>1748</v>
      </c>
      <c r="V1836">
        <f t="shared" si="112"/>
        <v>0.36028238092204273</v>
      </c>
      <c r="W1836" s="1">
        <f t="shared" si="113"/>
        <v>11.600000000000001</v>
      </c>
      <c r="X1836">
        <f t="shared" si="114"/>
        <v>0.10693609200000009</v>
      </c>
      <c r="Y1836">
        <f t="shared" si="115"/>
        <v>46.7</v>
      </c>
      <c r="Z1836" s="1">
        <v>1</v>
      </c>
      <c r="AA1836">
        <v>99</v>
      </c>
      <c r="AB1836">
        <v>1.01E-2</v>
      </c>
      <c r="AC1836">
        <v>2</v>
      </c>
      <c r="AD1836">
        <v>73</v>
      </c>
      <c r="AE1836">
        <v>2.7400000000000001E-2</v>
      </c>
      <c r="AF1836" t="s">
        <v>2590</v>
      </c>
      <c r="AG1836" t="s">
        <v>2589</v>
      </c>
    </row>
    <row r="1837" spans="1:33">
      <c r="A1837" s="2" t="s">
        <v>79</v>
      </c>
      <c r="B1837" s="2" t="s">
        <v>41</v>
      </c>
      <c r="C1837" s="1">
        <v>0.63652882899999996</v>
      </c>
      <c r="D1837">
        <v>0.77536518600000004</v>
      </c>
      <c r="E1837">
        <v>0.610415606</v>
      </c>
      <c r="F1837" s="1" t="s">
        <v>80</v>
      </c>
      <c r="G1837" s="1">
        <v>0.95325542600000002</v>
      </c>
      <c r="H1837" s="1">
        <v>45.6</v>
      </c>
      <c r="I1837" s="1">
        <v>119.8</v>
      </c>
      <c r="J1837" s="1">
        <v>0.67410320700000004</v>
      </c>
      <c r="K1837" s="1">
        <v>0.60402244999999999</v>
      </c>
      <c r="L1837" s="1">
        <v>0.669189213</v>
      </c>
      <c r="M1837" s="3">
        <v>0.69821693799999995</v>
      </c>
      <c r="N1837" s="1" t="s">
        <v>42</v>
      </c>
      <c r="O1837" s="1">
        <v>1.3243902439999999</v>
      </c>
      <c r="P1837" s="1">
        <v>23</v>
      </c>
      <c r="Q1837" s="1">
        <v>41</v>
      </c>
      <c r="R1837" s="1">
        <v>0.65714286700000002</v>
      </c>
      <c r="S1837" s="1">
        <v>0.14155944270575024</v>
      </c>
      <c r="T1837" t="s">
        <v>1984</v>
      </c>
      <c r="U1837" s="1">
        <v>2326</v>
      </c>
      <c r="V1837">
        <f t="shared" si="112"/>
        <v>0.37406774559915884</v>
      </c>
      <c r="W1837" s="1">
        <f t="shared" si="113"/>
        <v>22.6</v>
      </c>
      <c r="X1837">
        <f t="shared" si="114"/>
        <v>0.37113481799999992</v>
      </c>
      <c r="Y1837">
        <f t="shared" si="115"/>
        <v>78.8</v>
      </c>
      <c r="Z1837" s="1">
        <v>1</v>
      </c>
      <c r="AA1837">
        <v>99</v>
      </c>
      <c r="AB1837">
        <v>1.01E-2</v>
      </c>
      <c r="AC1837">
        <v>1</v>
      </c>
      <c r="AD1837">
        <v>88</v>
      </c>
      <c r="AE1837">
        <v>1.14E-2</v>
      </c>
      <c r="AF1837" t="s">
        <v>2590</v>
      </c>
      <c r="AG1837" t="s">
        <v>2591</v>
      </c>
    </row>
    <row r="1838" spans="1:33">
      <c r="A1838" s="2" t="s">
        <v>79</v>
      </c>
      <c r="B1838" s="2" t="s">
        <v>43</v>
      </c>
      <c r="C1838" s="1">
        <v>0.63652882899999996</v>
      </c>
      <c r="D1838">
        <v>0.77536518600000004</v>
      </c>
      <c r="E1838">
        <v>0.610415606</v>
      </c>
      <c r="F1838" s="1" t="s">
        <v>80</v>
      </c>
      <c r="G1838" s="1">
        <v>0.95325542600000002</v>
      </c>
      <c r="H1838" s="1">
        <v>45.6</v>
      </c>
      <c r="I1838" s="1">
        <v>119.8</v>
      </c>
      <c r="J1838" s="1">
        <v>0.67410320700000004</v>
      </c>
      <c r="K1838" s="1">
        <v>0.54180634699999997</v>
      </c>
      <c r="L1838" s="1">
        <v>0.59470779900000004</v>
      </c>
      <c r="M1838" s="3">
        <v>0.69518155599999998</v>
      </c>
      <c r="N1838" s="1" t="s">
        <v>44</v>
      </c>
      <c r="O1838" s="1">
        <v>1.7403685090000001</v>
      </c>
      <c r="P1838" s="1">
        <v>41.2</v>
      </c>
      <c r="Q1838" s="1">
        <v>59.7</v>
      </c>
      <c r="R1838" s="1">
        <v>0.61056523400000007</v>
      </c>
      <c r="S1838" s="1">
        <v>0.22089523841248954</v>
      </c>
      <c r="T1838" t="s">
        <v>1985</v>
      </c>
      <c r="U1838" s="1">
        <v>3743</v>
      </c>
      <c r="V1838">
        <f t="shared" si="112"/>
        <v>0.39702442523493575</v>
      </c>
      <c r="W1838" s="1">
        <f t="shared" si="113"/>
        <v>4.3999999999999986</v>
      </c>
      <c r="X1838">
        <f t="shared" si="114"/>
        <v>0.78711308300000005</v>
      </c>
      <c r="Y1838">
        <f t="shared" si="115"/>
        <v>60.099999999999994</v>
      </c>
      <c r="Z1838" s="1">
        <v>1</v>
      </c>
      <c r="AA1838">
        <v>99</v>
      </c>
      <c r="AB1838">
        <v>1.01E-2</v>
      </c>
      <c r="AC1838">
        <v>2</v>
      </c>
      <c r="AD1838">
        <v>109</v>
      </c>
      <c r="AE1838">
        <v>1.83E-2</v>
      </c>
      <c r="AF1838" t="s">
        <v>2590</v>
      </c>
      <c r="AG1838" t="s">
        <v>2589</v>
      </c>
    </row>
    <row r="1839" spans="1:33">
      <c r="A1839" s="2" t="s">
        <v>79</v>
      </c>
      <c r="B1839" s="2" t="s">
        <v>45</v>
      </c>
      <c r="C1839" s="1">
        <v>0.63652882899999996</v>
      </c>
      <c r="D1839">
        <v>0.77536518600000004</v>
      </c>
      <c r="E1839">
        <v>0.610415606</v>
      </c>
      <c r="F1839" s="1" t="s">
        <v>80</v>
      </c>
      <c r="G1839" s="1">
        <v>0.95325542600000002</v>
      </c>
      <c r="H1839" s="1">
        <v>45.6</v>
      </c>
      <c r="I1839" s="1">
        <v>119.8</v>
      </c>
      <c r="J1839" s="1">
        <v>0.67410320700000004</v>
      </c>
      <c r="K1839" s="1">
        <v>0.50907007599999998</v>
      </c>
      <c r="L1839" s="1">
        <v>0.68428041399999995</v>
      </c>
      <c r="M1839" s="3">
        <v>0.67454742099999998</v>
      </c>
      <c r="N1839" s="1" t="s">
        <v>46</v>
      </c>
      <c r="O1839" s="1">
        <v>0.98140043799999999</v>
      </c>
      <c r="P1839" s="1">
        <v>38.9</v>
      </c>
      <c r="Q1839" s="1">
        <v>91.4</v>
      </c>
      <c r="R1839" s="1">
        <v>0.62263263699999993</v>
      </c>
      <c r="S1839" s="1">
        <v>0.16927805262880724</v>
      </c>
      <c r="T1839" t="s">
        <v>1986</v>
      </c>
      <c r="U1839" s="1">
        <v>1148</v>
      </c>
      <c r="V1839">
        <f t="shared" si="112"/>
        <v>0.33999354311799501</v>
      </c>
      <c r="W1839" s="1">
        <f t="shared" si="113"/>
        <v>6.7000000000000028</v>
      </c>
      <c r="X1839">
        <f t="shared" si="114"/>
        <v>2.8145011999999969E-2</v>
      </c>
      <c r="Y1839">
        <f t="shared" si="115"/>
        <v>28.399999999999991</v>
      </c>
      <c r="Z1839" s="1">
        <v>1</v>
      </c>
      <c r="AA1839">
        <v>99</v>
      </c>
      <c r="AB1839">
        <v>1.01E-2</v>
      </c>
      <c r="AC1839">
        <v>2</v>
      </c>
      <c r="AD1839">
        <v>89</v>
      </c>
      <c r="AE1839">
        <v>2.2499999999999999E-2</v>
      </c>
      <c r="AF1839" t="s">
        <v>2590</v>
      </c>
      <c r="AG1839" t="s">
        <v>2589</v>
      </c>
    </row>
    <row r="1840" spans="1:33">
      <c r="A1840" s="2" t="s">
        <v>79</v>
      </c>
      <c r="B1840" s="2" t="s">
        <v>47</v>
      </c>
      <c r="C1840" s="1">
        <v>0.63652882899999996</v>
      </c>
      <c r="D1840">
        <v>0.77536518600000004</v>
      </c>
      <c r="E1840">
        <v>0.610415606</v>
      </c>
      <c r="F1840" s="1" t="s">
        <v>80</v>
      </c>
      <c r="G1840" s="1">
        <v>0.95325542600000002</v>
      </c>
      <c r="H1840" s="1">
        <v>45.6</v>
      </c>
      <c r="I1840" s="1">
        <v>119.8</v>
      </c>
      <c r="J1840" s="1">
        <v>0.67410320700000004</v>
      </c>
      <c r="K1840" s="1">
        <v>0.50612154099999995</v>
      </c>
      <c r="L1840" s="1">
        <v>0.55940039100000005</v>
      </c>
      <c r="M1840" s="3">
        <v>0.66789001699999995</v>
      </c>
      <c r="N1840" s="1" t="s">
        <v>48</v>
      </c>
      <c r="O1840" s="1">
        <v>1.242622951</v>
      </c>
      <c r="P1840" s="1">
        <v>17.8</v>
      </c>
      <c r="Q1840" s="1">
        <v>30.5</v>
      </c>
      <c r="R1840" s="1">
        <v>0.57780398300000002</v>
      </c>
      <c r="S1840" s="1">
        <v>0.25874729247415107</v>
      </c>
      <c r="T1840" t="s">
        <v>1987</v>
      </c>
      <c r="U1840" s="1">
        <v>1874</v>
      </c>
      <c r="V1840">
        <f t="shared" si="112"/>
        <v>0.36364106517241773</v>
      </c>
      <c r="W1840" s="1">
        <f t="shared" si="113"/>
        <v>27.8</v>
      </c>
      <c r="X1840">
        <f t="shared" si="114"/>
        <v>0.28936752499999996</v>
      </c>
      <c r="Y1840">
        <f t="shared" si="115"/>
        <v>89.3</v>
      </c>
      <c r="Z1840" s="1">
        <v>0</v>
      </c>
      <c r="AA1840">
        <v>100</v>
      </c>
      <c r="AB1840">
        <v>0</v>
      </c>
      <c r="AC1840">
        <v>1</v>
      </c>
      <c r="AD1840">
        <v>97</v>
      </c>
      <c r="AE1840">
        <v>1.03E-2</v>
      </c>
      <c r="AF1840" t="s">
        <v>2590</v>
      </c>
      <c r="AG1840" t="s">
        <v>2590</v>
      </c>
    </row>
    <row r="1841" spans="1:33">
      <c r="A1841" s="2" t="s">
        <v>79</v>
      </c>
      <c r="B1841" s="2" t="s">
        <v>49</v>
      </c>
      <c r="C1841" s="1">
        <v>0.63652882899999996</v>
      </c>
      <c r="D1841">
        <v>0.77536518600000004</v>
      </c>
      <c r="E1841">
        <v>0.610415606</v>
      </c>
      <c r="F1841" s="1" t="s">
        <v>80</v>
      </c>
      <c r="G1841" s="1">
        <v>0.95325542600000002</v>
      </c>
      <c r="H1841" s="1">
        <v>45.6</v>
      </c>
      <c r="I1841" s="1">
        <v>119.8</v>
      </c>
      <c r="J1841" s="1">
        <v>0.67410320700000004</v>
      </c>
      <c r="K1841" s="1">
        <v>0.50647110500000003</v>
      </c>
      <c r="L1841" s="1">
        <v>0.55713136799999996</v>
      </c>
      <c r="M1841" s="3">
        <v>0.63402682300000002</v>
      </c>
      <c r="N1841" s="1" t="s">
        <v>50</v>
      </c>
      <c r="O1841" s="1">
        <v>1.876675603</v>
      </c>
      <c r="P1841" s="1">
        <v>28.8</v>
      </c>
      <c r="Q1841" s="1">
        <v>37.299999999999997</v>
      </c>
      <c r="R1841" s="1">
        <v>0.56587643200000004</v>
      </c>
      <c r="S1841" s="1">
        <v>0.25514407784453552</v>
      </c>
      <c r="T1841" t="s">
        <v>1988</v>
      </c>
      <c r="U1841" s="1">
        <v>16230</v>
      </c>
      <c r="V1841">
        <f t="shared" si="112"/>
        <v>0.4678131688695813</v>
      </c>
      <c r="W1841" s="1">
        <f t="shared" si="113"/>
        <v>16.8</v>
      </c>
      <c r="X1841">
        <f t="shared" si="114"/>
        <v>0.92342017700000001</v>
      </c>
      <c r="Y1841">
        <f t="shared" si="115"/>
        <v>82.5</v>
      </c>
      <c r="Z1841" s="1">
        <v>0</v>
      </c>
      <c r="AA1841">
        <v>100</v>
      </c>
      <c r="AB1841">
        <v>0</v>
      </c>
      <c r="AC1841">
        <v>1</v>
      </c>
      <c r="AD1841">
        <v>71</v>
      </c>
      <c r="AE1841">
        <v>1.41E-2</v>
      </c>
      <c r="AF1841" t="s">
        <v>2590</v>
      </c>
      <c r="AG1841" t="s">
        <v>2590</v>
      </c>
    </row>
    <row r="1842" spans="1:33">
      <c r="A1842" s="2" t="s">
        <v>79</v>
      </c>
      <c r="B1842" s="2" t="s">
        <v>51</v>
      </c>
      <c r="C1842" s="1">
        <v>0.63652882899999996</v>
      </c>
      <c r="D1842">
        <v>0.77536518600000004</v>
      </c>
      <c r="E1842">
        <v>0.610415606</v>
      </c>
      <c r="F1842" s="1" t="s">
        <v>80</v>
      </c>
      <c r="G1842" s="1">
        <v>0.95325542600000002</v>
      </c>
      <c r="H1842" s="1">
        <v>45.6</v>
      </c>
      <c r="I1842" s="1">
        <v>119.8</v>
      </c>
      <c r="J1842" s="1">
        <v>0.67410320700000004</v>
      </c>
      <c r="K1842" s="1">
        <v>0.60067161999999996</v>
      </c>
      <c r="L1842" s="1">
        <v>0.68094129999999997</v>
      </c>
      <c r="M1842" s="3">
        <v>0.73595931299999995</v>
      </c>
      <c r="N1842" s="1" t="s">
        <v>52</v>
      </c>
      <c r="O1842" s="1">
        <v>1.858638743</v>
      </c>
      <c r="P1842" s="1">
        <v>29.4</v>
      </c>
      <c r="Q1842" s="1">
        <v>38.200000000000003</v>
      </c>
      <c r="R1842" s="1">
        <v>0.67252407766666666</v>
      </c>
      <c r="S1842" s="1">
        <v>0.16112986083253633</v>
      </c>
      <c r="T1842" t="s">
        <v>1989</v>
      </c>
      <c r="U1842" s="1">
        <v>2343</v>
      </c>
      <c r="V1842">
        <f t="shared" si="112"/>
        <v>0.37441914317744035</v>
      </c>
      <c r="W1842" s="1">
        <f t="shared" si="113"/>
        <v>16.200000000000003</v>
      </c>
      <c r="X1842">
        <f t="shared" si="114"/>
        <v>0.90538331699999997</v>
      </c>
      <c r="Y1842">
        <f t="shared" si="115"/>
        <v>81.599999999999994</v>
      </c>
      <c r="Z1842" s="1">
        <v>2</v>
      </c>
      <c r="AA1842">
        <v>98</v>
      </c>
      <c r="AB1842">
        <v>2.0400000000000001E-2</v>
      </c>
      <c r="AC1842">
        <v>3</v>
      </c>
      <c r="AD1842">
        <v>78</v>
      </c>
      <c r="AE1842">
        <v>3.85E-2</v>
      </c>
      <c r="AF1842" t="s">
        <v>2590</v>
      </c>
      <c r="AG1842" t="s">
        <v>2591</v>
      </c>
    </row>
    <row r="1843" spans="1:33">
      <c r="A1843" s="2" t="s">
        <v>79</v>
      </c>
      <c r="B1843" s="2" t="s">
        <v>53</v>
      </c>
      <c r="C1843" s="1">
        <v>0.63652882899999996</v>
      </c>
      <c r="D1843">
        <v>0.77536518600000004</v>
      </c>
      <c r="E1843">
        <v>0.610415606</v>
      </c>
      <c r="F1843" s="1" t="s">
        <v>80</v>
      </c>
      <c r="G1843" s="1">
        <v>0.95325542600000002</v>
      </c>
      <c r="H1843" s="1">
        <v>45.6</v>
      </c>
      <c r="I1843" s="1">
        <v>119.8</v>
      </c>
      <c r="J1843" s="1">
        <v>0.67410320700000004</v>
      </c>
      <c r="K1843" s="1">
        <v>0.54695832700000002</v>
      </c>
      <c r="L1843" s="1">
        <v>0.659790137</v>
      </c>
      <c r="M1843" s="3">
        <v>0.70662085500000005</v>
      </c>
      <c r="N1843" s="1" t="s">
        <v>54</v>
      </c>
      <c r="O1843" s="1">
        <v>2.5053995680000001</v>
      </c>
      <c r="P1843" s="1">
        <v>43.9</v>
      </c>
      <c r="Q1843" s="1">
        <v>46.3</v>
      </c>
      <c r="R1843" s="1">
        <v>0.63778977300000006</v>
      </c>
      <c r="S1843" s="1">
        <v>0.17503118783530097</v>
      </c>
      <c r="T1843" t="s">
        <v>1990</v>
      </c>
      <c r="U1843" s="1">
        <v>810</v>
      </c>
      <c r="V1843">
        <f t="shared" si="112"/>
        <v>0.32316500209762777</v>
      </c>
      <c r="W1843" s="1">
        <f t="shared" si="113"/>
        <v>1.7000000000000028</v>
      </c>
      <c r="X1843">
        <f t="shared" si="114"/>
        <v>1.5521441419999999</v>
      </c>
      <c r="Y1843">
        <f t="shared" si="115"/>
        <v>73.5</v>
      </c>
      <c r="Z1843" s="1">
        <v>0</v>
      </c>
      <c r="AA1843">
        <v>100</v>
      </c>
      <c r="AB1843">
        <v>0</v>
      </c>
      <c r="AC1843">
        <v>1</v>
      </c>
      <c r="AD1843">
        <v>80</v>
      </c>
      <c r="AE1843">
        <v>1.2500000000000001E-2</v>
      </c>
      <c r="AF1843" t="s">
        <v>2590</v>
      </c>
      <c r="AG1843" t="s">
        <v>2593</v>
      </c>
    </row>
    <row r="1844" spans="1:33">
      <c r="A1844" s="2" t="s">
        <v>79</v>
      </c>
      <c r="B1844" s="2" t="s">
        <v>55</v>
      </c>
      <c r="C1844" s="1">
        <v>0.63652882899999996</v>
      </c>
      <c r="D1844">
        <v>0.77536518600000004</v>
      </c>
      <c r="E1844">
        <v>0.610415606</v>
      </c>
      <c r="F1844" s="1" t="s">
        <v>80</v>
      </c>
      <c r="G1844" s="1">
        <v>0.95325542600000002</v>
      </c>
      <c r="H1844" s="1">
        <v>45.6</v>
      </c>
      <c r="I1844" s="1">
        <v>119.8</v>
      </c>
      <c r="J1844" s="1">
        <v>0.67410320700000004</v>
      </c>
      <c r="K1844" s="1">
        <v>0.52971861799999997</v>
      </c>
      <c r="L1844" s="1">
        <v>0.62258244500000004</v>
      </c>
      <c r="M1844" s="3">
        <v>0.63939760400000001</v>
      </c>
      <c r="N1844" s="1" t="s">
        <v>56</v>
      </c>
      <c r="O1844" s="1">
        <v>1.0796934869999999</v>
      </c>
      <c r="P1844" s="1">
        <v>55.3</v>
      </c>
      <c r="Q1844" s="1">
        <v>130.5</v>
      </c>
      <c r="R1844" s="1">
        <v>0.59723288899999993</v>
      </c>
      <c r="S1844" s="1">
        <v>0.18865562098546021</v>
      </c>
      <c r="T1844" t="s">
        <v>1991</v>
      </c>
      <c r="U1844" s="1">
        <v>12527</v>
      </c>
      <c r="V1844">
        <f t="shared" si="112"/>
        <v>0.45531634193592629</v>
      </c>
      <c r="W1844" s="1">
        <f t="shared" si="113"/>
        <v>9.6999999999999957</v>
      </c>
      <c r="X1844">
        <f t="shared" si="114"/>
        <v>0.12643806099999988</v>
      </c>
      <c r="Y1844">
        <f t="shared" si="115"/>
        <v>10.700000000000003</v>
      </c>
      <c r="Z1844" s="1">
        <v>1</v>
      </c>
      <c r="AA1844">
        <v>99</v>
      </c>
      <c r="AB1844">
        <v>1.01E-2</v>
      </c>
      <c r="AC1844">
        <v>2</v>
      </c>
      <c r="AD1844">
        <v>71</v>
      </c>
      <c r="AE1844">
        <v>2.8199999999999999E-2</v>
      </c>
      <c r="AF1844" t="s">
        <v>2590</v>
      </c>
      <c r="AG1844" t="s">
        <v>2592</v>
      </c>
    </row>
    <row r="1845" spans="1:33">
      <c r="A1845" s="2" t="s">
        <v>79</v>
      </c>
      <c r="B1845" s="2" t="s">
        <v>57</v>
      </c>
      <c r="C1845" s="1">
        <v>0.63652882899999996</v>
      </c>
      <c r="D1845">
        <v>0.77536518600000004</v>
      </c>
      <c r="E1845">
        <v>0.610415606</v>
      </c>
      <c r="F1845" s="1" t="s">
        <v>80</v>
      </c>
      <c r="G1845" s="1">
        <v>0.95325542600000002</v>
      </c>
      <c r="H1845" s="1">
        <v>45.6</v>
      </c>
      <c r="I1845" s="1">
        <v>119.8</v>
      </c>
      <c r="J1845" s="1">
        <v>0.67410320700000004</v>
      </c>
      <c r="K1845" s="1">
        <v>0.528732855</v>
      </c>
      <c r="L1845" s="1">
        <v>0.63387497599999998</v>
      </c>
      <c r="M1845" s="3">
        <v>0.63337360200000004</v>
      </c>
      <c r="N1845" s="1" t="s">
        <v>58</v>
      </c>
      <c r="O1845" s="1">
        <v>1.386610879</v>
      </c>
      <c r="P1845" s="1">
        <v>69</v>
      </c>
      <c r="Q1845" s="1">
        <v>119.5</v>
      </c>
      <c r="R1845" s="1">
        <v>0.59866047766666663</v>
      </c>
      <c r="S1845" s="1">
        <v>0.17935027492811045</v>
      </c>
      <c r="T1845" t="s">
        <v>1992</v>
      </c>
      <c r="U1845" s="1">
        <v>2637</v>
      </c>
      <c r="V1845">
        <f t="shared" si="112"/>
        <v>0.38012334775482604</v>
      </c>
      <c r="W1845" s="1">
        <f t="shared" si="113"/>
        <v>23.4</v>
      </c>
      <c r="X1845">
        <f t="shared" si="114"/>
        <v>0.433355453</v>
      </c>
      <c r="Y1845">
        <f t="shared" si="115"/>
        <v>0.29999999999999716</v>
      </c>
      <c r="Z1845" s="1">
        <v>1</v>
      </c>
      <c r="AA1845">
        <v>99</v>
      </c>
      <c r="AB1845">
        <v>1.01E-2</v>
      </c>
      <c r="AC1845">
        <v>2</v>
      </c>
      <c r="AD1845">
        <v>77</v>
      </c>
      <c r="AE1845">
        <v>2.5999999999999999E-2</v>
      </c>
      <c r="AF1845" t="s">
        <v>2590</v>
      </c>
      <c r="AG1845" t="s">
        <v>2589</v>
      </c>
    </row>
    <row r="1846" spans="1:33">
      <c r="A1846" s="2" t="s">
        <v>79</v>
      </c>
      <c r="B1846" s="2" t="s">
        <v>59</v>
      </c>
      <c r="C1846" s="1">
        <v>0.63652882899999996</v>
      </c>
      <c r="D1846">
        <v>0.77536518600000004</v>
      </c>
      <c r="E1846">
        <v>0.610415606</v>
      </c>
      <c r="F1846" s="1" t="s">
        <v>80</v>
      </c>
      <c r="G1846" s="1">
        <v>0.95325542600000002</v>
      </c>
      <c r="H1846" s="1">
        <v>45.6</v>
      </c>
      <c r="I1846" s="1">
        <v>119.8</v>
      </c>
      <c r="J1846" s="1">
        <v>0.67410320700000004</v>
      </c>
      <c r="K1846" s="1">
        <v>0.56225432799999997</v>
      </c>
      <c r="L1846" s="1">
        <v>0.68100706499999997</v>
      </c>
      <c r="M1846" s="3">
        <v>0.67505263699999996</v>
      </c>
      <c r="N1846" s="1" t="s">
        <v>60</v>
      </c>
      <c r="O1846" s="1">
        <v>1.1501154730000001</v>
      </c>
      <c r="P1846" s="1">
        <v>60.5</v>
      </c>
      <c r="Q1846" s="1">
        <v>129.9</v>
      </c>
      <c r="R1846" s="1">
        <v>0.63943801</v>
      </c>
      <c r="S1846" s="1">
        <v>0.13637485939110847</v>
      </c>
      <c r="T1846" t="s">
        <v>1993</v>
      </c>
      <c r="U1846" s="1">
        <v>2996</v>
      </c>
      <c r="V1846">
        <f t="shared" si="112"/>
        <v>0.38628242322526984</v>
      </c>
      <c r="W1846" s="1">
        <f t="shared" si="113"/>
        <v>14.899999999999999</v>
      </c>
      <c r="X1846">
        <f t="shared" si="114"/>
        <v>0.19686004700000004</v>
      </c>
      <c r="Y1846">
        <f t="shared" si="115"/>
        <v>10.100000000000009</v>
      </c>
      <c r="Z1846" s="1">
        <v>1</v>
      </c>
      <c r="AA1846">
        <v>99</v>
      </c>
      <c r="AB1846">
        <v>1.01E-2</v>
      </c>
      <c r="AC1846">
        <v>2</v>
      </c>
      <c r="AD1846">
        <v>96</v>
      </c>
      <c r="AE1846">
        <v>2.0799999999999999E-2</v>
      </c>
      <c r="AF1846" t="s">
        <v>2590</v>
      </c>
      <c r="AG1846" t="s">
        <v>2589</v>
      </c>
    </row>
    <row r="1847" spans="1:33">
      <c r="A1847" s="2" t="s">
        <v>79</v>
      </c>
      <c r="B1847" s="2" t="s">
        <v>61</v>
      </c>
      <c r="C1847" s="1">
        <v>0.63652882899999996</v>
      </c>
      <c r="D1847">
        <v>0.77536518600000004</v>
      </c>
      <c r="E1847">
        <v>0.610415606</v>
      </c>
      <c r="F1847" s="1" t="s">
        <v>80</v>
      </c>
      <c r="G1847" s="1">
        <v>0.95325542600000002</v>
      </c>
      <c r="H1847" s="1">
        <v>45.6</v>
      </c>
      <c r="I1847" s="1">
        <v>119.8</v>
      </c>
      <c r="J1847" s="1">
        <v>0.67410320700000004</v>
      </c>
      <c r="K1847" s="1">
        <v>0.62063455999999995</v>
      </c>
      <c r="L1847" s="1">
        <v>0.67798104299999995</v>
      </c>
      <c r="M1847" s="3">
        <v>0.72175371600000005</v>
      </c>
      <c r="N1847" s="1" t="s">
        <v>62</v>
      </c>
      <c r="O1847" s="1">
        <v>7.5471698109999998</v>
      </c>
      <c r="P1847" s="1">
        <v>26.4</v>
      </c>
      <c r="Q1847" s="1">
        <v>10.6</v>
      </c>
      <c r="R1847" s="1">
        <v>0.6734564396666668</v>
      </c>
      <c r="S1847" s="1">
        <v>0.14876986870082576</v>
      </c>
      <c r="T1847" t="s">
        <v>1994</v>
      </c>
      <c r="U1847" s="1">
        <v>687</v>
      </c>
      <c r="V1847">
        <f t="shared" si="112"/>
        <v>0.31521741522883895</v>
      </c>
      <c r="W1847" s="1">
        <f t="shared" si="113"/>
        <v>19.200000000000003</v>
      </c>
      <c r="X1847">
        <f t="shared" si="114"/>
        <v>6.5939143849999997</v>
      </c>
      <c r="Y1847">
        <f t="shared" si="115"/>
        <v>109.2</v>
      </c>
      <c r="Z1847" s="1">
        <v>0</v>
      </c>
      <c r="AA1847">
        <v>100</v>
      </c>
      <c r="AB1847">
        <v>0</v>
      </c>
      <c r="AC1847">
        <v>0</v>
      </c>
      <c r="AD1847">
        <v>73</v>
      </c>
      <c r="AE1847">
        <v>0</v>
      </c>
      <c r="AF1847" t="s">
        <v>2590</v>
      </c>
      <c r="AG1847" t="s">
        <v>2588</v>
      </c>
    </row>
    <row r="1848" spans="1:33">
      <c r="A1848" s="2" t="s">
        <v>79</v>
      </c>
      <c r="B1848" s="2" t="s">
        <v>63</v>
      </c>
      <c r="C1848" s="1">
        <v>0.63652882899999996</v>
      </c>
      <c r="D1848">
        <v>0.77536518600000004</v>
      </c>
      <c r="E1848">
        <v>0.610415606</v>
      </c>
      <c r="F1848" s="1" t="s">
        <v>80</v>
      </c>
      <c r="G1848" s="1">
        <v>0.95325542600000002</v>
      </c>
      <c r="H1848" s="1">
        <v>45.6</v>
      </c>
      <c r="I1848" s="1">
        <v>119.8</v>
      </c>
      <c r="J1848" s="1">
        <v>0.67410320700000004</v>
      </c>
      <c r="K1848" s="1">
        <v>0.44311141399999998</v>
      </c>
      <c r="L1848" s="1">
        <v>0.57053969199999999</v>
      </c>
      <c r="M1848" s="3">
        <v>0.59266330599999995</v>
      </c>
      <c r="N1848" s="1" t="s">
        <v>64</v>
      </c>
      <c r="O1848" s="1">
        <v>0.89618138400000003</v>
      </c>
      <c r="P1848" s="1">
        <v>29.7</v>
      </c>
      <c r="Q1848" s="1">
        <v>83.8</v>
      </c>
      <c r="R1848" s="1">
        <v>0.53543813733333334</v>
      </c>
      <c r="S1848" s="1">
        <v>0.28227455353417225</v>
      </c>
      <c r="T1848" t="s">
        <v>1995</v>
      </c>
      <c r="U1848" s="1">
        <v>6954</v>
      </c>
      <c r="V1848">
        <f t="shared" si="112"/>
        <v>0.42691496514969329</v>
      </c>
      <c r="W1848" s="1">
        <f t="shared" si="113"/>
        <v>15.900000000000002</v>
      </c>
      <c r="X1848">
        <f t="shared" si="114"/>
        <v>5.7074041999999992E-2</v>
      </c>
      <c r="Y1848">
        <f t="shared" si="115"/>
        <v>36</v>
      </c>
      <c r="Z1848" s="1">
        <v>3</v>
      </c>
      <c r="AA1848">
        <v>97</v>
      </c>
      <c r="AB1848">
        <v>3.09E-2</v>
      </c>
      <c r="AC1848">
        <v>4</v>
      </c>
      <c r="AD1848">
        <v>76</v>
      </c>
      <c r="AE1848">
        <v>5.2600000000000001E-2</v>
      </c>
      <c r="AF1848" t="s">
        <v>2590</v>
      </c>
      <c r="AG1848" t="s">
        <v>2590</v>
      </c>
    </row>
    <row r="1849" spans="1:33">
      <c r="A1849" s="2" t="s">
        <v>79</v>
      </c>
      <c r="B1849" s="2" t="s">
        <v>65</v>
      </c>
      <c r="C1849" s="1">
        <v>0.63652882899999996</v>
      </c>
      <c r="D1849">
        <v>0.77536518600000004</v>
      </c>
      <c r="E1849">
        <v>0.610415606</v>
      </c>
      <c r="F1849" s="1" t="s">
        <v>80</v>
      </c>
      <c r="G1849" s="1">
        <v>0.95325542600000002</v>
      </c>
      <c r="H1849" s="1">
        <v>45.6</v>
      </c>
      <c r="I1849" s="1">
        <v>119.8</v>
      </c>
      <c r="J1849" s="1">
        <v>0.67410320700000004</v>
      </c>
      <c r="K1849" s="1">
        <v>0.67377447499999998</v>
      </c>
      <c r="L1849" s="1">
        <v>0.69144672900000004</v>
      </c>
      <c r="M1849" s="3">
        <v>0.73046409700000003</v>
      </c>
      <c r="N1849" s="1" t="s">
        <v>66</v>
      </c>
      <c r="O1849" s="1">
        <v>1.8507462690000001</v>
      </c>
      <c r="P1849" s="1">
        <v>34.5</v>
      </c>
      <c r="Q1849" s="1">
        <v>46.9</v>
      </c>
      <c r="R1849" s="1">
        <v>0.69856176700000006</v>
      </c>
      <c r="S1849" s="1">
        <v>0.1511330068601669</v>
      </c>
      <c r="T1849" t="s">
        <v>1996</v>
      </c>
      <c r="U1849" s="1">
        <v>533</v>
      </c>
      <c r="V1849">
        <f t="shared" si="112"/>
        <v>0.30296968989184137</v>
      </c>
      <c r="W1849" s="1">
        <f t="shared" si="113"/>
        <v>11.100000000000001</v>
      </c>
      <c r="X1849">
        <f t="shared" si="114"/>
        <v>0.89749084300000004</v>
      </c>
      <c r="Y1849">
        <f t="shared" si="115"/>
        <v>72.900000000000006</v>
      </c>
      <c r="Z1849" s="1">
        <v>0</v>
      </c>
      <c r="AA1849">
        <v>100</v>
      </c>
      <c r="AB1849">
        <v>0</v>
      </c>
      <c r="AC1849">
        <v>0</v>
      </c>
      <c r="AD1849">
        <v>62</v>
      </c>
      <c r="AE1849">
        <v>0</v>
      </c>
      <c r="AF1849" t="s">
        <v>2590</v>
      </c>
      <c r="AG1849" t="s">
        <v>2593</v>
      </c>
    </row>
    <row r="1850" spans="1:33">
      <c r="A1850" s="2" t="s">
        <v>79</v>
      </c>
      <c r="B1850" s="2" t="s">
        <v>67</v>
      </c>
      <c r="C1850" s="1">
        <v>0.63652882899999996</v>
      </c>
      <c r="D1850">
        <v>0.77536518600000004</v>
      </c>
      <c r="E1850">
        <v>0.610415606</v>
      </c>
      <c r="F1850" s="1" t="s">
        <v>80</v>
      </c>
      <c r="G1850" s="1">
        <v>0.95325542600000002</v>
      </c>
      <c r="H1850" s="1">
        <v>45.6</v>
      </c>
      <c r="I1850" s="1">
        <v>119.8</v>
      </c>
      <c r="J1850" s="1">
        <v>0.67410320700000004</v>
      </c>
      <c r="K1850" s="1">
        <v>0.53971122199999999</v>
      </c>
      <c r="L1850" s="1">
        <v>0.621203065</v>
      </c>
      <c r="M1850" s="3">
        <v>0.67806811499999997</v>
      </c>
      <c r="N1850" s="1" t="s">
        <v>68</v>
      </c>
      <c r="O1850" s="1">
        <v>1.5131894480000001</v>
      </c>
      <c r="P1850" s="1">
        <v>27.2</v>
      </c>
      <c r="Q1850" s="1">
        <v>41.7</v>
      </c>
      <c r="R1850" s="1">
        <v>0.61299413400000002</v>
      </c>
      <c r="S1850" s="1">
        <v>0.19420728758319078</v>
      </c>
      <c r="T1850" t="s">
        <v>1997</v>
      </c>
      <c r="U1850" s="1">
        <v>465</v>
      </c>
      <c r="V1850">
        <f t="shared" si="112"/>
        <v>0.29638366143221712</v>
      </c>
      <c r="W1850" s="1">
        <f t="shared" si="113"/>
        <v>18.400000000000002</v>
      </c>
      <c r="X1850">
        <f t="shared" si="114"/>
        <v>0.55993402200000009</v>
      </c>
      <c r="Y1850">
        <f t="shared" si="115"/>
        <v>78.099999999999994</v>
      </c>
      <c r="Z1850" s="1">
        <v>1</v>
      </c>
      <c r="AA1850">
        <v>99</v>
      </c>
      <c r="AB1850">
        <v>1.01E-2</v>
      </c>
      <c r="AC1850">
        <v>2</v>
      </c>
      <c r="AD1850">
        <v>71</v>
      </c>
      <c r="AE1850">
        <v>2.8199999999999999E-2</v>
      </c>
      <c r="AF1850" t="s">
        <v>2590</v>
      </c>
      <c r="AG1850" t="s">
        <v>2588</v>
      </c>
    </row>
    <row r="1851" spans="1:33">
      <c r="A1851" s="2" t="s">
        <v>79</v>
      </c>
      <c r="B1851" s="2" t="s">
        <v>69</v>
      </c>
      <c r="C1851" s="1">
        <v>0.63652882899999996</v>
      </c>
      <c r="D1851">
        <v>0.77536518600000004</v>
      </c>
      <c r="E1851">
        <v>0.610415606</v>
      </c>
      <c r="F1851" s="1" t="s">
        <v>80</v>
      </c>
      <c r="G1851" s="1">
        <v>0.95325542600000002</v>
      </c>
      <c r="H1851" s="1">
        <v>45.6</v>
      </c>
      <c r="I1851" s="1">
        <v>119.8</v>
      </c>
      <c r="J1851" s="1">
        <v>0.67410320700000004</v>
      </c>
      <c r="K1851" s="1">
        <v>0.50188385300000005</v>
      </c>
      <c r="L1851" s="1">
        <v>0.64580031500000001</v>
      </c>
      <c r="M1851" s="3">
        <v>0.66006355800000005</v>
      </c>
      <c r="N1851" s="1" t="s">
        <v>70</v>
      </c>
      <c r="O1851" s="1">
        <v>1.2401055409999999</v>
      </c>
      <c r="P1851" s="1">
        <v>43.4</v>
      </c>
      <c r="Q1851" s="1">
        <v>75.8</v>
      </c>
      <c r="R1851" s="1">
        <v>0.60258257533333337</v>
      </c>
      <c r="S1851" s="1">
        <v>0.19334229877882778</v>
      </c>
      <c r="T1851" t="s">
        <v>1998</v>
      </c>
      <c r="U1851" s="1">
        <v>1584</v>
      </c>
      <c r="V1851">
        <f t="shared" si="112"/>
        <v>0.35552835302816388</v>
      </c>
      <c r="W1851" s="1">
        <f t="shared" si="113"/>
        <v>2.2000000000000028</v>
      </c>
      <c r="X1851">
        <f t="shared" si="114"/>
        <v>0.28685011499999991</v>
      </c>
      <c r="Y1851">
        <f t="shared" si="115"/>
        <v>44</v>
      </c>
      <c r="Z1851" s="1">
        <v>2</v>
      </c>
      <c r="AA1851">
        <v>98</v>
      </c>
      <c r="AB1851">
        <v>2.0400000000000001E-2</v>
      </c>
      <c r="AC1851">
        <v>3</v>
      </c>
      <c r="AD1851">
        <v>77</v>
      </c>
      <c r="AE1851">
        <v>3.9E-2</v>
      </c>
      <c r="AF1851" t="s">
        <v>2590</v>
      </c>
      <c r="AG1851" t="s">
        <v>2589</v>
      </c>
    </row>
    <row r="1852" spans="1:33">
      <c r="A1852" s="2" t="s">
        <v>79</v>
      </c>
      <c r="B1852" s="2" t="s">
        <v>71</v>
      </c>
      <c r="C1852" s="1">
        <v>0.63652882899999996</v>
      </c>
      <c r="D1852">
        <v>0.77536518600000004</v>
      </c>
      <c r="E1852">
        <v>0.610415606</v>
      </c>
      <c r="F1852" s="1" t="s">
        <v>80</v>
      </c>
      <c r="G1852" s="1">
        <v>0.95325542600000002</v>
      </c>
      <c r="H1852" s="1">
        <v>45.6</v>
      </c>
      <c r="I1852" s="1">
        <v>119.8</v>
      </c>
      <c r="J1852" s="1">
        <v>0.67410320700000004</v>
      </c>
      <c r="K1852" s="1">
        <v>0.53267569100000001</v>
      </c>
      <c r="L1852" s="1">
        <v>0.64507433599999997</v>
      </c>
      <c r="M1852" s="3">
        <v>0.66598465100000004</v>
      </c>
      <c r="N1852" s="1" t="s">
        <v>72</v>
      </c>
      <c r="O1852" s="1">
        <v>0.97289666900000005</v>
      </c>
      <c r="P1852" s="1">
        <v>64.8</v>
      </c>
      <c r="Q1852" s="1">
        <v>177.1</v>
      </c>
      <c r="R1852" s="1">
        <v>0.61457822600000001</v>
      </c>
      <c r="S1852" s="1">
        <v>0.17563911474492686</v>
      </c>
      <c r="T1852" t="s">
        <v>1999</v>
      </c>
      <c r="U1852" s="1">
        <v>5443</v>
      </c>
      <c r="V1852">
        <f t="shared" si="112"/>
        <v>0.41509314825745264</v>
      </c>
      <c r="W1852" s="1">
        <f t="shared" si="113"/>
        <v>19.199999999999996</v>
      </c>
      <c r="X1852">
        <f t="shared" si="114"/>
        <v>1.964124300000003E-2</v>
      </c>
      <c r="Y1852">
        <f t="shared" si="115"/>
        <v>57.3</v>
      </c>
      <c r="Z1852" s="1">
        <v>1</v>
      </c>
      <c r="AA1852">
        <v>99</v>
      </c>
      <c r="AB1852">
        <v>1.01E-2</v>
      </c>
      <c r="AC1852">
        <v>2</v>
      </c>
      <c r="AD1852">
        <v>89</v>
      </c>
      <c r="AE1852">
        <v>2.2499999999999999E-2</v>
      </c>
      <c r="AF1852" t="s">
        <v>2590</v>
      </c>
      <c r="AG1852" t="s">
        <v>2589</v>
      </c>
    </row>
    <row r="1853" spans="1:33">
      <c r="A1853" s="2" t="s">
        <v>79</v>
      </c>
      <c r="B1853" s="2" t="s">
        <v>73</v>
      </c>
      <c r="C1853" s="1">
        <v>0.63652882899999996</v>
      </c>
      <c r="D1853">
        <v>0.77536518600000004</v>
      </c>
      <c r="E1853">
        <v>0.610415606</v>
      </c>
      <c r="F1853" s="1" t="s">
        <v>80</v>
      </c>
      <c r="G1853" s="1">
        <v>0.95325542600000002</v>
      </c>
      <c r="H1853" s="1">
        <v>45.6</v>
      </c>
      <c r="I1853" s="1">
        <v>119.8</v>
      </c>
      <c r="J1853" s="1">
        <v>0.67410320700000004</v>
      </c>
      <c r="K1853" s="1">
        <v>0.55697925299999995</v>
      </c>
      <c r="L1853" s="1">
        <v>0.64461978399999997</v>
      </c>
      <c r="M1853" s="3">
        <v>0.69570690000000002</v>
      </c>
      <c r="N1853" s="1" t="s">
        <v>74</v>
      </c>
      <c r="O1853" s="1">
        <v>1.23433584</v>
      </c>
      <c r="P1853" s="1">
        <v>44</v>
      </c>
      <c r="Q1853" s="1">
        <v>79.8</v>
      </c>
      <c r="R1853" s="1">
        <v>0.63243531233333328</v>
      </c>
      <c r="S1853" s="1">
        <v>0.17520587894849829</v>
      </c>
      <c r="T1853" t="s">
        <v>2000</v>
      </c>
      <c r="U1853" s="1">
        <v>1356</v>
      </c>
      <c r="V1853">
        <f t="shared" si="112"/>
        <v>0.34802885439233827</v>
      </c>
      <c r="W1853" s="1">
        <f t="shared" si="113"/>
        <v>1.6000000000000014</v>
      </c>
      <c r="X1853">
        <f t="shared" si="114"/>
        <v>0.28108041399999995</v>
      </c>
      <c r="Y1853">
        <f t="shared" si="115"/>
        <v>40</v>
      </c>
      <c r="Z1853" s="1">
        <v>1</v>
      </c>
      <c r="AA1853">
        <v>99</v>
      </c>
      <c r="AB1853">
        <v>1.01E-2</v>
      </c>
      <c r="AC1853">
        <v>2</v>
      </c>
      <c r="AD1853">
        <v>74</v>
      </c>
      <c r="AE1853">
        <v>2.7E-2</v>
      </c>
      <c r="AF1853" t="s">
        <v>2590</v>
      </c>
      <c r="AG1853" t="s">
        <v>2589</v>
      </c>
    </row>
    <row r="1854" spans="1:33">
      <c r="A1854" s="2" t="s">
        <v>79</v>
      </c>
      <c r="B1854" s="2" t="s">
        <v>75</v>
      </c>
      <c r="C1854" s="1">
        <v>0.63652882899999996</v>
      </c>
      <c r="D1854">
        <v>0.77536518600000004</v>
      </c>
      <c r="E1854">
        <v>0.610415606</v>
      </c>
      <c r="F1854" s="1" t="s">
        <v>80</v>
      </c>
      <c r="G1854" s="1">
        <v>0.95325542600000002</v>
      </c>
      <c r="H1854" s="1">
        <v>45.6</v>
      </c>
      <c r="I1854" s="1">
        <v>119.8</v>
      </c>
      <c r="J1854" s="1">
        <v>0.67410320700000004</v>
      </c>
      <c r="K1854" s="1">
        <v>0.50354843500000002</v>
      </c>
      <c r="L1854" s="1">
        <v>0.59724402499999996</v>
      </c>
      <c r="M1854" s="3">
        <v>0.70308254199999998</v>
      </c>
      <c r="N1854" s="1" t="s">
        <v>76</v>
      </c>
      <c r="O1854" s="1">
        <v>1.2696850390000001</v>
      </c>
      <c r="P1854" s="1">
        <v>26.6</v>
      </c>
      <c r="Q1854" s="1">
        <v>50.8</v>
      </c>
      <c r="R1854" s="1">
        <v>0.60129166733333339</v>
      </c>
      <c r="S1854" s="1">
        <v>0.24082793486639223</v>
      </c>
      <c r="T1854" t="s">
        <v>2001</v>
      </c>
      <c r="U1854" s="1">
        <v>1101</v>
      </c>
      <c r="V1854">
        <f t="shared" si="112"/>
        <v>0.3379763687746391</v>
      </c>
      <c r="W1854" s="1">
        <f t="shared" si="113"/>
        <v>19</v>
      </c>
      <c r="X1854">
        <f t="shared" si="114"/>
        <v>0.31642961300000005</v>
      </c>
      <c r="Y1854">
        <f t="shared" si="115"/>
        <v>69</v>
      </c>
      <c r="Z1854" s="1">
        <v>1</v>
      </c>
      <c r="AA1854">
        <v>99</v>
      </c>
      <c r="AB1854">
        <v>1.01E-2</v>
      </c>
      <c r="AC1854">
        <v>2</v>
      </c>
      <c r="AD1854">
        <v>74</v>
      </c>
      <c r="AE1854">
        <v>2.7E-2</v>
      </c>
      <c r="AF1854" t="s">
        <v>2590</v>
      </c>
      <c r="AG1854" t="s">
        <v>2594</v>
      </c>
    </row>
    <row r="1855" spans="1:33">
      <c r="A1855" s="2" t="s">
        <v>79</v>
      </c>
      <c r="B1855" s="2" t="s">
        <v>77</v>
      </c>
      <c r="C1855" s="1">
        <v>0.63652882899999996</v>
      </c>
      <c r="D1855">
        <v>0.77536518600000004</v>
      </c>
      <c r="E1855">
        <v>0.610415606</v>
      </c>
      <c r="F1855" s="1" t="s">
        <v>80</v>
      </c>
      <c r="G1855" s="1">
        <v>0.95325542600000002</v>
      </c>
      <c r="H1855" s="1">
        <v>45.6</v>
      </c>
      <c r="I1855" s="1">
        <v>119.8</v>
      </c>
      <c r="J1855" s="1">
        <v>0.67410320700000004</v>
      </c>
      <c r="K1855" s="1">
        <v>0.54630843299999998</v>
      </c>
      <c r="L1855" s="1">
        <v>0.68935555900000001</v>
      </c>
      <c r="M1855" s="3">
        <v>0.65478744899999997</v>
      </c>
      <c r="N1855" s="1" t="s">
        <v>78</v>
      </c>
      <c r="O1855" s="1">
        <v>1.3914285710000001</v>
      </c>
      <c r="P1855" s="1">
        <v>56.5</v>
      </c>
      <c r="Q1855" s="1">
        <v>105</v>
      </c>
      <c r="R1855" s="1">
        <v>0.63015048033333343</v>
      </c>
      <c r="S1855" s="1">
        <v>0.132311134234019</v>
      </c>
      <c r="T1855" t="s">
        <v>2002</v>
      </c>
      <c r="U1855" s="1">
        <v>32815</v>
      </c>
      <c r="V1855">
        <f t="shared" si="112"/>
        <v>0.50178582317699361</v>
      </c>
      <c r="W1855" s="1">
        <f t="shared" si="113"/>
        <v>10.899999999999999</v>
      </c>
      <c r="X1855">
        <f t="shared" si="114"/>
        <v>0.43817314500000004</v>
      </c>
      <c r="Y1855">
        <f t="shared" si="115"/>
        <v>14.799999999999997</v>
      </c>
      <c r="Z1855" s="1">
        <v>5</v>
      </c>
      <c r="AA1855">
        <v>95</v>
      </c>
      <c r="AB1855">
        <v>5.2600000000000001E-2</v>
      </c>
      <c r="AC1855">
        <v>7</v>
      </c>
      <c r="AD1855">
        <v>58</v>
      </c>
      <c r="AE1855">
        <v>0.1207</v>
      </c>
      <c r="AF1855" t="s">
        <v>2590</v>
      </c>
      <c r="AG1855" t="s">
        <v>2590</v>
      </c>
    </row>
    <row r="1856" spans="1:33">
      <c r="A1856" s="2" t="s">
        <v>77</v>
      </c>
      <c r="B1856" s="2" t="s">
        <v>10</v>
      </c>
      <c r="C1856" s="1">
        <v>0.54630843299999998</v>
      </c>
      <c r="D1856">
        <v>0.68935555900000001</v>
      </c>
      <c r="E1856">
        <v>0.65478744899999997</v>
      </c>
      <c r="F1856" s="1" t="s">
        <v>78</v>
      </c>
      <c r="G1856" s="1">
        <v>1.3914285710000001</v>
      </c>
      <c r="H1856" s="1">
        <v>56.5</v>
      </c>
      <c r="I1856" s="1">
        <v>105</v>
      </c>
      <c r="J1856" s="1">
        <v>0.63015048033333343</v>
      </c>
      <c r="K1856" s="1">
        <v>0.52456325500000001</v>
      </c>
      <c r="L1856" s="1">
        <v>0.61925627999999999</v>
      </c>
      <c r="M1856" s="3">
        <v>0.72111139899999999</v>
      </c>
      <c r="N1856" s="1" t="s">
        <v>12</v>
      </c>
      <c r="O1856" s="1">
        <v>0.61690647499999995</v>
      </c>
      <c r="P1856" s="1">
        <v>30</v>
      </c>
      <c r="Q1856" s="1">
        <v>111.2</v>
      </c>
      <c r="R1856" s="1">
        <v>0.62164364466666666</v>
      </c>
      <c r="S1856" s="1">
        <v>9.8922333303324533E-2</v>
      </c>
      <c r="T1856" t="s">
        <v>2003</v>
      </c>
      <c r="U1856" s="1">
        <v>1549</v>
      </c>
      <c r="V1856">
        <f t="shared" si="112"/>
        <v>0.35445015752880066</v>
      </c>
      <c r="W1856" s="1">
        <f t="shared" si="113"/>
        <v>26.5</v>
      </c>
      <c r="X1856">
        <f t="shared" si="114"/>
        <v>0.7745220960000001</v>
      </c>
      <c r="Y1856">
        <f t="shared" si="115"/>
        <v>6.2000000000000028</v>
      </c>
      <c r="Z1856" s="1">
        <v>3</v>
      </c>
      <c r="AA1856">
        <v>97</v>
      </c>
      <c r="AB1856">
        <v>3.09E-2</v>
      </c>
      <c r="AC1856">
        <v>5</v>
      </c>
      <c r="AD1856">
        <v>139</v>
      </c>
      <c r="AE1856">
        <v>3.5999999999999997E-2</v>
      </c>
      <c r="AF1856" t="s">
        <v>2590</v>
      </c>
      <c r="AG1856" t="s">
        <v>2588</v>
      </c>
    </row>
    <row r="1857" spans="1:33">
      <c r="A1857" s="2" t="s">
        <v>77</v>
      </c>
      <c r="B1857" s="2" t="s">
        <v>13</v>
      </c>
      <c r="C1857" s="1">
        <v>0.54630843299999998</v>
      </c>
      <c r="D1857">
        <v>0.68935555900000001</v>
      </c>
      <c r="E1857">
        <v>0.65478744899999997</v>
      </c>
      <c r="F1857" s="1" t="s">
        <v>78</v>
      </c>
      <c r="G1857" s="1">
        <v>1.3914285710000001</v>
      </c>
      <c r="H1857" s="1">
        <v>56.5</v>
      </c>
      <c r="I1857" s="1">
        <v>105</v>
      </c>
      <c r="J1857" s="1">
        <v>0.63015048033333343</v>
      </c>
      <c r="K1857" s="1">
        <v>0.48695497399999998</v>
      </c>
      <c r="L1857" s="1">
        <v>0.54991327199999995</v>
      </c>
      <c r="M1857" s="3">
        <v>0.67282609299999996</v>
      </c>
      <c r="N1857" s="1" t="s">
        <v>14</v>
      </c>
      <c r="O1857" s="1">
        <v>1.6052009460000001</v>
      </c>
      <c r="P1857" s="1">
        <v>26.6</v>
      </c>
      <c r="Q1857" s="1">
        <v>42.3</v>
      </c>
      <c r="R1857" s="1">
        <v>0.56989811299999993</v>
      </c>
      <c r="S1857" s="1">
        <v>0.15261840379329683</v>
      </c>
      <c r="T1857" t="s">
        <v>2004</v>
      </c>
      <c r="U1857" s="1">
        <v>44168</v>
      </c>
      <c r="V1857">
        <f t="shared" si="112"/>
        <v>0.51612308157023135</v>
      </c>
      <c r="W1857" s="1">
        <f t="shared" si="113"/>
        <v>29.9</v>
      </c>
      <c r="X1857">
        <f t="shared" si="114"/>
        <v>0.21377237500000001</v>
      </c>
      <c r="Y1857">
        <f t="shared" si="115"/>
        <v>62.7</v>
      </c>
      <c r="Z1857" s="1">
        <v>9</v>
      </c>
      <c r="AA1857">
        <v>91</v>
      </c>
      <c r="AB1857">
        <v>9.8900000000000002E-2</v>
      </c>
      <c r="AC1857">
        <v>10</v>
      </c>
      <c r="AD1857">
        <v>81</v>
      </c>
      <c r="AE1857">
        <v>0.1235</v>
      </c>
      <c r="AF1857" t="s">
        <v>2590</v>
      </c>
      <c r="AG1857" t="s">
        <v>2590</v>
      </c>
    </row>
    <row r="1858" spans="1:33">
      <c r="A1858" s="2" t="s">
        <v>77</v>
      </c>
      <c r="B1858" s="2" t="s">
        <v>15</v>
      </c>
      <c r="C1858" s="1">
        <v>0.54630843299999998</v>
      </c>
      <c r="D1858">
        <v>0.68935555900000001</v>
      </c>
      <c r="E1858">
        <v>0.65478744899999997</v>
      </c>
      <c r="F1858" s="1" t="s">
        <v>78</v>
      </c>
      <c r="G1858" s="1">
        <v>1.3914285710000001</v>
      </c>
      <c r="H1858" s="1">
        <v>56.5</v>
      </c>
      <c r="I1858" s="1">
        <v>105</v>
      </c>
      <c r="J1858" s="1">
        <v>0.63015048033333343</v>
      </c>
      <c r="K1858" s="1">
        <v>0.54560998800000005</v>
      </c>
      <c r="L1858" s="1">
        <v>0.66721428400000005</v>
      </c>
      <c r="M1858" s="3">
        <v>0.72650398400000005</v>
      </c>
      <c r="N1858" s="1" t="s">
        <v>16</v>
      </c>
      <c r="O1858" s="1">
        <v>5.1392405060000002</v>
      </c>
      <c r="P1858" s="1">
        <v>35.9</v>
      </c>
      <c r="Q1858" s="1">
        <v>15.8</v>
      </c>
      <c r="R1858" s="1">
        <v>0.64644275200000012</v>
      </c>
      <c r="S1858" s="1">
        <v>7.505987794054747E-2</v>
      </c>
      <c r="T1858" t="s">
        <v>2005</v>
      </c>
      <c r="U1858" s="1">
        <v>263</v>
      </c>
      <c r="V1858">
        <f t="shared" ref="V1858:V1921" si="116">LOG10(U1858) / 9</f>
        <v>0.26888397205441755</v>
      </c>
      <c r="W1858" s="1">
        <f t="shared" ref="W1858:W1921" si="117">ABS(H1858-P1858)</f>
        <v>20.6</v>
      </c>
      <c r="X1858">
        <f t="shared" ref="X1858:X1921" si="118">ABS(G1858-O1858)</f>
        <v>3.7478119350000001</v>
      </c>
      <c r="Y1858">
        <f t="shared" ref="Y1858:Y1921" si="119">ABS(I1858-Q1858)</f>
        <v>89.2</v>
      </c>
      <c r="Z1858" s="1">
        <v>3</v>
      </c>
      <c r="AA1858">
        <v>97</v>
      </c>
      <c r="AB1858">
        <v>3.09E-2</v>
      </c>
      <c r="AC1858">
        <v>3</v>
      </c>
      <c r="AD1858">
        <v>84</v>
      </c>
      <c r="AE1858">
        <v>3.5700000000000003E-2</v>
      </c>
      <c r="AF1858" t="s">
        <v>2590</v>
      </c>
      <c r="AG1858" t="s">
        <v>2591</v>
      </c>
    </row>
    <row r="1859" spans="1:33">
      <c r="A1859" s="2" t="s">
        <v>77</v>
      </c>
      <c r="B1859" s="2" t="s">
        <v>17</v>
      </c>
      <c r="C1859" s="1">
        <v>0.54630843299999998</v>
      </c>
      <c r="D1859">
        <v>0.68935555900000001</v>
      </c>
      <c r="E1859">
        <v>0.65478744899999997</v>
      </c>
      <c r="F1859" s="1" t="s">
        <v>78</v>
      </c>
      <c r="G1859" s="1">
        <v>1.3914285710000001</v>
      </c>
      <c r="H1859" s="1">
        <v>56.5</v>
      </c>
      <c r="I1859" s="1">
        <v>105</v>
      </c>
      <c r="J1859" s="1">
        <v>0.63015048033333343</v>
      </c>
      <c r="K1859" s="1">
        <v>0.659112378</v>
      </c>
      <c r="L1859" s="1">
        <v>0.68333493499999998</v>
      </c>
      <c r="M1859" s="3">
        <v>0.70345495199999997</v>
      </c>
      <c r="N1859" s="1" t="s">
        <v>18</v>
      </c>
      <c r="O1859" s="1">
        <v>1.9463955639999999</v>
      </c>
      <c r="P1859" s="1">
        <v>46.3</v>
      </c>
      <c r="Q1859" s="1">
        <v>54.1</v>
      </c>
      <c r="R1859" s="1">
        <v>0.68196742166666668</v>
      </c>
      <c r="S1859" s="1">
        <v>0.12300204782509686</v>
      </c>
      <c r="T1859" t="s">
        <v>2006</v>
      </c>
      <c r="U1859" s="1">
        <v>615</v>
      </c>
      <c r="V1859">
        <f t="shared" si="116"/>
        <v>0.30987501286393521</v>
      </c>
      <c r="W1859" s="1">
        <f t="shared" si="117"/>
        <v>10.200000000000003</v>
      </c>
      <c r="X1859">
        <f t="shared" si="118"/>
        <v>0.55496699299999985</v>
      </c>
      <c r="Y1859">
        <f t="shared" si="119"/>
        <v>50.9</v>
      </c>
      <c r="Z1859" s="1">
        <v>1</v>
      </c>
      <c r="AA1859">
        <v>99</v>
      </c>
      <c r="AB1859">
        <v>1.01E-2</v>
      </c>
      <c r="AC1859">
        <v>1</v>
      </c>
      <c r="AD1859">
        <v>100</v>
      </c>
      <c r="AE1859">
        <v>0.01</v>
      </c>
      <c r="AF1859" t="s">
        <v>2590</v>
      </c>
      <c r="AG1859" t="s">
        <v>2591</v>
      </c>
    </row>
    <row r="1860" spans="1:33">
      <c r="A1860" s="2" t="s">
        <v>77</v>
      </c>
      <c r="B1860" s="2" t="s">
        <v>19</v>
      </c>
      <c r="C1860" s="1">
        <v>0.54630843299999998</v>
      </c>
      <c r="D1860">
        <v>0.68935555900000001</v>
      </c>
      <c r="E1860">
        <v>0.65478744899999997</v>
      </c>
      <c r="F1860" s="1" t="s">
        <v>78</v>
      </c>
      <c r="G1860" s="1">
        <v>1.3914285710000001</v>
      </c>
      <c r="H1860" s="1">
        <v>56.5</v>
      </c>
      <c r="I1860" s="1">
        <v>105</v>
      </c>
      <c r="J1860" s="1">
        <v>0.63015048033333343</v>
      </c>
      <c r="K1860" s="1">
        <v>0.49391595300000002</v>
      </c>
      <c r="L1860" s="1">
        <v>0.603599314</v>
      </c>
      <c r="M1860" s="3">
        <v>0.63481471599999995</v>
      </c>
      <c r="N1860" s="1" t="s">
        <v>20</v>
      </c>
      <c r="O1860" s="1">
        <v>1.2140902870000001</v>
      </c>
      <c r="P1860" s="1">
        <v>64.900000000000006</v>
      </c>
      <c r="Q1860" s="1">
        <v>146.19999999999999</v>
      </c>
      <c r="R1860" s="1">
        <v>0.57744332766666662</v>
      </c>
      <c r="S1860" s="1">
        <v>0.10245982422657045</v>
      </c>
      <c r="T1860" t="s">
        <v>2007</v>
      </c>
      <c r="U1860" s="1">
        <v>4623</v>
      </c>
      <c r="V1860">
        <f t="shared" si="116"/>
        <v>0.40721376593756464</v>
      </c>
      <c r="W1860" s="1">
        <f t="shared" si="117"/>
        <v>8.4000000000000057</v>
      </c>
      <c r="X1860">
        <f t="shared" si="118"/>
        <v>0.17733828399999996</v>
      </c>
      <c r="Y1860">
        <f t="shared" si="119"/>
        <v>41.199999999999989</v>
      </c>
      <c r="Z1860" s="1">
        <v>3</v>
      </c>
      <c r="AA1860">
        <v>97</v>
      </c>
      <c r="AB1860">
        <v>3.09E-2</v>
      </c>
      <c r="AC1860">
        <v>5</v>
      </c>
      <c r="AD1860">
        <v>76</v>
      </c>
      <c r="AE1860">
        <v>6.5799999999999997E-2</v>
      </c>
      <c r="AF1860" t="s">
        <v>2590</v>
      </c>
      <c r="AG1860" t="s">
        <v>2593</v>
      </c>
    </row>
    <row r="1861" spans="1:33">
      <c r="A1861" s="2" t="s">
        <v>77</v>
      </c>
      <c r="B1861" s="2" t="s">
        <v>21</v>
      </c>
      <c r="C1861" s="1">
        <v>0.54630843299999998</v>
      </c>
      <c r="D1861">
        <v>0.68935555900000001</v>
      </c>
      <c r="E1861">
        <v>0.65478744899999997</v>
      </c>
      <c r="F1861" s="1" t="s">
        <v>78</v>
      </c>
      <c r="G1861" s="1">
        <v>1.3914285710000001</v>
      </c>
      <c r="H1861" s="1">
        <v>56.5</v>
      </c>
      <c r="I1861" s="1">
        <v>105</v>
      </c>
      <c r="J1861" s="1">
        <v>0.63015048033333343</v>
      </c>
      <c r="K1861" s="1">
        <v>0.53276376800000003</v>
      </c>
      <c r="L1861" s="1">
        <v>0.65428149899999999</v>
      </c>
      <c r="M1861" s="3">
        <v>0.70160154799999996</v>
      </c>
      <c r="N1861" s="1" t="s">
        <v>22</v>
      </c>
      <c r="O1861" s="1">
        <v>1.2440604749999999</v>
      </c>
      <c r="P1861" s="1">
        <v>24.6</v>
      </c>
      <c r="Q1861" s="1">
        <v>46.3</v>
      </c>
      <c r="R1861" s="1">
        <v>0.62954893833333336</v>
      </c>
      <c r="S1861" s="1">
        <v>6.0043380151583954E-2</v>
      </c>
      <c r="T1861" t="s">
        <v>2008</v>
      </c>
      <c r="U1861" s="1">
        <v>930</v>
      </c>
      <c r="V1861">
        <f t="shared" si="116"/>
        <v>0.32983143872821502</v>
      </c>
      <c r="W1861" s="1">
        <f t="shared" si="117"/>
        <v>31.9</v>
      </c>
      <c r="X1861">
        <f t="shared" si="118"/>
        <v>0.14736809600000011</v>
      </c>
      <c r="Y1861">
        <f t="shared" si="119"/>
        <v>58.7</v>
      </c>
      <c r="Z1861" s="1">
        <v>2</v>
      </c>
      <c r="AA1861">
        <v>98</v>
      </c>
      <c r="AB1861">
        <v>2.0400000000000001E-2</v>
      </c>
      <c r="AC1861">
        <v>3</v>
      </c>
      <c r="AD1861">
        <v>84</v>
      </c>
      <c r="AE1861">
        <v>3.5700000000000003E-2</v>
      </c>
      <c r="AF1861" t="s">
        <v>2590</v>
      </c>
      <c r="AG1861" t="s">
        <v>2589</v>
      </c>
    </row>
    <row r="1862" spans="1:33">
      <c r="A1862" s="2" t="s">
        <v>77</v>
      </c>
      <c r="B1862" s="2" t="s">
        <v>23</v>
      </c>
      <c r="C1862" s="1">
        <v>0.54630843299999998</v>
      </c>
      <c r="D1862">
        <v>0.68935555900000001</v>
      </c>
      <c r="E1862">
        <v>0.65478744899999997</v>
      </c>
      <c r="F1862" s="1" t="s">
        <v>78</v>
      </c>
      <c r="G1862" s="1">
        <v>1.3914285710000001</v>
      </c>
      <c r="H1862" s="1">
        <v>56.5</v>
      </c>
      <c r="I1862" s="1">
        <v>105</v>
      </c>
      <c r="J1862" s="1">
        <v>0.63015048033333343</v>
      </c>
      <c r="K1862" s="1">
        <v>0.49415677200000002</v>
      </c>
      <c r="L1862" s="1">
        <v>0.62090818999999997</v>
      </c>
      <c r="M1862" s="3">
        <v>0.63381026900000004</v>
      </c>
      <c r="N1862" s="1" t="s">
        <v>24</v>
      </c>
      <c r="O1862" s="1">
        <v>1.141304348</v>
      </c>
      <c r="P1862" s="1">
        <v>44.4</v>
      </c>
      <c r="Q1862" s="1">
        <v>101.2</v>
      </c>
      <c r="R1862" s="1">
        <v>0.58295841033333329</v>
      </c>
      <c r="S1862" s="1">
        <v>8.8571328029072027E-2</v>
      </c>
      <c r="T1862" t="s">
        <v>2009</v>
      </c>
      <c r="U1862" s="1">
        <v>17651</v>
      </c>
      <c r="V1862">
        <f t="shared" si="116"/>
        <v>0.47186325721627459</v>
      </c>
      <c r="W1862" s="1">
        <f t="shared" si="117"/>
        <v>12.100000000000001</v>
      </c>
      <c r="X1862">
        <f t="shared" si="118"/>
        <v>0.25012422300000003</v>
      </c>
      <c r="Y1862">
        <f t="shared" si="119"/>
        <v>3.7999999999999972</v>
      </c>
      <c r="Z1862" s="1">
        <v>13</v>
      </c>
      <c r="AA1862">
        <v>87</v>
      </c>
      <c r="AB1862">
        <v>0.14940000000000001</v>
      </c>
      <c r="AC1862">
        <v>19</v>
      </c>
      <c r="AD1862">
        <v>64</v>
      </c>
      <c r="AE1862">
        <v>0.2969</v>
      </c>
      <c r="AF1862" t="s">
        <v>2590</v>
      </c>
      <c r="AG1862" t="s">
        <v>2590</v>
      </c>
    </row>
    <row r="1863" spans="1:33">
      <c r="A1863" s="2" t="s">
        <v>77</v>
      </c>
      <c r="B1863" s="2" t="s">
        <v>25</v>
      </c>
      <c r="C1863" s="1">
        <v>0.54630843299999998</v>
      </c>
      <c r="D1863">
        <v>0.68935555900000001</v>
      </c>
      <c r="E1863">
        <v>0.65478744899999997</v>
      </c>
      <c r="F1863" s="1" t="s">
        <v>78</v>
      </c>
      <c r="G1863" s="1">
        <v>1.3914285710000001</v>
      </c>
      <c r="H1863" s="1">
        <v>56.5</v>
      </c>
      <c r="I1863" s="1">
        <v>105</v>
      </c>
      <c r="J1863" s="1">
        <v>0.63015048033333343</v>
      </c>
      <c r="K1863" s="1">
        <v>0.53959274199999996</v>
      </c>
      <c r="L1863" s="1">
        <v>0.64971567399999997</v>
      </c>
      <c r="M1863" s="3">
        <v>0.65028459999999999</v>
      </c>
      <c r="N1863" s="1" t="s">
        <v>26</v>
      </c>
      <c r="O1863" s="1">
        <v>1.623046875</v>
      </c>
      <c r="P1863" s="1">
        <v>34.700000000000003</v>
      </c>
      <c r="Q1863" s="1">
        <v>51.2</v>
      </c>
      <c r="R1863" s="1">
        <v>0.61319767199999997</v>
      </c>
      <c r="S1863" s="1">
        <v>4.0456107543083167E-2</v>
      </c>
      <c r="T1863" t="s">
        <v>2010</v>
      </c>
      <c r="U1863" s="1">
        <v>989</v>
      </c>
      <c r="V1863">
        <f t="shared" si="116"/>
        <v>0.33279958795524212</v>
      </c>
      <c r="W1863" s="1">
        <f t="shared" si="117"/>
        <v>21.799999999999997</v>
      </c>
      <c r="X1863">
        <f t="shared" si="118"/>
        <v>0.23161830399999994</v>
      </c>
      <c r="Y1863">
        <f t="shared" si="119"/>
        <v>53.8</v>
      </c>
      <c r="Z1863" s="1">
        <v>0</v>
      </c>
      <c r="AA1863">
        <v>100</v>
      </c>
      <c r="AB1863">
        <v>0</v>
      </c>
      <c r="AC1863">
        <v>0</v>
      </c>
      <c r="AD1863">
        <v>85</v>
      </c>
      <c r="AE1863">
        <v>0</v>
      </c>
      <c r="AF1863" t="s">
        <v>2590</v>
      </c>
      <c r="AG1863" t="s">
        <v>2594</v>
      </c>
    </row>
    <row r="1864" spans="1:33">
      <c r="A1864" s="2" t="s">
        <v>77</v>
      </c>
      <c r="B1864" s="2" t="s">
        <v>27</v>
      </c>
      <c r="C1864" s="1">
        <v>0.54630843299999998</v>
      </c>
      <c r="D1864">
        <v>0.68935555900000001</v>
      </c>
      <c r="E1864">
        <v>0.65478744899999997</v>
      </c>
      <c r="F1864" s="1" t="s">
        <v>78</v>
      </c>
      <c r="G1864" s="1">
        <v>1.3914285710000001</v>
      </c>
      <c r="H1864" s="1">
        <v>56.5</v>
      </c>
      <c r="I1864" s="1">
        <v>105</v>
      </c>
      <c r="J1864" s="1">
        <v>0.63015048033333343</v>
      </c>
      <c r="K1864" s="1">
        <v>0.518608662</v>
      </c>
      <c r="L1864" s="1">
        <v>0.64320369700000002</v>
      </c>
      <c r="M1864" s="3">
        <v>0.62228994199999998</v>
      </c>
      <c r="N1864" s="1" t="s">
        <v>28</v>
      </c>
      <c r="O1864" s="1">
        <v>1.8717391299999999</v>
      </c>
      <c r="P1864" s="1">
        <v>33.700000000000003</v>
      </c>
      <c r="Q1864" s="1">
        <v>46</v>
      </c>
      <c r="R1864" s="1">
        <v>0.59470076699999996</v>
      </c>
      <c r="S1864" s="1">
        <v>6.287574763559102E-2</v>
      </c>
      <c r="T1864" t="s">
        <v>2011</v>
      </c>
      <c r="U1864" s="1">
        <v>35885</v>
      </c>
      <c r="V1864">
        <f t="shared" si="116"/>
        <v>0.50610143895203719</v>
      </c>
      <c r="W1864" s="1">
        <f t="shared" si="117"/>
        <v>22.799999999999997</v>
      </c>
      <c r="X1864">
        <f t="shared" si="118"/>
        <v>0.48031055899999986</v>
      </c>
      <c r="Y1864">
        <f t="shared" si="119"/>
        <v>59</v>
      </c>
      <c r="Z1864" s="1">
        <v>9</v>
      </c>
      <c r="AA1864">
        <v>91</v>
      </c>
      <c r="AB1864">
        <v>9.8900000000000002E-2</v>
      </c>
      <c r="AC1864">
        <v>12</v>
      </c>
      <c r="AD1864">
        <v>80</v>
      </c>
      <c r="AE1864">
        <v>0.15</v>
      </c>
      <c r="AF1864" t="s">
        <v>2590</v>
      </c>
      <c r="AG1864" t="s">
        <v>2590</v>
      </c>
    </row>
    <row r="1865" spans="1:33">
      <c r="A1865" s="2" t="s">
        <v>77</v>
      </c>
      <c r="B1865" s="2" t="s">
        <v>29</v>
      </c>
      <c r="C1865" s="1">
        <v>0.54630843299999998</v>
      </c>
      <c r="D1865">
        <v>0.68935555900000001</v>
      </c>
      <c r="E1865">
        <v>0.65478744899999997</v>
      </c>
      <c r="F1865" s="1" t="s">
        <v>78</v>
      </c>
      <c r="G1865" s="1">
        <v>1.3914285710000001</v>
      </c>
      <c r="H1865" s="1">
        <v>56.5</v>
      </c>
      <c r="I1865" s="1">
        <v>105</v>
      </c>
      <c r="J1865" s="1">
        <v>0.63015048033333343</v>
      </c>
      <c r="K1865" s="1">
        <v>0.59351545100000003</v>
      </c>
      <c r="L1865" s="1">
        <v>0.68136602400000001</v>
      </c>
      <c r="M1865" s="3">
        <v>0.73518087600000004</v>
      </c>
      <c r="N1865" s="1" t="s">
        <v>30</v>
      </c>
      <c r="O1865" s="1">
        <v>2.849112426</v>
      </c>
      <c r="P1865" s="1">
        <v>37.9</v>
      </c>
      <c r="Q1865" s="1">
        <v>33.799999999999997</v>
      </c>
      <c r="R1865" s="1">
        <v>0.67002078366666673</v>
      </c>
      <c r="S1865" s="1">
        <v>9.3570499211946573E-2</v>
      </c>
      <c r="T1865" t="s">
        <v>2012</v>
      </c>
      <c r="U1865" s="1">
        <v>407</v>
      </c>
      <c r="V1865">
        <f t="shared" si="116"/>
        <v>0.28995493435835779</v>
      </c>
      <c r="W1865" s="1">
        <f t="shared" si="117"/>
        <v>18.600000000000001</v>
      </c>
      <c r="X1865">
        <f t="shared" si="118"/>
        <v>1.457683855</v>
      </c>
      <c r="Y1865">
        <f t="shared" si="119"/>
        <v>71.2</v>
      </c>
      <c r="Z1865" s="1">
        <v>1</v>
      </c>
      <c r="AA1865">
        <v>99</v>
      </c>
      <c r="AB1865">
        <v>1.01E-2</v>
      </c>
      <c r="AC1865">
        <v>1</v>
      </c>
      <c r="AD1865">
        <v>80</v>
      </c>
      <c r="AE1865">
        <v>1.2500000000000001E-2</v>
      </c>
      <c r="AF1865" t="s">
        <v>2590</v>
      </c>
      <c r="AG1865" t="s">
        <v>2593</v>
      </c>
    </row>
    <row r="1866" spans="1:33">
      <c r="A1866" s="2" t="s">
        <v>77</v>
      </c>
      <c r="B1866" s="2" t="s">
        <v>31</v>
      </c>
      <c r="C1866" s="1">
        <v>0.54630843299999998</v>
      </c>
      <c r="D1866">
        <v>0.68935555900000001</v>
      </c>
      <c r="E1866">
        <v>0.65478744899999997</v>
      </c>
      <c r="F1866" s="1" t="s">
        <v>78</v>
      </c>
      <c r="G1866" s="1">
        <v>1.3914285710000001</v>
      </c>
      <c r="H1866" s="1">
        <v>56.5</v>
      </c>
      <c r="I1866" s="1">
        <v>105</v>
      </c>
      <c r="J1866" s="1">
        <v>0.63015048033333343</v>
      </c>
      <c r="K1866" s="1">
        <v>0.47727961800000002</v>
      </c>
      <c r="L1866" s="1">
        <v>0.66941086400000005</v>
      </c>
      <c r="M1866" s="3">
        <v>0.69294815300000001</v>
      </c>
      <c r="N1866" s="1" t="s">
        <v>32</v>
      </c>
      <c r="O1866" s="1">
        <v>1.341891892</v>
      </c>
      <c r="P1866" s="1">
        <v>42.1</v>
      </c>
      <c r="Q1866" s="1">
        <v>74</v>
      </c>
      <c r="R1866" s="1">
        <v>0.61321287833333338</v>
      </c>
      <c r="S1866" s="1">
        <v>8.1357282948257698E-2</v>
      </c>
      <c r="T1866" t="s">
        <v>2013</v>
      </c>
      <c r="U1866" s="1">
        <v>1698</v>
      </c>
      <c r="V1866">
        <f t="shared" si="116"/>
        <v>0.35888196510088155</v>
      </c>
      <c r="W1866" s="1">
        <f t="shared" si="117"/>
        <v>14.399999999999999</v>
      </c>
      <c r="X1866">
        <f t="shared" si="118"/>
        <v>4.9536679000000028E-2</v>
      </c>
      <c r="Y1866">
        <f t="shared" si="119"/>
        <v>31</v>
      </c>
      <c r="Z1866" s="1">
        <v>2</v>
      </c>
      <c r="AA1866">
        <v>98</v>
      </c>
      <c r="AB1866">
        <v>2.0400000000000001E-2</v>
      </c>
      <c r="AC1866">
        <v>3</v>
      </c>
      <c r="AD1866">
        <v>86</v>
      </c>
      <c r="AE1866">
        <v>3.49E-2</v>
      </c>
      <c r="AF1866" t="s">
        <v>2590</v>
      </c>
      <c r="AG1866" t="s">
        <v>2589</v>
      </c>
    </row>
    <row r="1867" spans="1:33">
      <c r="A1867" s="2" t="s">
        <v>77</v>
      </c>
      <c r="B1867" s="2" t="s">
        <v>33</v>
      </c>
      <c r="C1867" s="1">
        <v>0.54630843299999998</v>
      </c>
      <c r="D1867">
        <v>0.68935555900000001</v>
      </c>
      <c r="E1867">
        <v>0.65478744899999997</v>
      </c>
      <c r="F1867" s="1" t="s">
        <v>78</v>
      </c>
      <c r="G1867" s="1">
        <v>1.3914285710000001</v>
      </c>
      <c r="H1867" s="1">
        <v>56.5</v>
      </c>
      <c r="I1867" s="1">
        <v>105</v>
      </c>
      <c r="J1867" s="1">
        <v>0.63015048033333343</v>
      </c>
      <c r="K1867" s="1">
        <v>0.51347926600000005</v>
      </c>
      <c r="L1867" s="1">
        <v>0.63144379399999995</v>
      </c>
      <c r="M1867" s="3">
        <v>0.64189093500000005</v>
      </c>
      <c r="N1867" s="1" t="s">
        <v>34</v>
      </c>
      <c r="O1867" s="1">
        <v>2.3123667380000001</v>
      </c>
      <c r="P1867" s="1">
        <v>79.099999999999994</v>
      </c>
      <c r="Q1867" s="1">
        <v>93.8</v>
      </c>
      <c r="R1867" s="1">
        <v>0.59560466500000009</v>
      </c>
      <c r="S1867" s="1">
        <v>6.7807424406780933E-2</v>
      </c>
      <c r="T1867" t="s">
        <v>2014</v>
      </c>
      <c r="U1867" s="1">
        <v>22810</v>
      </c>
      <c r="V1867">
        <f t="shared" si="116"/>
        <v>0.48423614280851651</v>
      </c>
      <c r="W1867" s="1">
        <f t="shared" si="117"/>
        <v>22.599999999999994</v>
      </c>
      <c r="X1867">
        <f t="shared" si="118"/>
        <v>0.92093816700000009</v>
      </c>
      <c r="Y1867">
        <f t="shared" si="119"/>
        <v>11.200000000000003</v>
      </c>
      <c r="Z1867" s="1">
        <v>11</v>
      </c>
      <c r="AA1867">
        <v>89</v>
      </c>
      <c r="AB1867">
        <v>0.1236</v>
      </c>
      <c r="AC1867">
        <v>13</v>
      </c>
      <c r="AD1867">
        <v>70</v>
      </c>
      <c r="AE1867">
        <v>0.1857</v>
      </c>
      <c r="AF1867" t="s">
        <v>2590</v>
      </c>
      <c r="AG1867" t="s">
        <v>2590</v>
      </c>
    </row>
    <row r="1868" spans="1:33">
      <c r="A1868" s="2" t="s">
        <v>77</v>
      </c>
      <c r="B1868" s="2" t="s">
        <v>35</v>
      </c>
      <c r="C1868" s="1">
        <v>0.54630843299999998</v>
      </c>
      <c r="D1868">
        <v>0.68935555900000001</v>
      </c>
      <c r="E1868">
        <v>0.65478744899999997</v>
      </c>
      <c r="F1868" s="1" t="s">
        <v>78</v>
      </c>
      <c r="G1868" s="1">
        <v>1.3914285710000001</v>
      </c>
      <c r="H1868" s="1">
        <v>56.5</v>
      </c>
      <c r="I1868" s="1">
        <v>105</v>
      </c>
      <c r="J1868" s="1">
        <v>0.63015048033333343</v>
      </c>
      <c r="K1868" s="1">
        <v>0.52542897600000005</v>
      </c>
      <c r="L1868" s="1">
        <v>0.60774736299999998</v>
      </c>
      <c r="M1868" s="3">
        <v>0.62585751700000003</v>
      </c>
      <c r="N1868" s="1" t="s">
        <v>36</v>
      </c>
      <c r="O1868" s="1">
        <v>0.98848810399999998</v>
      </c>
      <c r="P1868" s="1">
        <v>54.2</v>
      </c>
      <c r="Q1868" s="1">
        <v>130.30000000000001</v>
      </c>
      <c r="R1868" s="1">
        <v>0.58634461866666665</v>
      </c>
      <c r="S1868" s="1">
        <v>8.9066213260213814E-2</v>
      </c>
      <c r="T1868" t="s">
        <v>2015</v>
      </c>
      <c r="U1868" s="1">
        <v>2199</v>
      </c>
      <c r="V1868">
        <f t="shared" si="116"/>
        <v>0.37135835881786561</v>
      </c>
      <c r="W1868" s="1">
        <f t="shared" si="117"/>
        <v>2.2999999999999972</v>
      </c>
      <c r="X1868">
        <f t="shared" si="118"/>
        <v>0.40294046700000008</v>
      </c>
      <c r="Y1868">
        <f t="shared" si="119"/>
        <v>25.300000000000011</v>
      </c>
      <c r="Z1868" s="1">
        <v>2</v>
      </c>
      <c r="AA1868">
        <v>98</v>
      </c>
      <c r="AB1868">
        <v>2.0400000000000001E-2</v>
      </c>
      <c r="AC1868">
        <v>3</v>
      </c>
      <c r="AD1868">
        <v>79</v>
      </c>
      <c r="AE1868">
        <v>3.7999999999999999E-2</v>
      </c>
      <c r="AF1868" t="s">
        <v>2590</v>
      </c>
      <c r="AG1868" t="s">
        <v>2589</v>
      </c>
    </row>
    <row r="1869" spans="1:33">
      <c r="A1869" s="2" t="s">
        <v>77</v>
      </c>
      <c r="B1869" s="2" t="s">
        <v>37</v>
      </c>
      <c r="C1869" s="1">
        <v>0.54630843299999998</v>
      </c>
      <c r="D1869">
        <v>0.68935555900000001</v>
      </c>
      <c r="E1869">
        <v>0.65478744899999997</v>
      </c>
      <c r="F1869" s="1" t="s">
        <v>78</v>
      </c>
      <c r="G1869" s="1">
        <v>1.3914285710000001</v>
      </c>
      <c r="H1869" s="1">
        <v>56.5</v>
      </c>
      <c r="I1869" s="1">
        <v>105</v>
      </c>
      <c r="J1869" s="1">
        <v>0.63015048033333343</v>
      </c>
      <c r="K1869" s="1">
        <v>0.50856695500000004</v>
      </c>
      <c r="L1869" s="1">
        <v>0.654733224</v>
      </c>
      <c r="M1869" s="3">
        <v>0.61418267199999999</v>
      </c>
      <c r="N1869" s="1" t="s">
        <v>38</v>
      </c>
      <c r="O1869" s="1">
        <v>0.64065708399999999</v>
      </c>
      <c r="P1869" s="1">
        <v>41.9</v>
      </c>
      <c r="Q1869" s="1">
        <v>146.1</v>
      </c>
      <c r="R1869" s="1">
        <v>0.59249428366666679</v>
      </c>
      <c r="S1869" s="1">
        <v>6.5359568218405731E-2</v>
      </c>
      <c r="T1869" t="s">
        <v>2016</v>
      </c>
      <c r="U1869" s="1">
        <v>4844</v>
      </c>
      <c r="V1869">
        <f t="shared" si="116"/>
        <v>0.40946712605233493</v>
      </c>
      <c r="W1869" s="1">
        <f t="shared" si="117"/>
        <v>14.600000000000001</v>
      </c>
      <c r="X1869">
        <f t="shared" si="118"/>
        <v>0.75077148700000007</v>
      </c>
      <c r="Y1869">
        <f t="shared" si="119"/>
        <v>41.099999999999994</v>
      </c>
      <c r="Z1869" s="1">
        <v>4</v>
      </c>
      <c r="AA1869">
        <v>96</v>
      </c>
      <c r="AB1869">
        <v>4.1700000000000001E-2</v>
      </c>
      <c r="AC1869">
        <v>6</v>
      </c>
      <c r="AD1869">
        <v>75</v>
      </c>
      <c r="AE1869">
        <v>0.08</v>
      </c>
      <c r="AF1869" t="s">
        <v>2590</v>
      </c>
      <c r="AG1869" t="s">
        <v>2590</v>
      </c>
    </row>
    <row r="1870" spans="1:33">
      <c r="A1870" s="2" t="s">
        <v>77</v>
      </c>
      <c r="B1870" s="2" t="s">
        <v>39</v>
      </c>
      <c r="C1870" s="1">
        <v>0.54630843299999998</v>
      </c>
      <c r="D1870">
        <v>0.68935555900000001</v>
      </c>
      <c r="E1870">
        <v>0.65478744899999997</v>
      </c>
      <c r="F1870" s="1" t="s">
        <v>78</v>
      </c>
      <c r="G1870" s="1">
        <v>1.3914285710000001</v>
      </c>
      <c r="H1870" s="1">
        <v>56.5</v>
      </c>
      <c r="I1870" s="1">
        <v>105</v>
      </c>
      <c r="J1870" s="1">
        <v>0.63015048033333343</v>
      </c>
      <c r="K1870" s="1">
        <v>0.60811616199999996</v>
      </c>
      <c r="L1870" s="1">
        <v>0.721105683</v>
      </c>
      <c r="M1870" s="3">
        <v>0.741016169</v>
      </c>
      <c r="N1870" s="1" t="s">
        <v>40</v>
      </c>
      <c r="O1870" s="1">
        <v>1.0601915180000001</v>
      </c>
      <c r="P1870" s="1">
        <v>34</v>
      </c>
      <c r="Q1870" s="1">
        <v>73.099999999999994</v>
      </c>
      <c r="R1870" s="1">
        <v>0.69007933799999999</v>
      </c>
      <c r="S1870" s="1">
        <v>0.110741400979901</v>
      </c>
      <c r="T1870" t="s">
        <v>2017</v>
      </c>
      <c r="U1870" s="1">
        <v>1519</v>
      </c>
      <c r="V1870">
        <f t="shared" si="116"/>
        <v>0.35350641931808741</v>
      </c>
      <c r="W1870" s="1">
        <f t="shared" si="117"/>
        <v>22.5</v>
      </c>
      <c r="X1870">
        <f t="shared" si="118"/>
        <v>0.33123705299999995</v>
      </c>
      <c r="Y1870">
        <f t="shared" si="119"/>
        <v>31.900000000000006</v>
      </c>
      <c r="Z1870" s="1">
        <v>4</v>
      </c>
      <c r="AA1870">
        <v>96</v>
      </c>
      <c r="AB1870">
        <v>4.1700000000000001E-2</v>
      </c>
      <c r="AC1870">
        <v>4</v>
      </c>
      <c r="AD1870">
        <v>80</v>
      </c>
      <c r="AE1870">
        <v>0.05</v>
      </c>
      <c r="AF1870" t="s">
        <v>2590</v>
      </c>
      <c r="AG1870" t="s">
        <v>2589</v>
      </c>
    </row>
    <row r="1871" spans="1:33">
      <c r="A1871" s="2" t="s">
        <v>77</v>
      </c>
      <c r="B1871" s="2" t="s">
        <v>41</v>
      </c>
      <c r="C1871" s="1">
        <v>0.54630843299999998</v>
      </c>
      <c r="D1871">
        <v>0.68935555900000001</v>
      </c>
      <c r="E1871">
        <v>0.65478744899999997</v>
      </c>
      <c r="F1871" s="1" t="s">
        <v>78</v>
      </c>
      <c r="G1871" s="1">
        <v>1.3914285710000001</v>
      </c>
      <c r="H1871" s="1">
        <v>56.5</v>
      </c>
      <c r="I1871" s="1">
        <v>105</v>
      </c>
      <c r="J1871" s="1">
        <v>0.63015048033333343</v>
      </c>
      <c r="K1871" s="1">
        <v>0.60402244999999999</v>
      </c>
      <c r="L1871" s="1">
        <v>0.669189213</v>
      </c>
      <c r="M1871" s="3">
        <v>0.69821693799999995</v>
      </c>
      <c r="N1871" s="1" t="s">
        <v>42</v>
      </c>
      <c r="O1871" s="1">
        <v>1.3243902439999999</v>
      </c>
      <c r="P1871" s="1">
        <v>23</v>
      </c>
      <c r="Q1871" s="1">
        <v>41</v>
      </c>
      <c r="R1871" s="1">
        <v>0.65714286700000002</v>
      </c>
      <c r="S1871" s="1">
        <v>7.4991398067172518E-2</v>
      </c>
      <c r="T1871" t="s">
        <v>2018</v>
      </c>
      <c r="U1871" s="1">
        <v>1289</v>
      </c>
      <c r="V1871">
        <f t="shared" si="116"/>
        <v>0.34558365748371145</v>
      </c>
      <c r="W1871" s="1">
        <f t="shared" si="117"/>
        <v>33.5</v>
      </c>
      <c r="X1871">
        <f t="shared" si="118"/>
        <v>6.703832700000012E-2</v>
      </c>
      <c r="Y1871">
        <f t="shared" si="119"/>
        <v>64</v>
      </c>
      <c r="Z1871" s="1">
        <v>2</v>
      </c>
      <c r="AA1871">
        <v>98</v>
      </c>
      <c r="AB1871">
        <v>2.0400000000000001E-2</v>
      </c>
      <c r="AC1871">
        <v>3</v>
      </c>
      <c r="AD1871">
        <v>95</v>
      </c>
      <c r="AE1871">
        <v>3.1600000000000003E-2</v>
      </c>
      <c r="AF1871" t="s">
        <v>2590</v>
      </c>
      <c r="AG1871" t="s">
        <v>2591</v>
      </c>
    </row>
    <row r="1872" spans="1:33">
      <c r="A1872" s="2" t="s">
        <v>77</v>
      </c>
      <c r="B1872" s="2" t="s">
        <v>43</v>
      </c>
      <c r="C1872" s="1">
        <v>0.54630843299999998</v>
      </c>
      <c r="D1872">
        <v>0.68935555900000001</v>
      </c>
      <c r="E1872">
        <v>0.65478744899999997</v>
      </c>
      <c r="F1872" s="1" t="s">
        <v>78</v>
      </c>
      <c r="G1872" s="1">
        <v>1.3914285710000001</v>
      </c>
      <c r="H1872" s="1">
        <v>56.5</v>
      </c>
      <c r="I1872" s="1">
        <v>105</v>
      </c>
      <c r="J1872" s="1">
        <v>0.63015048033333343</v>
      </c>
      <c r="K1872" s="1">
        <v>0.54180634699999997</v>
      </c>
      <c r="L1872" s="1">
        <v>0.59470779900000004</v>
      </c>
      <c r="M1872" s="3">
        <v>0.69518155599999998</v>
      </c>
      <c r="N1872" s="1" t="s">
        <v>44</v>
      </c>
      <c r="O1872" s="1">
        <v>1.7403685090000001</v>
      </c>
      <c r="P1872" s="1">
        <v>41.2</v>
      </c>
      <c r="Q1872" s="1">
        <v>59.7</v>
      </c>
      <c r="R1872" s="1">
        <v>0.61056523400000007</v>
      </c>
      <c r="S1872" s="1">
        <v>0.10300558786636985</v>
      </c>
      <c r="T1872" t="s">
        <v>2019</v>
      </c>
      <c r="U1872" s="1">
        <v>2594</v>
      </c>
      <c r="V1872">
        <f t="shared" si="116"/>
        <v>0.37932999686089569</v>
      </c>
      <c r="W1872" s="1">
        <f t="shared" si="117"/>
        <v>15.299999999999997</v>
      </c>
      <c r="X1872">
        <f t="shared" si="118"/>
        <v>0.34893993800000001</v>
      </c>
      <c r="Y1872">
        <f t="shared" si="119"/>
        <v>45.3</v>
      </c>
      <c r="Z1872" s="1">
        <v>2</v>
      </c>
      <c r="AA1872">
        <v>98</v>
      </c>
      <c r="AB1872">
        <v>2.0400000000000001E-2</v>
      </c>
      <c r="AC1872">
        <v>3</v>
      </c>
      <c r="AD1872">
        <v>117</v>
      </c>
      <c r="AE1872">
        <v>2.5600000000000001E-2</v>
      </c>
      <c r="AF1872" t="s">
        <v>2590</v>
      </c>
      <c r="AG1872" t="s">
        <v>2589</v>
      </c>
    </row>
    <row r="1873" spans="1:33">
      <c r="A1873" s="2" t="s">
        <v>77</v>
      </c>
      <c r="B1873" s="2" t="s">
        <v>45</v>
      </c>
      <c r="C1873" s="1">
        <v>0.54630843299999998</v>
      </c>
      <c r="D1873">
        <v>0.68935555900000001</v>
      </c>
      <c r="E1873">
        <v>0.65478744899999997</v>
      </c>
      <c r="F1873" s="1" t="s">
        <v>78</v>
      </c>
      <c r="G1873" s="1">
        <v>1.3914285710000001</v>
      </c>
      <c r="H1873" s="1">
        <v>56.5</v>
      </c>
      <c r="I1873" s="1">
        <v>105</v>
      </c>
      <c r="J1873" s="1">
        <v>0.63015048033333343</v>
      </c>
      <c r="K1873" s="1">
        <v>0.50907007599999998</v>
      </c>
      <c r="L1873" s="1">
        <v>0.68428041399999995</v>
      </c>
      <c r="M1873" s="3">
        <v>0.67454742099999998</v>
      </c>
      <c r="N1873" s="1" t="s">
        <v>46</v>
      </c>
      <c r="O1873" s="1">
        <v>0.98140043799999999</v>
      </c>
      <c r="P1873" s="1">
        <v>38.9</v>
      </c>
      <c r="Q1873" s="1">
        <v>91.4</v>
      </c>
      <c r="R1873" s="1">
        <v>0.62263263699999993</v>
      </c>
      <c r="S1873" s="1">
        <v>4.2460673832044389E-2</v>
      </c>
      <c r="T1873" t="s">
        <v>2020</v>
      </c>
      <c r="U1873" s="1">
        <v>1110</v>
      </c>
      <c r="V1873">
        <f t="shared" si="116"/>
        <v>0.3383692198651842</v>
      </c>
      <c r="W1873" s="1">
        <f t="shared" si="117"/>
        <v>17.600000000000001</v>
      </c>
      <c r="X1873">
        <f t="shared" si="118"/>
        <v>0.41002813300000007</v>
      </c>
      <c r="Y1873">
        <f t="shared" si="119"/>
        <v>13.599999999999994</v>
      </c>
      <c r="Z1873" s="1">
        <v>2</v>
      </c>
      <c r="AA1873">
        <v>98</v>
      </c>
      <c r="AB1873">
        <v>2.0400000000000001E-2</v>
      </c>
      <c r="AC1873">
        <v>3</v>
      </c>
      <c r="AD1873">
        <v>97</v>
      </c>
      <c r="AE1873">
        <v>3.09E-2</v>
      </c>
      <c r="AF1873" t="s">
        <v>2590</v>
      </c>
      <c r="AG1873" t="s">
        <v>2589</v>
      </c>
    </row>
    <row r="1874" spans="1:33">
      <c r="A1874" s="2" t="s">
        <v>77</v>
      </c>
      <c r="B1874" s="2" t="s">
        <v>47</v>
      </c>
      <c r="C1874" s="1">
        <v>0.54630843299999998</v>
      </c>
      <c r="D1874">
        <v>0.68935555900000001</v>
      </c>
      <c r="E1874">
        <v>0.65478744899999997</v>
      </c>
      <c r="F1874" s="1" t="s">
        <v>78</v>
      </c>
      <c r="G1874" s="1">
        <v>1.3914285710000001</v>
      </c>
      <c r="H1874" s="1">
        <v>56.5</v>
      </c>
      <c r="I1874" s="1">
        <v>105</v>
      </c>
      <c r="J1874" s="1">
        <v>0.63015048033333343</v>
      </c>
      <c r="K1874" s="1">
        <v>0.50612154099999995</v>
      </c>
      <c r="L1874" s="1">
        <v>0.55940039100000005</v>
      </c>
      <c r="M1874" s="3">
        <v>0.66789001699999995</v>
      </c>
      <c r="N1874" s="1" t="s">
        <v>48</v>
      </c>
      <c r="O1874" s="1">
        <v>1.242622951</v>
      </c>
      <c r="P1874" s="1">
        <v>17.8</v>
      </c>
      <c r="Q1874" s="1">
        <v>30.5</v>
      </c>
      <c r="R1874" s="1">
        <v>0.57780398300000002</v>
      </c>
      <c r="S1874" s="1">
        <v>0.13665653759232488</v>
      </c>
      <c r="T1874" t="s">
        <v>2021</v>
      </c>
      <c r="U1874" s="1">
        <v>2779</v>
      </c>
      <c r="V1874">
        <f t="shared" si="116"/>
        <v>0.38265428297526355</v>
      </c>
      <c r="W1874" s="1">
        <f t="shared" si="117"/>
        <v>38.700000000000003</v>
      </c>
      <c r="X1874">
        <f t="shared" si="118"/>
        <v>0.14880562000000008</v>
      </c>
      <c r="Y1874">
        <f t="shared" si="119"/>
        <v>74.5</v>
      </c>
      <c r="Z1874" s="1">
        <v>1</v>
      </c>
      <c r="AA1874">
        <v>99</v>
      </c>
      <c r="AB1874">
        <v>1.01E-2</v>
      </c>
      <c r="AC1874">
        <v>2</v>
      </c>
      <c r="AD1874">
        <v>105</v>
      </c>
      <c r="AE1874">
        <v>1.9E-2</v>
      </c>
      <c r="AF1874" t="s">
        <v>2590</v>
      </c>
      <c r="AG1874" t="s">
        <v>2590</v>
      </c>
    </row>
    <row r="1875" spans="1:33">
      <c r="A1875" s="2" t="s">
        <v>77</v>
      </c>
      <c r="B1875" s="2" t="s">
        <v>49</v>
      </c>
      <c r="C1875" s="1">
        <v>0.54630843299999998</v>
      </c>
      <c r="D1875">
        <v>0.68935555900000001</v>
      </c>
      <c r="E1875">
        <v>0.65478744899999997</v>
      </c>
      <c r="F1875" s="1" t="s">
        <v>78</v>
      </c>
      <c r="G1875" s="1">
        <v>1.3914285710000001</v>
      </c>
      <c r="H1875" s="1">
        <v>56.5</v>
      </c>
      <c r="I1875" s="1">
        <v>105</v>
      </c>
      <c r="J1875" s="1">
        <v>0.63015048033333343</v>
      </c>
      <c r="K1875" s="1">
        <v>0.50647110500000003</v>
      </c>
      <c r="L1875" s="1">
        <v>0.55713136799999996</v>
      </c>
      <c r="M1875" s="3">
        <v>0.63402682300000002</v>
      </c>
      <c r="N1875" s="1" t="s">
        <v>50</v>
      </c>
      <c r="O1875" s="1">
        <v>1.876675603</v>
      </c>
      <c r="P1875" s="1">
        <v>28.8</v>
      </c>
      <c r="Q1875" s="1">
        <v>37.299999999999997</v>
      </c>
      <c r="R1875" s="1">
        <v>0.56587643200000004</v>
      </c>
      <c r="S1875" s="1">
        <v>0.13964688675260881</v>
      </c>
      <c r="T1875" t="s">
        <v>2022</v>
      </c>
      <c r="U1875" s="1">
        <v>10382</v>
      </c>
      <c r="V1875">
        <f t="shared" si="116"/>
        <v>0.44625344717142557</v>
      </c>
      <c r="W1875" s="1">
        <f t="shared" si="117"/>
        <v>27.7</v>
      </c>
      <c r="X1875">
        <f t="shared" si="118"/>
        <v>0.48524703199999997</v>
      </c>
      <c r="Y1875">
        <f t="shared" si="119"/>
        <v>67.7</v>
      </c>
      <c r="Z1875" s="1">
        <v>4</v>
      </c>
      <c r="AA1875">
        <v>96</v>
      </c>
      <c r="AB1875">
        <v>4.1700000000000001E-2</v>
      </c>
      <c r="AC1875">
        <v>6</v>
      </c>
      <c r="AD1875">
        <v>75</v>
      </c>
      <c r="AE1875">
        <v>0.08</v>
      </c>
      <c r="AF1875" t="s">
        <v>2590</v>
      </c>
      <c r="AG1875" t="s">
        <v>2590</v>
      </c>
    </row>
    <row r="1876" spans="1:33">
      <c r="A1876" s="2" t="s">
        <v>77</v>
      </c>
      <c r="B1876" s="2" t="s">
        <v>51</v>
      </c>
      <c r="C1876" s="1">
        <v>0.54630843299999998</v>
      </c>
      <c r="D1876">
        <v>0.68935555900000001</v>
      </c>
      <c r="E1876">
        <v>0.65478744899999997</v>
      </c>
      <c r="F1876" s="1" t="s">
        <v>78</v>
      </c>
      <c r="G1876" s="1">
        <v>1.3914285710000001</v>
      </c>
      <c r="H1876" s="1">
        <v>56.5</v>
      </c>
      <c r="I1876" s="1">
        <v>105</v>
      </c>
      <c r="J1876" s="1">
        <v>0.63015048033333343</v>
      </c>
      <c r="K1876" s="1">
        <v>0.60067161999999996</v>
      </c>
      <c r="L1876" s="1">
        <v>0.68094129999999997</v>
      </c>
      <c r="M1876" s="3">
        <v>0.73595931299999995</v>
      </c>
      <c r="N1876" s="1" t="s">
        <v>52</v>
      </c>
      <c r="O1876" s="1">
        <v>1.858638743</v>
      </c>
      <c r="P1876" s="1">
        <v>29.4</v>
      </c>
      <c r="Q1876" s="1">
        <v>38.200000000000003</v>
      </c>
      <c r="R1876" s="1">
        <v>0.67252407766666666</v>
      </c>
      <c r="S1876" s="1">
        <v>9.8056245902800807E-2</v>
      </c>
      <c r="T1876" t="s">
        <v>2023</v>
      </c>
      <c r="U1876" s="1">
        <v>684</v>
      </c>
      <c r="V1876">
        <f t="shared" si="116"/>
        <v>0.31500623352445734</v>
      </c>
      <c r="W1876" s="1">
        <f t="shared" si="117"/>
        <v>27.1</v>
      </c>
      <c r="X1876">
        <f t="shared" si="118"/>
        <v>0.46721017199999992</v>
      </c>
      <c r="Y1876">
        <f t="shared" si="119"/>
        <v>66.8</v>
      </c>
      <c r="Z1876" s="1">
        <v>4</v>
      </c>
      <c r="AA1876">
        <v>96</v>
      </c>
      <c r="AB1876">
        <v>4.1700000000000001E-2</v>
      </c>
      <c r="AC1876">
        <v>5</v>
      </c>
      <c r="AD1876">
        <v>85</v>
      </c>
      <c r="AE1876">
        <v>5.8799999999999998E-2</v>
      </c>
      <c r="AF1876" t="s">
        <v>2590</v>
      </c>
      <c r="AG1876" t="s">
        <v>2591</v>
      </c>
    </row>
    <row r="1877" spans="1:33">
      <c r="A1877" s="2" t="s">
        <v>77</v>
      </c>
      <c r="B1877" s="2" t="s">
        <v>53</v>
      </c>
      <c r="C1877" s="1">
        <v>0.54630843299999998</v>
      </c>
      <c r="D1877">
        <v>0.68935555900000001</v>
      </c>
      <c r="E1877">
        <v>0.65478744899999997</v>
      </c>
      <c r="F1877" s="1" t="s">
        <v>78</v>
      </c>
      <c r="G1877" s="1">
        <v>1.3914285710000001</v>
      </c>
      <c r="H1877" s="1">
        <v>56.5</v>
      </c>
      <c r="I1877" s="1">
        <v>105</v>
      </c>
      <c r="J1877" s="1">
        <v>0.63015048033333343</v>
      </c>
      <c r="K1877" s="1">
        <v>0.54695832700000002</v>
      </c>
      <c r="L1877" s="1">
        <v>0.659790137</v>
      </c>
      <c r="M1877" s="3">
        <v>0.70662085500000005</v>
      </c>
      <c r="N1877" s="1" t="s">
        <v>54</v>
      </c>
      <c r="O1877" s="1">
        <v>2.5053995680000001</v>
      </c>
      <c r="P1877" s="1">
        <v>43.9</v>
      </c>
      <c r="Q1877" s="1">
        <v>46.3</v>
      </c>
      <c r="R1877" s="1">
        <v>0.63778977300000006</v>
      </c>
      <c r="S1877" s="1">
        <v>5.9676113461000165E-2</v>
      </c>
      <c r="T1877" t="s">
        <v>2024</v>
      </c>
      <c r="U1877" s="1">
        <v>901</v>
      </c>
      <c r="V1877">
        <f t="shared" si="116"/>
        <v>0.32830275455322921</v>
      </c>
      <c r="W1877" s="1">
        <f t="shared" si="117"/>
        <v>12.600000000000001</v>
      </c>
      <c r="X1877">
        <f t="shared" si="118"/>
        <v>1.113970997</v>
      </c>
      <c r="Y1877">
        <f t="shared" si="119"/>
        <v>58.7</v>
      </c>
      <c r="Z1877" s="1">
        <v>1</v>
      </c>
      <c r="AA1877">
        <v>99</v>
      </c>
      <c r="AB1877">
        <v>1.01E-2</v>
      </c>
      <c r="AC1877">
        <v>2</v>
      </c>
      <c r="AD1877">
        <v>88</v>
      </c>
      <c r="AE1877">
        <v>2.2700000000000001E-2</v>
      </c>
      <c r="AF1877" t="s">
        <v>2590</v>
      </c>
      <c r="AG1877" t="s">
        <v>2593</v>
      </c>
    </row>
    <row r="1878" spans="1:33">
      <c r="A1878" s="2" t="s">
        <v>77</v>
      </c>
      <c r="B1878" s="2" t="s">
        <v>55</v>
      </c>
      <c r="C1878" s="1">
        <v>0.54630843299999998</v>
      </c>
      <c r="D1878">
        <v>0.68935555900000001</v>
      </c>
      <c r="E1878">
        <v>0.65478744899999997</v>
      </c>
      <c r="F1878" s="1" t="s">
        <v>78</v>
      </c>
      <c r="G1878" s="1">
        <v>1.3914285710000001</v>
      </c>
      <c r="H1878" s="1">
        <v>56.5</v>
      </c>
      <c r="I1878" s="1">
        <v>105</v>
      </c>
      <c r="J1878" s="1">
        <v>0.63015048033333343</v>
      </c>
      <c r="K1878" s="1">
        <v>0.52971861799999997</v>
      </c>
      <c r="L1878" s="1">
        <v>0.62258244500000004</v>
      </c>
      <c r="M1878" s="3">
        <v>0.63939760400000001</v>
      </c>
      <c r="N1878" s="1" t="s">
        <v>56</v>
      </c>
      <c r="O1878" s="1">
        <v>1.0796934869999999</v>
      </c>
      <c r="P1878" s="1">
        <v>55.3</v>
      </c>
      <c r="Q1878" s="1">
        <v>130.5</v>
      </c>
      <c r="R1878" s="1">
        <v>0.59723288899999993</v>
      </c>
      <c r="S1878" s="1">
        <v>7.0503319383666191E-2</v>
      </c>
      <c r="T1878" t="s">
        <v>2025</v>
      </c>
      <c r="U1878" s="1">
        <v>10237</v>
      </c>
      <c r="V1878">
        <f t="shared" si="116"/>
        <v>0.4455747448096421</v>
      </c>
      <c r="W1878" s="1">
        <f t="shared" si="117"/>
        <v>1.2000000000000028</v>
      </c>
      <c r="X1878">
        <f t="shared" si="118"/>
        <v>0.31173508400000016</v>
      </c>
      <c r="Y1878">
        <f t="shared" si="119"/>
        <v>25.5</v>
      </c>
      <c r="Z1878" s="1">
        <v>3</v>
      </c>
      <c r="AA1878">
        <v>97</v>
      </c>
      <c r="AB1878">
        <v>3.09E-2</v>
      </c>
      <c r="AC1878">
        <v>5</v>
      </c>
      <c r="AD1878">
        <v>77</v>
      </c>
      <c r="AE1878">
        <v>6.4899999999999999E-2</v>
      </c>
      <c r="AF1878" t="s">
        <v>2590</v>
      </c>
      <c r="AG1878" t="s">
        <v>2592</v>
      </c>
    </row>
    <row r="1879" spans="1:33">
      <c r="A1879" s="2" t="s">
        <v>77</v>
      </c>
      <c r="B1879" s="2" t="s">
        <v>57</v>
      </c>
      <c r="C1879" s="1">
        <v>0.54630843299999998</v>
      </c>
      <c r="D1879">
        <v>0.68935555900000001</v>
      </c>
      <c r="E1879">
        <v>0.65478744899999997</v>
      </c>
      <c r="F1879" s="1" t="s">
        <v>78</v>
      </c>
      <c r="G1879" s="1">
        <v>1.3914285710000001</v>
      </c>
      <c r="H1879" s="1">
        <v>56.5</v>
      </c>
      <c r="I1879" s="1">
        <v>105</v>
      </c>
      <c r="J1879" s="1">
        <v>0.63015048033333343</v>
      </c>
      <c r="K1879" s="1">
        <v>0.528732855</v>
      </c>
      <c r="L1879" s="1">
        <v>0.63387497599999998</v>
      </c>
      <c r="M1879" s="3">
        <v>0.63337360200000004</v>
      </c>
      <c r="N1879" s="1" t="s">
        <v>58</v>
      </c>
      <c r="O1879" s="1">
        <v>1.386610879</v>
      </c>
      <c r="P1879" s="1">
        <v>69</v>
      </c>
      <c r="Q1879" s="1">
        <v>119.5</v>
      </c>
      <c r="R1879" s="1">
        <v>0.59866047766666663</v>
      </c>
      <c r="S1879" s="1">
        <v>6.2012489672592423E-2</v>
      </c>
      <c r="T1879" t="s">
        <v>2026</v>
      </c>
      <c r="U1879" s="1">
        <v>2158</v>
      </c>
      <c r="V1879">
        <f t="shared" si="116"/>
        <v>0.37045016003854353</v>
      </c>
      <c r="W1879" s="1">
        <f t="shared" si="117"/>
        <v>12.5</v>
      </c>
      <c r="X1879">
        <f t="shared" si="118"/>
        <v>4.8176920000000401E-3</v>
      </c>
      <c r="Y1879">
        <f t="shared" si="119"/>
        <v>14.5</v>
      </c>
      <c r="Z1879" s="1">
        <v>2</v>
      </c>
      <c r="AA1879">
        <v>98</v>
      </c>
      <c r="AB1879">
        <v>2.0400000000000001E-2</v>
      </c>
      <c r="AC1879">
        <v>5</v>
      </c>
      <c r="AD1879">
        <v>83</v>
      </c>
      <c r="AE1879">
        <v>6.0199999999999997E-2</v>
      </c>
      <c r="AF1879" t="s">
        <v>2590</v>
      </c>
      <c r="AG1879" t="s">
        <v>2589</v>
      </c>
    </row>
    <row r="1880" spans="1:33">
      <c r="A1880" s="2" t="s">
        <v>77</v>
      </c>
      <c r="B1880" s="2" t="s">
        <v>59</v>
      </c>
      <c r="C1880" s="1">
        <v>0.54630843299999998</v>
      </c>
      <c r="D1880">
        <v>0.68935555900000001</v>
      </c>
      <c r="E1880">
        <v>0.65478744899999997</v>
      </c>
      <c r="F1880" s="1" t="s">
        <v>78</v>
      </c>
      <c r="G1880" s="1">
        <v>1.3914285710000001</v>
      </c>
      <c r="H1880" s="1">
        <v>56.5</v>
      </c>
      <c r="I1880" s="1">
        <v>105</v>
      </c>
      <c r="J1880" s="1">
        <v>0.63015048033333343</v>
      </c>
      <c r="K1880" s="1">
        <v>0.56225432799999997</v>
      </c>
      <c r="L1880" s="1">
        <v>0.68100706499999997</v>
      </c>
      <c r="M1880" s="3">
        <v>0.67505263699999996</v>
      </c>
      <c r="N1880" s="1" t="s">
        <v>60</v>
      </c>
      <c r="O1880" s="1">
        <v>1.1501154730000001</v>
      </c>
      <c r="P1880" s="1">
        <v>60.5</v>
      </c>
      <c r="Q1880" s="1">
        <v>129.9</v>
      </c>
      <c r="R1880" s="1">
        <v>0.63943801</v>
      </c>
      <c r="S1880" s="1">
        <v>2.7104367989208029E-2</v>
      </c>
      <c r="T1880" t="s">
        <v>2027</v>
      </c>
      <c r="U1880" s="1">
        <v>2237</v>
      </c>
      <c r="V1880">
        <f t="shared" si="116"/>
        <v>0.37218510934407001</v>
      </c>
      <c r="W1880" s="1">
        <f t="shared" si="117"/>
        <v>4</v>
      </c>
      <c r="X1880">
        <f t="shared" si="118"/>
        <v>0.241313098</v>
      </c>
      <c r="Y1880">
        <f t="shared" si="119"/>
        <v>24.900000000000006</v>
      </c>
      <c r="Z1880" s="1">
        <v>2</v>
      </c>
      <c r="AA1880">
        <v>98</v>
      </c>
      <c r="AB1880">
        <v>2.0400000000000001E-2</v>
      </c>
      <c r="AC1880">
        <v>3</v>
      </c>
      <c r="AD1880">
        <v>104</v>
      </c>
      <c r="AE1880">
        <v>2.8799999999999999E-2</v>
      </c>
      <c r="AF1880" t="s">
        <v>2590</v>
      </c>
      <c r="AG1880" t="s">
        <v>2589</v>
      </c>
    </row>
    <row r="1881" spans="1:33">
      <c r="A1881" s="2" t="s">
        <v>77</v>
      </c>
      <c r="B1881" s="2" t="s">
        <v>61</v>
      </c>
      <c r="C1881" s="1">
        <v>0.54630843299999998</v>
      </c>
      <c r="D1881">
        <v>0.68935555900000001</v>
      </c>
      <c r="E1881">
        <v>0.65478744899999997</v>
      </c>
      <c r="F1881" s="1" t="s">
        <v>78</v>
      </c>
      <c r="G1881" s="1">
        <v>1.3914285710000001</v>
      </c>
      <c r="H1881" s="1">
        <v>56.5</v>
      </c>
      <c r="I1881" s="1">
        <v>105</v>
      </c>
      <c r="J1881" s="1">
        <v>0.63015048033333343</v>
      </c>
      <c r="K1881" s="1">
        <v>0.62063455999999995</v>
      </c>
      <c r="L1881" s="1">
        <v>0.67798104299999995</v>
      </c>
      <c r="M1881" s="3">
        <v>0.72175371600000005</v>
      </c>
      <c r="N1881" s="1" t="s">
        <v>62</v>
      </c>
      <c r="O1881" s="1">
        <v>7.5471698109999998</v>
      </c>
      <c r="P1881" s="1">
        <v>26.4</v>
      </c>
      <c r="Q1881" s="1">
        <v>10.6</v>
      </c>
      <c r="R1881" s="1">
        <v>0.6734564396666668</v>
      </c>
      <c r="S1881" s="1">
        <v>0.10068879622365975</v>
      </c>
      <c r="T1881" t="s">
        <v>2028</v>
      </c>
      <c r="U1881" s="1">
        <v>1305</v>
      </c>
      <c r="V1881">
        <f t="shared" si="116"/>
        <v>0.34617894574158886</v>
      </c>
      <c r="W1881" s="1">
        <f t="shared" si="117"/>
        <v>30.1</v>
      </c>
      <c r="X1881">
        <f t="shared" si="118"/>
        <v>6.1557412399999993</v>
      </c>
      <c r="Y1881">
        <f t="shared" si="119"/>
        <v>94.4</v>
      </c>
      <c r="Z1881" s="1">
        <v>0</v>
      </c>
      <c r="AA1881">
        <v>100</v>
      </c>
      <c r="AB1881">
        <v>0</v>
      </c>
      <c r="AC1881">
        <v>0</v>
      </c>
      <c r="AD1881">
        <v>82</v>
      </c>
      <c r="AE1881">
        <v>0</v>
      </c>
      <c r="AF1881" t="s">
        <v>2590</v>
      </c>
      <c r="AG1881" t="s">
        <v>2588</v>
      </c>
    </row>
    <row r="1882" spans="1:33">
      <c r="A1882" s="2" t="s">
        <v>77</v>
      </c>
      <c r="B1882" s="2" t="s">
        <v>63</v>
      </c>
      <c r="C1882" s="1">
        <v>0.54630843299999998</v>
      </c>
      <c r="D1882">
        <v>0.68935555900000001</v>
      </c>
      <c r="E1882">
        <v>0.65478744899999997</v>
      </c>
      <c r="F1882" s="1" t="s">
        <v>78</v>
      </c>
      <c r="G1882" s="1">
        <v>1.3914285710000001</v>
      </c>
      <c r="H1882" s="1">
        <v>56.5</v>
      </c>
      <c r="I1882" s="1">
        <v>105</v>
      </c>
      <c r="J1882" s="1">
        <v>0.63015048033333343</v>
      </c>
      <c r="K1882" s="1">
        <v>0.44311141399999998</v>
      </c>
      <c r="L1882" s="1">
        <v>0.57053969199999999</v>
      </c>
      <c r="M1882" s="3">
        <v>0.59266330599999995</v>
      </c>
      <c r="N1882" s="1" t="s">
        <v>64</v>
      </c>
      <c r="O1882" s="1">
        <v>0.89618138400000003</v>
      </c>
      <c r="P1882" s="1">
        <v>29.7</v>
      </c>
      <c r="Q1882" s="1">
        <v>83.8</v>
      </c>
      <c r="R1882" s="1">
        <v>0.53543813733333334</v>
      </c>
      <c r="S1882" s="1">
        <v>0.16919291984280108</v>
      </c>
      <c r="T1882" t="s">
        <v>2029</v>
      </c>
      <c r="U1882" s="1">
        <v>9405</v>
      </c>
      <c r="V1882">
        <f t="shared" si="116"/>
        <v>0.44148431109848862</v>
      </c>
      <c r="W1882" s="1">
        <f t="shared" si="117"/>
        <v>26.8</v>
      </c>
      <c r="X1882">
        <f t="shared" si="118"/>
        <v>0.49524718700000003</v>
      </c>
      <c r="Y1882">
        <f t="shared" si="119"/>
        <v>21.200000000000003</v>
      </c>
      <c r="Z1882" s="1">
        <v>8</v>
      </c>
      <c r="AA1882">
        <v>92</v>
      </c>
      <c r="AB1882">
        <v>8.6999999999999994E-2</v>
      </c>
      <c r="AC1882">
        <v>9</v>
      </c>
      <c r="AD1882">
        <v>80</v>
      </c>
      <c r="AE1882">
        <v>0.1125</v>
      </c>
      <c r="AF1882" t="s">
        <v>2590</v>
      </c>
      <c r="AG1882" t="s">
        <v>2590</v>
      </c>
    </row>
    <row r="1883" spans="1:33">
      <c r="A1883" s="2" t="s">
        <v>77</v>
      </c>
      <c r="B1883" s="2" t="s">
        <v>65</v>
      </c>
      <c r="C1883" s="1">
        <v>0.54630843299999998</v>
      </c>
      <c r="D1883">
        <v>0.68935555900000001</v>
      </c>
      <c r="E1883">
        <v>0.65478744899999997</v>
      </c>
      <c r="F1883" s="1" t="s">
        <v>78</v>
      </c>
      <c r="G1883" s="1">
        <v>1.3914285710000001</v>
      </c>
      <c r="H1883" s="1">
        <v>56.5</v>
      </c>
      <c r="I1883" s="1">
        <v>105</v>
      </c>
      <c r="J1883" s="1">
        <v>0.63015048033333343</v>
      </c>
      <c r="K1883" s="1">
        <v>0.67377447499999998</v>
      </c>
      <c r="L1883" s="1">
        <v>0.69144672900000004</v>
      </c>
      <c r="M1883" s="3">
        <v>0.73046409700000003</v>
      </c>
      <c r="N1883" s="1" t="s">
        <v>66</v>
      </c>
      <c r="O1883" s="1">
        <v>1.8507462690000001</v>
      </c>
      <c r="P1883" s="1">
        <v>34.5</v>
      </c>
      <c r="Q1883" s="1">
        <v>46.9</v>
      </c>
      <c r="R1883" s="1">
        <v>0.69856176700000006</v>
      </c>
      <c r="S1883" s="1">
        <v>0.14825289173446357</v>
      </c>
      <c r="T1883" t="s">
        <v>2030</v>
      </c>
      <c r="U1883" s="1">
        <v>511</v>
      </c>
      <c r="V1883">
        <f t="shared" si="116"/>
        <v>0.30093565557052365</v>
      </c>
      <c r="W1883" s="1">
        <f t="shared" si="117"/>
        <v>22</v>
      </c>
      <c r="X1883">
        <f t="shared" si="118"/>
        <v>0.459317698</v>
      </c>
      <c r="Y1883">
        <f t="shared" si="119"/>
        <v>58.1</v>
      </c>
      <c r="Z1883" s="1">
        <v>0</v>
      </c>
      <c r="AA1883">
        <v>100</v>
      </c>
      <c r="AB1883">
        <v>0</v>
      </c>
      <c r="AC1883">
        <v>0</v>
      </c>
      <c r="AD1883">
        <v>71</v>
      </c>
      <c r="AE1883">
        <v>0</v>
      </c>
      <c r="AF1883" t="s">
        <v>2590</v>
      </c>
      <c r="AG1883" t="s">
        <v>2593</v>
      </c>
    </row>
    <row r="1884" spans="1:33">
      <c r="A1884" s="2" t="s">
        <v>77</v>
      </c>
      <c r="B1884" s="2" t="s">
        <v>67</v>
      </c>
      <c r="C1884" s="1">
        <v>0.54630843299999998</v>
      </c>
      <c r="D1884">
        <v>0.68935555900000001</v>
      </c>
      <c r="E1884">
        <v>0.65478744899999997</v>
      </c>
      <c r="F1884" s="1" t="s">
        <v>78</v>
      </c>
      <c r="G1884" s="1">
        <v>1.3914285710000001</v>
      </c>
      <c r="H1884" s="1">
        <v>56.5</v>
      </c>
      <c r="I1884" s="1">
        <v>105</v>
      </c>
      <c r="J1884" s="1">
        <v>0.63015048033333343</v>
      </c>
      <c r="K1884" s="1">
        <v>0.53971122199999999</v>
      </c>
      <c r="L1884" s="1">
        <v>0.621203065</v>
      </c>
      <c r="M1884" s="3">
        <v>0.67806811499999997</v>
      </c>
      <c r="N1884" s="1" t="s">
        <v>68</v>
      </c>
      <c r="O1884" s="1">
        <v>1.5131894480000001</v>
      </c>
      <c r="P1884" s="1">
        <v>27.2</v>
      </c>
      <c r="Q1884" s="1">
        <v>41.7</v>
      </c>
      <c r="R1884" s="1">
        <v>0.61299413400000002</v>
      </c>
      <c r="S1884" s="1">
        <v>7.2320640489435067E-2</v>
      </c>
      <c r="T1884" t="s">
        <v>2031</v>
      </c>
      <c r="U1884" s="1">
        <v>1159</v>
      </c>
      <c r="V1884">
        <f t="shared" si="116"/>
        <v>0.34045371510706623</v>
      </c>
      <c r="W1884" s="1">
        <f t="shared" si="117"/>
        <v>29.3</v>
      </c>
      <c r="X1884">
        <f t="shared" si="118"/>
        <v>0.12176087700000005</v>
      </c>
      <c r="Y1884">
        <f t="shared" si="119"/>
        <v>63.3</v>
      </c>
      <c r="Z1884" s="1">
        <v>2</v>
      </c>
      <c r="AA1884">
        <v>98</v>
      </c>
      <c r="AB1884">
        <v>2.0400000000000001E-2</v>
      </c>
      <c r="AC1884">
        <v>3</v>
      </c>
      <c r="AD1884">
        <v>79</v>
      </c>
      <c r="AE1884">
        <v>3.7999999999999999E-2</v>
      </c>
      <c r="AF1884" t="s">
        <v>2590</v>
      </c>
      <c r="AG1884" t="s">
        <v>2588</v>
      </c>
    </row>
    <row r="1885" spans="1:33">
      <c r="A1885" s="2" t="s">
        <v>77</v>
      </c>
      <c r="B1885" s="2" t="s">
        <v>69</v>
      </c>
      <c r="C1885" s="1">
        <v>0.54630843299999998</v>
      </c>
      <c r="D1885">
        <v>0.68935555900000001</v>
      </c>
      <c r="E1885">
        <v>0.65478744899999997</v>
      </c>
      <c r="F1885" s="1" t="s">
        <v>78</v>
      </c>
      <c r="G1885" s="1">
        <v>1.3914285710000001</v>
      </c>
      <c r="H1885" s="1">
        <v>56.5</v>
      </c>
      <c r="I1885" s="1">
        <v>105</v>
      </c>
      <c r="J1885" s="1">
        <v>0.63015048033333343</v>
      </c>
      <c r="K1885" s="1">
        <v>0.50188385300000005</v>
      </c>
      <c r="L1885" s="1">
        <v>0.64580031500000001</v>
      </c>
      <c r="M1885" s="3">
        <v>0.66006355800000005</v>
      </c>
      <c r="N1885" s="1" t="s">
        <v>70</v>
      </c>
      <c r="O1885" s="1">
        <v>1.2401055409999999</v>
      </c>
      <c r="P1885" s="1">
        <v>43.4</v>
      </c>
      <c r="Q1885" s="1">
        <v>75.8</v>
      </c>
      <c r="R1885" s="1">
        <v>0.60258257533333337</v>
      </c>
      <c r="S1885" s="1">
        <v>6.2437488052097451E-2</v>
      </c>
      <c r="T1885" t="s">
        <v>2032</v>
      </c>
      <c r="U1885" s="1">
        <v>1317</v>
      </c>
      <c r="V1885">
        <f t="shared" si="116"/>
        <v>0.34662064166242046</v>
      </c>
      <c r="W1885" s="1">
        <f t="shared" si="117"/>
        <v>13.100000000000001</v>
      </c>
      <c r="X1885">
        <f t="shared" si="118"/>
        <v>0.15132303000000014</v>
      </c>
      <c r="Y1885">
        <f t="shared" si="119"/>
        <v>29.200000000000003</v>
      </c>
      <c r="Z1885" s="1">
        <v>3</v>
      </c>
      <c r="AA1885">
        <v>97</v>
      </c>
      <c r="AB1885">
        <v>3.09E-2</v>
      </c>
      <c r="AC1885">
        <v>6</v>
      </c>
      <c r="AD1885">
        <v>83</v>
      </c>
      <c r="AE1885">
        <v>7.2300000000000003E-2</v>
      </c>
      <c r="AF1885" t="s">
        <v>2590</v>
      </c>
      <c r="AG1885" t="s">
        <v>2589</v>
      </c>
    </row>
    <row r="1886" spans="1:33">
      <c r="A1886" s="2" t="s">
        <v>77</v>
      </c>
      <c r="B1886" s="2" t="s">
        <v>71</v>
      </c>
      <c r="C1886" s="1">
        <v>0.54630843299999998</v>
      </c>
      <c r="D1886">
        <v>0.68935555900000001</v>
      </c>
      <c r="E1886">
        <v>0.65478744899999997</v>
      </c>
      <c r="F1886" s="1" t="s">
        <v>78</v>
      </c>
      <c r="G1886" s="1">
        <v>1.3914285710000001</v>
      </c>
      <c r="H1886" s="1">
        <v>56.5</v>
      </c>
      <c r="I1886" s="1">
        <v>105</v>
      </c>
      <c r="J1886" s="1">
        <v>0.63015048033333343</v>
      </c>
      <c r="K1886" s="1">
        <v>0.53267569100000001</v>
      </c>
      <c r="L1886" s="1">
        <v>0.64507433599999997</v>
      </c>
      <c r="M1886" s="3">
        <v>0.66598465100000004</v>
      </c>
      <c r="N1886" s="1" t="s">
        <v>72</v>
      </c>
      <c r="O1886" s="1">
        <v>0.97289666900000005</v>
      </c>
      <c r="P1886" s="1">
        <v>64.8</v>
      </c>
      <c r="Q1886" s="1">
        <v>177.1</v>
      </c>
      <c r="R1886" s="1">
        <v>0.61457822600000001</v>
      </c>
      <c r="S1886" s="1">
        <v>4.7666085400870722E-2</v>
      </c>
      <c r="T1886" t="s">
        <v>2033</v>
      </c>
      <c r="U1886" s="1">
        <v>2817</v>
      </c>
      <c r="V1886">
        <f t="shared" si="116"/>
        <v>0.38330964966508596</v>
      </c>
      <c r="W1886" s="1">
        <f t="shared" si="117"/>
        <v>8.2999999999999972</v>
      </c>
      <c r="X1886">
        <f t="shared" si="118"/>
        <v>0.41853190200000001</v>
      </c>
      <c r="Y1886">
        <f t="shared" si="119"/>
        <v>72.099999999999994</v>
      </c>
      <c r="Z1886" s="1">
        <v>2</v>
      </c>
      <c r="AA1886">
        <v>98</v>
      </c>
      <c r="AB1886">
        <v>2.0400000000000001E-2</v>
      </c>
      <c r="AC1886">
        <v>4</v>
      </c>
      <c r="AD1886">
        <v>96</v>
      </c>
      <c r="AE1886">
        <v>4.1700000000000001E-2</v>
      </c>
      <c r="AF1886" t="s">
        <v>2590</v>
      </c>
      <c r="AG1886" t="s">
        <v>2589</v>
      </c>
    </row>
    <row r="1887" spans="1:33">
      <c r="A1887" s="2" t="s">
        <v>77</v>
      </c>
      <c r="B1887" s="2" t="s">
        <v>73</v>
      </c>
      <c r="C1887" s="1">
        <v>0.54630843299999998</v>
      </c>
      <c r="D1887">
        <v>0.68935555900000001</v>
      </c>
      <c r="E1887">
        <v>0.65478744899999997</v>
      </c>
      <c r="F1887" s="1" t="s">
        <v>78</v>
      </c>
      <c r="G1887" s="1">
        <v>1.3914285710000001</v>
      </c>
      <c r="H1887" s="1">
        <v>56.5</v>
      </c>
      <c r="I1887" s="1">
        <v>105</v>
      </c>
      <c r="J1887" s="1">
        <v>0.63015048033333343</v>
      </c>
      <c r="K1887" s="1">
        <v>0.55697925299999995</v>
      </c>
      <c r="L1887" s="1">
        <v>0.64461978399999997</v>
      </c>
      <c r="M1887" s="3">
        <v>0.69570690000000002</v>
      </c>
      <c r="N1887" s="1" t="s">
        <v>74</v>
      </c>
      <c r="O1887" s="1">
        <v>1.23433584</v>
      </c>
      <c r="P1887" s="1">
        <v>44</v>
      </c>
      <c r="Q1887" s="1">
        <v>79.8</v>
      </c>
      <c r="R1887" s="1">
        <v>0.63243531233333328</v>
      </c>
      <c r="S1887" s="1">
        <v>6.1559381368435084E-2</v>
      </c>
      <c r="T1887" t="s">
        <v>2034</v>
      </c>
      <c r="U1887" s="1">
        <v>1215</v>
      </c>
      <c r="V1887">
        <f t="shared" si="116"/>
        <v>0.34273069754825897</v>
      </c>
      <c r="W1887" s="1">
        <f t="shared" si="117"/>
        <v>12.5</v>
      </c>
      <c r="X1887">
        <f t="shared" si="118"/>
        <v>0.1570927310000001</v>
      </c>
      <c r="Y1887">
        <f t="shared" si="119"/>
        <v>25.200000000000003</v>
      </c>
      <c r="Z1887" s="1">
        <v>2</v>
      </c>
      <c r="AA1887">
        <v>98</v>
      </c>
      <c r="AB1887">
        <v>2.0400000000000001E-2</v>
      </c>
      <c r="AC1887">
        <v>3</v>
      </c>
      <c r="AD1887">
        <v>82</v>
      </c>
      <c r="AE1887">
        <v>3.6600000000000001E-2</v>
      </c>
      <c r="AF1887" t="s">
        <v>2590</v>
      </c>
      <c r="AG1887" t="s">
        <v>2589</v>
      </c>
    </row>
    <row r="1888" spans="1:33">
      <c r="A1888" s="2" t="s">
        <v>77</v>
      </c>
      <c r="B1888" s="2" t="s">
        <v>75</v>
      </c>
      <c r="C1888" s="1">
        <v>0.54630843299999998</v>
      </c>
      <c r="D1888">
        <v>0.68935555900000001</v>
      </c>
      <c r="E1888">
        <v>0.65478744899999997</v>
      </c>
      <c r="F1888" s="1" t="s">
        <v>78</v>
      </c>
      <c r="G1888" s="1">
        <v>1.3914285710000001</v>
      </c>
      <c r="H1888" s="1">
        <v>56.5</v>
      </c>
      <c r="I1888" s="1">
        <v>105</v>
      </c>
      <c r="J1888" s="1">
        <v>0.63015048033333343</v>
      </c>
      <c r="K1888" s="1">
        <v>0.50354843500000002</v>
      </c>
      <c r="L1888" s="1">
        <v>0.59724402499999996</v>
      </c>
      <c r="M1888" s="3">
        <v>0.70308254199999998</v>
      </c>
      <c r="N1888" s="1" t="s">
        <v>76</v>
      </c>
      <c r="O1888" s="1">
        <v>1.2696850390000001</v>
      </c>
      <c r="P1888" s="1">
        <v>26.6</v>
      </c>
      <c r="Q1888" s="1">
        <v>50.8</v>
      </c>
      <c r="R1888" s="1">
        <v>0.60129166733333339</v>
      </c>
      <c r="S1888" s="1">
        <v>0.11245162574490337</v>
      </c>
      <c r="T1888" t="s">
        <v>2035</v>
      </c>
      <c r="U1888" s="1">
        <v>14301</v>
      </c>
      <c r="V1888">
        <f t="shared" si="116"/>
        <v>0.4617073785163005</v>
      </c>
      <c r="W1888" s="1">
        <f t="shared" si="117"/>
        <v>29.9</v>
      </c>
      <c r="X1888">
        <f t="shared" si="118"/>
        <v>0.12174353199999999</v>
      </c>
      <c r="Y1888">
        <f t="shared" si="119"/>
        <v>54.2</v>
      </c>
      <c r="Z1888" s="1">
        <v>6</v>
      </c>
      <c r="AA1888">
        <v>94</v>
      </c>
      <c r="AB1888">
        <v>6.3799999999999996E-2</v>
      </c>
      <c r="AC1888">
        <v>6</v>
      </c>
      <c r="AD1888">
        <v>79</v>
      </c>
      <c r="AE1888">
        <v>7.5899999999999995E-2</v>
      </c>
      <c r="AF1888" t="s">
        <v>2590</v>
      </c>
      <c r="AG1888" t="s">
        <v>2594</v>
      </c>
    </row>
    <row r="1889" spans="1:33">
      <c r="A1889" s="2" t="s">
        <v>75</v>
      </c>
      <c r="B1889" s="2" t="s">
        <v>10</v>
      </c>
      <c r="C1889" s="1">
        <v>0.50354843500000002</v>
      </c>
      <c r="D1889">
        <v>0.59724402499999996</v>
      </c>
      <c r="E1889">
        <v>0.70308254199999998</v>
      </c>
      <c r="F1889" s="1" t="s">
        <v>76</v>
      </c>
      <c r="G1889" s="1">
        <v>1.2696850390000001</v>
      </c>
      <c r="H1889" s="1">
        <v>26.6</v>
      </c>
      <c r="I1889" s="1">
        <v>50.8</v>
      </c>
      <c r="J1889" s="1">
        <v>0.60129166733333339</v>
      </c>
      <c r="K1889" s="1">
        <v>0.52456325500000001</v>
      </c>
      <c r="L1889" s="1">
        <v>0.61925627999999999</v>
      </c>
      <c r="M1889" s="3">
        <v>0.72111139899999999</v>
      </c>
      <c r="N1889" s="1" t="s">
        <v>12</v>
      </c>
      <c r="O1889" s="1">
        <v>0.61690647499999995</v>
      </c>
      <c r="P1889" s="1">
        <v>30</v>
      </c>
      <c r="Q1889" s="1">
        <v>111.2</v>
      </c>
      <c r="R1889" s="1">
        <v>0.62164364466666666</v>
      </c>
      <c r="S1889" s="1">
        <v>3.5372329786768013E-2</v>
      </c>
      <c r="T1889" t="s">
        <v>2036</v>
      </c>
      <c r="U1889" s="1">
        <v>589</v>
      </c>
      <c r="V1889">
        <f t="shared" si="116"/>
        <v>0.30779058830967793</v>
      </c>
      <c r="W1889" s="1">
        <f t="shared" si="117"/>
        <v>3.3999999999999986</v>
      </c>
      <c r="X1889">
        <f t="shared" si="118"/>
        <v>0.65277856400000012</v>
      </c>
      <c r="Y1889">
        <f t="shared" si="119"/>
        <v>60.400000000000006</v>
      </c>
      <c r="Z1889" s="1">
        <v>2</v>
      </c>
      <c r="AA1889">
        <v>98</v>
      </c>
      <c r="AB1889">
        <v>2.0400000000000001E-2</v>
      </c>
      <c r="AC1889">
        <v>3</v>
      </c>
      <c r="AD1889">
        <v>152</v>
      </c>
      <c r="AE1889">
        <v>1.9699999999999999E-2</v>
      </c>
      <c r="AF1889" t="s">
        <v>2594</v>
      </c>
      <c r="AG1889" t="s">
        <v>2588</v>
      </c>
    </row>
    <row r="1890" spans="1:33">
      <c r="A1890" s="2" t="s">
        <v>75</v>
      </c>
      <c r="B1890" s="2" t="s">
        <v>13</v>
      </c>
      <c r="C1890" s="1">
        <v>0.50354843500000002</v>
      </c>
      <c r="D1890">
        <v>0.59724402499999996</v>
      </c>
      <c r="E1890">
        <v>0.70308254199999998</v>
      </c>
      <c r="F1890" s="1" t="s">
        <v>76</v>
      </c>
      <c r="G1890" s="1">
        <v>1.2696850390000001</v>
      </c>
      <c r="H1890" s="1">
        <v>26.6</v>
      </c>
      <c r="I1890" s="1">
        <v>50.8</v>
      </c>
      <c r="J1890" s="1">
        <v>0.60129166733333339</v>
      </c>
      <c r="K1890" s="1">
        <v>0.48695497399999998</v>
      </c>
      <c r="L1890" s="1">
        <v>0.54991327199999995</v>
      </c>
      <c r="M1890" s="3">
        <v>0.67282609299999996</v>
      </c>
      <c r="N1890" s="1" t="s">
        <v>14</v>
      </c>
      <c r="O1890" s="1">
        <v>1.6052009460000001</v>
      </c>
      <c r="P1890" s="1">
        <v>26.6</v>
      </c>
      <c r="Q1890" s="1">
        <v>42.3</v>
      </c>
      <c r="R1890" s="1">
        <v>0.56989811299999993</v>
      </c>
      <c r="S1890" s="1">
        <v>5.8574703017558127E-2</v>
      </c>
      <c r="T1890" t="s">
        <v>2037</v>
      </c>
      <c r="U1890" s="1">
        <v>226</v>
      </c>
      <c r="V1890">
        <f t="shared" si="116"/>
        <v>0.26156760434971121</v>
      </c>
      <c r="W1890" s="1">
        <f t="shared" si="117"/>
        <v>0</v>
      </c>
      <c r="X1890">
        <f t="shared" si="118"/>
        <v>0.335515907</v>
      </c>
      <c r="Y1890">
        <f t="shared" si="119"/>
        <v>8.5</v>
      </c>
      <c r="Z1890" s="1">
        <v>3</v>
      </c>
      <c r="AA1890">
        <v>97</v>
      </c>
      <c r="AB1890">
        <v>3.09E-2</v>
      </c>
      <c r="AC1890">
        <v>4</v>
      </c>
      <c r="AD1890">
        <v>98</v>
      </c>
      <c r="AE1890">
        <v>4.0800000000000003E-2</v>
      </c>
      <c r="AF1890" t="s">
        <v>2594</v>
      </c>
      <c r="AG1890" t="s">
        <v>2590</v>
      </c>
    </row>
    <row r="1891" spans="1:33">
      <c r="A1891" s="2" t="s">
        <v>75</v>
      </c>
      <c r="B1891" s="2" t="s">
        <v>15</v>
      </c>
      <c r="C1891" s="1">
        <v>0.50354843500000002</v>
      </c>
      <c r="D1891">
        <v>0.59724402499999996</v>
      </c>
      <c r="E1891">
        <v>0.70308254199999998</v>
      </c>
      <c r="F1891" s="1" t="s">
        <v>76</v>
      </c>
      <c r="G1891" s="1">
        <v>1.2696850390000001</v>
      </c>
      <c r="H1891" s="1">
        <v>26.6</v>
      </c>
      <c r="I1891" s="1">
        <v>50.8</v>
      </c>
      <c r="J1891" s="1">
        <v>0.60129166733333339</v>
      </c>
      <c r="K1891" s="1">
        <v>0.54560998800000005</v>
      </c>
      <c r="L1891" s="1">
        <v>0.66721428400000005</v>
      </c>
      <c r="M1891" s="3">
        <v>0.72650398400000005</v>
      </c>
      <c r="N1891" s="1" t="s">
        <v>16</v>
      </c>
      <c r="O1891" s="1">
        <v>5.1392405060000002</v>
      </c>
      <c r="P1891" s="1">
        <v>35.9</v>
      </c>
      <c r="Q1891" s="1">
        <v>15.8</v>
      </c>
      <c r="R1891" s="1">
        <v>0.64644275200000012</v>
      </c>
      <c r="S1891" s="1">
        <v>8.4932769474792669E-2</v>
      </c>
      <c r="T1891" t="s">
        <v>2038</v>
      </c>
      <c r="U1891" s="1">
        <v>1014</v>
      </c>
      <c r="V1891">
        <f t="shared" si="116"/>
        <v>0.33400421722192414</v>
      </c>
      <c r="W1891" s="1">
        <f t="shared" si="117"/>
        <v>9.2999999999999972</v>
      </c>
      <c r="X1891">
        <f t="shared" si="118"/>
        <v>3.8695554670000001</v>
      </c>
      <c r="Y1891">
        <f t="shared" si="119"/>
        <v>35</v>
      </c>
      <c r="Z1891" s="1">
        <v>2</v>
      </c>
      <c r="AA1891">
        <v>98</v>
      </c>
      <c r="AB1891">
        <v>2.0400000000000001E-2</v>
      </c>
      <c r="AC1891">
        <v>2</v>
      </c>
      <c r="AD1891">
        <v>96</v>
      </c>
      <c r="AE1891">
        <v>2.0799999999999999E-2</v>
      </c>
      <c r="AF1891" t="s">
        <v>2594</v>
      </c>
      <c r="AG1891" t="s">
        <v>2591</v>
      </c>
    </row>
    <row r="1892" spans="1:33">
      <c r="A1892" s="2" t="s">
        <v>75</v>
      </c>
      <c r="B1892" s="2" t="s">
        <v>17</v>
      </c>
      <c r="C1892" s="1">
        <v>0.50354843500000002</v>
      </c>
      <c r="D1892">
        <v>0.59724402499999996</v>
      </c>
      <c r="E1892">
        <v>0.70308254199999998</v>
      </c>
      <c r="F1892" s="1" t="s">
        <v>76</v>
      </c>
      <c r="G1892" s="1">
        <v>1.2696850390000001</v>
      </c>
      <c r="H1892" s="1">
        <v>26.6</v>
      </c>
      <c r="I1892" s="1">
        <v>50.8</v>
      </c>
      <c r="J1892" s="1">
        <v>0.60129166733333339</v>
      </c>
      <c r="K1892" s="1">
        <v>0.659112378</v>
      </c>
      <c r="L1892" s="1">
        <v>0.68333493499999998</v>
      </c>
      <c r="M1892" s="3">
        <v>0.70345495199999997</v>
      </c>
      <c r="N1892" s="1" t="s">
        <v>18</v>
      </c>
      <c r="O1892" s="1">
        <v>1.9463955639999999</v>
      </c>
      <c r="P1892" s="1">
        <v>46.3</v>
      </c>
      <c r="Q1892" s="1">
        <v>54.1</v>
      </c>
      <c r="R1892" s="1">
        <v>0.68196742166666668</v>
      </c>
      <c r="S1892" s="1">
        <v>0.17779742359084802</v>
      </c>
      <c r="T1892" t="s">
        <v>2039</v>
      </c>
      <c r="U1892" s="1">
        <v>889</v>
      </c>
      <c r="V1892">
        <f t="shared" si="116"/>
        <v>0.32765575121891266</v>
      </c>
      <c r="W1892" s="1">
        <f t="shared" si="117"/>
        <v>19.699999999999996</v>
      </c>
      <c r="X1892">
        <f t="shared" si="118"/>
        <v>0.67671052499999984</v>
      </c>
      <c r="Y1892">
        <f t="shared" si="119"/>
        <v>3.3000000000000043</v>
      </c>
      <c r="Z1892" s="1">
        <v>1</v>
      </c>
      <c r="AA1892">
        <v>99</v>
      </c>
      <c r="AB1892">
        <v>1.01E-2</v>
      </c>
      <c r="AC1892">
        <v>1</v>
      </c>
      <c r="AD1892">
        <v>111</v>
      </c>
      <c r="AE1892">
        <v>8.9999999999999993E-3</v>
      </c>
      <c r="AF1892" t="s">
        <v>2594</v>
      </c>
      <c r="AG1892" t="s">
        <v>2591</v>
      </c>
    </row>
    <row r="1893" spans="1:33">
      <c r="A1893" s="2" t="s">
        <v>75</v>
      </c>
      <c r="B1893" s="2" t="s">
        <v>19</v>
      </c>
      <c r="C1893" s="1">
        <v>0.50354843500000002</v>
      </c>
      <c r="D1893">
        <v>0.59724402499999996</v>
      </c>
      <c r="E1893">
        <v>0.70308254199999998</v>
      </c>
      <c r="F1893" s="1" t="s">
        <v>76</v>
      </c>
      <c r="G1893" s="1">
        <v>1.2696850390000001</v>
      </c>
      <c r="H1893" s="1">
        <v>26.6</v>
      </c>
      <c r="I1893" s="1">
        <v>50.8</v>
      </c>
      <c r="J1893" s="1">
        <v>0.60129166733333339</v>
      </c>
      <c r="K1893" s="1">
        <v>0.49391595300000002</v>
      </c>
      <c r="L1893" s="1">
        <v>0.603599314</v>
      </c>
      <c r="M1893" s="3">
        <v>0.63481471599999995</v>
      </c>
      <c r="N1893" s="1" t="s">
        <v>20</v>
      </c>
      <c r="O1893" s="1">
        <v>1.2140902870000001</v>
      </c>
      <c r="P1893" s="1">
        <v>64.900000000000006</v>
      </c>
      <c r="Q1893" s="1">
        <v>146.19999999999999</v>
      </c>
      <c r="R1893" s="1">
        <v>0.57744332766666662</v>
      </c>
      <c r="S1893" s="1">
        <v>6.9236337818519303E-2</v>
      </c>
      <c r="T1893" t="s">
        <v>2040</v>
      </c>
      <c r="U1893" s="1">
        <v>1461</v>
      </c>
      <c r="V1893">
        <f t="shared" si="116"/>
        <v>0.35162780177047742</v>
      </c>
      <c r="W1893" s="1">
        <f t="shared" si="117"/>
        <v>38.300000000000004</v>
      </c>
      <c r="X1893">
        <f t="shared" si="118"/>
        <v>5.559475199999997E-2</v>
      </c>
      <c r="Y1893">
        <f t="shared" si="119"/>
        <v>95.399999999999991</v>
      </c>
      <c r="Z1893" s="1">
        <v>4</v>
      </c>
      <c r="AA1893">
        <v>96</v>
      </c>
      <c r="AB1893">
        <v>4.1700000000000001E-2</v>
      </c>
      <c r="AC1893">
        <v>6</v>
      </c>
      <c r="AD1893">
        <v>86</v>
      </c>
      <c r="AE1893">
        <v>6.9800000000000001E-2</v>
      </c>
      <c r="AF1893" t="s">
        <v>2594</v>
      </c>
      <c r="AG1893" t="s">
        <v>2593</v>
      </c>
    </row>
    <row r="1894" spans="1:33">
      <c r="A1894" s="2" t="s">
        <v>75</v>
      </c>
      <c r="B1894" s="2" t="s">
        <v>21</v>
      </c>
      <c r="C1894" s="1">
        <v>0.50354843500000002</v>
      </c>
      <c r="D1894">
        <v>0.59724402499999996</v>
      </c>
      <c r="E1894">
        <v>0.70308254199999998</v>
      </c>
      <c r="F1894" s="1" t="s">
        <v>76</v>
      </c>
      <c r="G1894" s="1">
        <v>1.2696850390000001</v>
      </c>
      <c r="H1894" s="1">
        <v>26.6</v>
      </c>
      <c r="I1894" s="1">
        <v>50.8</v>
      </c>
      <c r="J1894" s="1">
        <v>0.60129166733333339</v>
      </c>
      <c r="K1894" s="1">
        <v>0.53276376800000003</v>
      </c>
      <c r="L1894" s="1">
        <v>0.65428149899999999</v>
      </c>
      <c r="M1894" s="3">
        <v>0.70160154799999996</v>
      </c>
      <c r="N1894" s="1" t="s">
        <v>22</v>
      </c>
      <c r="O1894" s="1">
        <v>1.2440604749999999</v>
      </c>
      <c r="P1894" s="1">
        <v>24.6</v>
      </c>
      <c r="Q1894" s="1">
        <v>46.3</v>
      </c>
      <c r="R1894" s="1">
        <v>0.62954893833333336</v>
      </c>
      <c r="S1894" s="1">
        <v>6.4101501275942094E-2</v>
      </c>
      <c r="T1894" t="s">
        <v>2041</v>
      </c>
      <c r="U1894" s="1">
        <v>18438</v>
      </c>
      <c r="V1894">
        <f t="shared" si="116"/>
        <v>0.4739682011822246</v>
      </c>
      <c r="W1894" s="1">
        <f t="shared" si="117"/>
        <v>2</v>
      </c>
      <c r="X1894">
        <f t="shared" si="118"/>
        <v>2.5624564000000127E-2</v>
      </c>
      <c r="Y1894">
        <f t="shared" si="119"/>
        <v>4.5</v>
      </c>
      <c r="Z1894" s="1">
        <v>8</v>
      </c>
      <c r="AA1894">
        <v>92</v>
      </c>
      <c r="AB1894">
        <v>8.6999999999999994E-2</v>
      </c>
      <c r="AC1894">
        <v>11</v>
      </c>
      <c r="AD1894">
        <v>87</v>
      </c>
      <c r="AE1894">
        <v>0.12640000000000001</v>
      </c>
      <c r="AF1894" t="s">
        <v>2594</v>
      </c>
      <c r="AG1894" t="s">
        <v>2589</v>
      </c>
    </row>
    <row r="1895" spans="1:33">
      <c r="A1895" s="2" t="s">
        <v>75</v>
      </c>
      <c r="B1895" s="2" t="s">
        <v>23</v>
      </c>
      <c r="C1895" s="1">
        <v>0.50354843500000002</v>
      </c>
      <c r="D1895">
        <v>0.59724402499999996</v>
      </c>
      <c r="E1895">
        <v>0.70308254199999998</v>
      </c>
      <c r="F1895" s="1" t="s">
        <v>76</v>
      </c>
      <c r="G1895" s="1">
        <v>1.2696850390000001</v>
      </c>
      <c r="H1895" s="1">
        <v>26.6</v>
      </c>
      <c r="I1895" s="1">
        <v>50.8</v>
      </c>
      <c r="J1895" s="1">
        <v>0.60129166733333339</v>
      </c>
      <c r="K1895" s="1">
        <v>0.49415677200000002</v>
      </c>
      <c r="L1895" s="1">
        <v>0.62090818999999997</v>
      </c>
      <c r="M1895" s="3">
        <v>0.63381026900000004</v>
      </c>
      <c r="N1895" s="1" t="s">
        <v>24</v>
      </c>
      <c r="O1895" s="1">
        <v>1.141304348</v>
      </c>
      <c r="P1895" s="1">
        <v>44.4</v>
      </c>
      <c r="Q1895" s="1">
        <v>101.2</v>
      </c>
      <c r="R1895" s="1">
        <v>0.58295841033333329</v>
      </c>
      <c r="S1895" s="1">
        <v>7.3802736030849941E-2</v>
      </c>
      <c r="T1895" t="s">
        <v>2042</v>
      </c>
      <c r="U1895" s="1">
        <v>343</v>
      </c>
      <c r="V1895">
        <f t="shared" si="116"/>
        <v>0.28169934667141894</v>
      </c>
      <c r="W1895" s="1">
        <f t="shared" si="117"/>
        <v>17.799999999999997</v>
      </c>
      <c r="X1895">
        <f t="shared" si="118"/>
        <v>0.12838069100000005</v>
      </c>
      <c r="Y1895">
        <f t="shared" si="119"/>
        <v>50.400000000000006</v>
      </c>
      <c r="Z1895" s="1">
        <v>5</v>
      </c>
      <c r="AA1895">
        <v>95</v>
      </c>
      <c r="AB1895">
        <v>5.2600000000000001E-2</v>
      </c>
      <c r="AC1895">
        <v>6</v>
      </c>
      <c r="AD1895">
        <v>88</v>
      </c>
      <c r="AE1895">
        <v>6.8199999999999997E-2</v>
      </c>
      <c r="AF1895" t="s">
        <v>2594</v>
      </c>
      <c r="AG1895" t="s">
        <v>2590</v>
      </c>
    </row>
    <row r="1896" spans="1:33">
      <c r="A1896" s="2" t="s">
        <v>75</v>
      </c>
      <c r="B1896" s="2" t="s">
        <v>25</v>
      </c>
      <c r="C1896" s="1">
        <v>0.50354843500000002</v>
      </c>
      <c r="D1896">
        <v>0.59724402499999996</v>
      </c>
      <c r="E1896">
        <v>0.70308254199999998</v>
      </c>
      <c r="F1896" s="1" t="s">
        <v>76</v>
      </c>
      <c r="G1896" s="1">
        <v>1.2696850390000001</v>
      </c>
      <c r="H1896" s="1">
        <v>26.6</v>
      </c>
      <c r="I1896" s="1">
        <v>50.8</v>
      </c>
      <c r="J1896" s="1">
        <v>0.60129166733333339</v>
      </c>
      <c r="K1896" s="1">
        <v>0.53959274199999996</v>
      </c>
      <c r="L1896" s="1">
        <v>0.64971567399999997</v>
      </c>
      <c r="M1896" s="3">
        <v>0.65028459999999999</v>
      </c>
      <c r="N1896" s="1" t="s">
        <v>26</v>
      </c>
      <c r="O1896" s="1">
        <v>1.623046875</v>
      </c>
      <c r="P1896" s="1">
        <v>34.700000000000003</v>
      </c>
      <c r="Q1896" s="1">
        <v>51.2</v>
      </c>
      <c r="R1896" s="1">
        <v>0.61319767199999997</v>
      </c>
      <c r="S1896" s="1">
        <v>8.2704828730400068E-2</v>
      </c>
      <c r="T1896" t="s">
        <v>2043</v>
      </c>
      <c r="U1896" s="1">
        <v>9687</v>
      </c>
      <c r="V1896">
        <f t="shared" si="116"/>
        <v>0.44290992219298048</v>
      </c>
      <c r="W1896" s="1">
        <f t="shared" si="117"/>
        <v>8.1000000000000014</v>
      </c>
      <c r="X1896">
        <f t="shared" si="118"/>
        <v>0.35336183599999993</v>
      </c>
      <c r="Y1896">
        <f t="shared" si="119"/>
        <v>0.40000000000000568</v>
      </c>
      <c r="Z1896" s="1">
        <v>0</v>
      </c>
      <c r="AA1896">
        <v>100</v>
      </c>
      <c r="AB1896">
        <v>0</v>
      </c>
      <c r="AC1896">
        <v>1</v>
      </c>
      <c r="AD1896">
        <v>95</v>
      </c>
      <c r="AE1896">
        <v>1.0500000000000001E-2</v>
      </c>
      <c r="AF1896" t="s">
        <v>2594</v>
      </c>
      <c r="AG1896" t="s">
        <v>2594</v>
      </c>
    </row>
    <row r="1897" spans="1:33">
      <c r="A1897" s="2" t="s">
        <v>75</v>
      </c>
      <c r="B1897" s="2" t="s">
        <v>27</v>
      </c>
      <c r="C1897" s="1">
        <v>0.50354843500000002</v>
      </c>
      <c r="D1897">
        <v>0.59724402499999996</v>
      </c>
      <c r="E1897">
        <v>0.70308254199999998</v>
      </c>
      <c r="F1897" s="1" t="s">
        <v>76</v>
      </c>
      <c r="G1897" s="1">
        <v>1.2696850390000001</v>
      </c>
      <c r="H1897" s="1">
        <v>26.6</v>
      </c>
      <c r="I1897" s="1">
        <v>50.8</v>
      </c>
      <c r="J1897" s="1">
        <v>0.60129166733333339</v>
      </c>
      <c r="K1897" s="1">
        <v>0.518608662</v>
      </c>
      <c r="L1897" s="1">
        <v>0.64320369700000002</v>
      </c>
      <c r="M1897" s="3">
        <v>0.62228994199999998</v>
      </c>
      <c r="N1897" s="1" t="s">
        <v>28</v>
      </c>
      <c r="O1897" s="1">
        <v>1.8717391299999999</v>
      </c>
      <c r="P1897" s="1">
        <v>33.700000000000003</v>
      </c>
      <c r="Q1897" s="1">
        <v>46</v>
      </c>
      <c r="R1897" s="1">
        <v>0.59470076699999996</v>
      </c>
      <c r="S1897" s="1">
        <v>9.4162339087339564E-2</v>
      </c>
      <c r="T1897" t="s">
        <v>2044</v>
      </c>
      <c r="U1897" s="1">
        <v>675</v>
      </c>
      <c r="V1897">
        <f t="shared" si="116"/>
        <v>0.31436708587011386</v>
      </c>
      <c r="W1897" s="1">
        <f t="shared" si="117"/>
        <v>7.1000000000000014</v>
      </c>
      <c r="X1897">
        <f t="shared" si="118"/>
        <v>0.60205409099999985</v>
      </c>
      <c r="Y1897">
        <f t="shared" si="119"/>
        <v>4.7999999999999972</v>
      </c>
      <c r="Z1897" s="1">
        <v>6</v>
      </c>
      <c r="AA1897">
        <v>94</v>
      </c>
      <c r="AB1897">
        <v>6.3799999999999996E-2</v>
      </c>
      <c r="AC1897">
        <v>8</v>
      </c>
      <c r="AD1897">
        <v>95</v>
      </c>
      <c r="AE1897">
        <v>8.4199999999999997E-2</v>
      </c>
      <c r="AF1897" t="s">
        <v>2594</v>
      </c>
      <c r="AG1897" t="s">
        <v>2590</v>
      </c>
    </row>
    <row r="1898" spans="1:33">
      <c r="A1898" s="2" t="s">
        <v>75</v>
      </c>
      <c r="B1898" s="2" t="s">
        <v>29</v>
      </c>
      <c r="C1898" s="1">
        <v>0.50354843500000002</v>
      </c>
      <c r="D1898">
        <v>0.59724402499999996</v>
      </c>
      <c r="E1898">
        <v>0.70308254199999998</v>
      </c>
      <c r="F1898" s="1" t="s">
        <v>76</v>
      </c>
      <c r="G1898" s="1">
        <v>1.2696850390000001</v>
      </c>
      <c r="H1898" s="1">
        <v>26.6</v>
      </c>
      <c r="I1898" s="1">
        <v>50.8</v>
      </c>
      <c r="J1898" s="1">
        <v>0.60129166733333339</v>
      </c>
      <c r="K1898" s="1">
        <v>0.59351545100000003</v>
      </c>
      <c r="L1898" s="1">
        <v>0.68136602400000001</v>
      </c>
      <c r="M1898" s="3">
        <v>0.73518087600000004</v>
      </c>
      <c r="N1898" s="1" t="s">
        <v>30</v>
      </c>
      <c r="O1898" s="1">
        <v>2.849112426</v>
      </c>
      <c r="P1898" s="1">
        <v>37.9</v>
      </c>
      <c r="Q1898" s="1">
        <v>33.799999999999997</v>
      </c>
      <c r="R1898" s="1">
        <v>0.67002078366666673</v>
      </c>
      <c r="S1898" s="1">
        <v>0.12728266861311413</v>
      </c>
      <c r="T1898" t="s">
        <v>2045</v>
      </c>
      <c r="U1898" s="1">
        <v>604</v>
      </c>
      <c r="V1898">
        <f t="shared" si="116"/>
        <v>0.30900410429123687</v>
      </c>
      <c r="W1898" s="1">
        <f t="shared" si="117"/>
        <v>11.299999999999997</v>
      </c>
      <c r="X1898">
        <f t="shared" si="118"/>
        <v>1.579427387</v>
      </c>
      <c r="Y1898">
        <f t="shared" si="119"/>
        <v>17</v>
      </c>
      <c r="Z1898" s="1">
        <v>1</v>
      </c>
      <c r="AA1898">
        <v>99</v>
      </c>
      <c r="AB1898">
        <v>1.01E-2</v>
      </c>
      <c r="AC1898">
        <v>1</v>
      </c>
      <c r="AD1898">
        <v>91</v>
      </c>
      <c r="AE1898">
        <v>1.0999999999999999E-2</v>
      </c>
      <c r="AF1898" t="s">
        <v>2594</v>
      </c>
      <c r="AG1898" t="s">
        <v>2593</v>
      </c>
    </row>
    <row r="1899" spans="1:33">
      <c r="A1899" s="2" t="s">
        <v>75</v>
      </c>
      <c r="B1899" s="2" t="s">
        <v>31</v>
      </c>
      <c r="C1899" s="1">
        <v>0.50354843500000002</v>
      </c>
      <c r="D1899">
        <v>0.59724402499999996</v>
      </c>
      <c r="E1899">
        <v>0.70308254199999998</v>
      </c>
      <c r="F1899" s="1" t="s">
        <v>76</v>
      </c>
      <c r="G1899" s="1">
        <v>1.2696850390000001</v>
      </c>
      <c r="H1899" s="1">
        <v>26.6</v>
      </c>
      <c r="I1899" s="1">
        <v>50.8</v>
      </c>
      <c r="J1899" s="1">
        <v>0.60129166733333339</v>
      </c>
      <c r="K1899" s="1">
        <v>0.47727961800000002</v>
      </c>
      <c r="L1899" s="1">
        <v>0.66941086400000005</v>
      </c>
      <c r="M1899" s="3">
        <v>0.69294815300000001</v>
      </c>
      <c r="N1899" s="1" t="s">
        <v>32</v>
      </c>
      <c r="O1899" s="1">
        <v>1.341891892</v>
      </c>
      <c r="P1899" s="1">
        <v>42.1</v>
      </c>
      <c r="Q1899" s="1">
        <v>74</v>
      </c>
      <c r="R1899" s="1">
        <v>0.61321287833333338</v>
      </c>
      <c r="S1899" s="1">
        <v>7.7464890358372965E-2</v>
      </c>
      <c r="T1899" t="s">
        <v>2046</v>
      </c>
      <c r="U1899" s="1">
        <v>3603</v>
      </c>
      <c r="V1899">
        <f t="shared" si="116"/>
        <v>0.39518491801361871</v>
      </c>
      <c r="W1899" s="1">
        <f t="shared" si="117"/>
        <v>15.5</v>
      </c>
      <c r="X1899">
        <f t="shared" si="118"/>
        <v>7.220685299999996E-2</v>
      </c>
      <c r="Y1899">
        <f t="shared" si="119"/>
        <v>23.200000000000003</v>
      </c>
      <c r="Z1899" s="1">
        <v>2</v>
      </c>
      <c r="AA1899">
        <v>98</v>
      </c>
      <c r="AB1899">
        <v>2.0400000000000001E-2</v>
      </c>
      <c r="AC1899">
        <v>3</v>
      </c>
      <c r="AD1899">
        <v>97</v>
      </c>
      <c r="AE1899">
        <v>3.09E-2</v>
      </c>
      <c r="AF1899" t="s">
        <v>2594</v>
      </c>
      <c r="AG1899" t="s">
        <v>2589</v>
      </c>
    </row>
    <row r="1900" spans="1:33">
      <c r="A1900" s="2" t="s">
        <v>75</v>
      </c>
      <c r="B1900" s="2" t="s">
        <v>33</v>
      </c>
      <c r="C1900" s="1">
        <v>0.50354843500000002</v>
      </c>
      <c r="D1900">
        <v>0.59724402499999996</v>
      </c>
      <c r="E1900">
        <v>0.70308254199999998</v>
      </c>
      <c r="F1900" s="1" t="s">
        <v>76</v>
      </c>
      <c r="G1900" s="1">
        <v>1.2696850390000001</v>
      </c>
      <c r="H1900" s="1">
        <v>26.6</v>
      </c>
      <c r="I1900" s="1">
        <v>50.8</v>
      </c>
      <c r="J1900" s="1">
        <v>0.60129166733333339</v>
      </c>
      <c r="K1900" s="1">
        <v>0.51347926600000005</v>
      </c>
      <c r="L1900" s="1">
        <v>0.63144379399999995</v>
      </c>
      <c r="M1900" s="3">
        <v>0.64189093500000005</v>
      </c>
      <c r="N1900" s="1" t="s">
        <v>34</v>
      </c>
      <c r="O1900" s="1">
        <v>2.3123667380000001</v>
      </c>
      <c r="P1900" s="1">
        <v>79.099999999999994</v>
      </c>
      <c r="Q1900" s="1">
        <v>93.8</v>
      </c>
      <c r="R1900" s="1">
        <v>0.59560466500000009</v>
      </c>
      <c r="S1900" s="1">
        <v>7.0800129740321543E-2</v>
      </c>
      <c r="T1900" t="s">
        <v>2047</v>
      </c>
      <c r="U1900" s="1">
        <v>1772</v>
      </c>
      <c r="V1900">
        <f t="shared" si="116"/>
        <v>0.36094041306122576</v>
      </c>
      <c r="W1900" s="1">
        <f t="shared" si="117"/>
        <v>52.499999999999993</v>
      </c>
      <c r="X1900">
        <f t="shared" si="118"/>
        <v>1.0426816990000001</v>
      </c>
      <c r="Y1900">
        <f t="shared" si="119"/>
        <v>43</v>
      </c>
      <c r="Z1900" s="1">
        <v>8</v>
      </c>
      <c r="AA1900">
        <v>92</v>
      </c>
      <c r="AB1900">
        <v>8.6999999999999994E-2</v>
      </c>
      <c r="AC1900">
        <v>9</v>
      </c>
      <c r="AD1900">
        <v>85</v>
      </c>
      <c r="AE1900">
        <v>0.10589999999999999</v>
      </c>
      <c r="AF1900" t="s">
        <v>2594</v>
      </c>
      <c r="AG1900" t="s">
        <v>2590</v>
      </c>
    </row>
    <row r="1901" spans="1:33">
      <c r="A1901" s="2" t="s">
        <v>75</v>
      </c>
      <c r="B1901" s="2" t="s">
        <v>35</v>
      </c>
      <c r="C1901" s="1">
        <v>0.50354843500000002</v>
      </c>
      <c r="D1901">
        <v>0.59724402499999996</v>
      </c>
      <c r="E1901">
        <v>0.70308254199999998</v>
      </c>
      <c r="F1901" s="1" t="s">
        <v>76</v>
      </c>
      <c r="G1901" s="1">
        <v>1.2696850390000001</v>
      </c>
      <c r="H1901" s="1">
        <v>26.6</v>
      </c>
      <c r="I1901" s="1">
        <v>50.8</v>
      </c>
      <c r="J1901" s="1">
        <v>0.60129166733333339</v>
      </c>
      <c r="K1901" s="1">
        <v>0.52542897600000005</v>
      </c>
      <c r="L1901" s="1">
        <v>0.60774736299999998</v>
      </c>
      <c r="M1901" s="3">
        <v>0.62585751700000003</v>
      </c>
      <c r="N1901" s="1" t="s">
        <v>36</v>
      </c>
      <c r="O1901" s="1">
        <v>0.98848810399999998</v>
      </c>
      <c r="P1901" s="1">
        <v>54.2</v>
      </c>
      <c r="Q1901" s="1">
        <v>130.30000000000001</v>
      </c>
      <c r="R1901" s="1">
        <v>0.58634461866666665</v>
      </c>
      <c r="S1901" s="1">
        <v>8.09492598474226E-2</v>
      </c>
      <c r="T1901" t="s">
        <v>2048</v>
      </c>
      <c r="U1901" s="1">
        <v>1910</v>
      </c>
      <c r="V1901">
        <f t="shared" si="116"/>
        <v>0.36455926302752528</v>
      </c>
      <c r="W1901" s="1">
        <f t="shared" si="117"/>
        <v>27.6</v>
      </c>
      <c r="X1901">
        <f t="shared" si="118"/>
        <v>0.28119693500000009</v>
      </c>
      <c r="Y1901">
        <f t="shared" si="119"/>
        <v>79.500000000000014</v>
      </c>
      <c r="Z1901" s="1">
        <v>2</v>
      </c>
      <c r="AA1901">
        <v>98</v>
      </c>
      <c r="AB1901">
        <v>2.0400000000000001E-2</v>
      </c>
      <c r="AC1901">
        <v>3</v>
      </c>
      <c r="AD1901">
        <v>90</v>
      </c>
      <c r="AE1901">
        <v>3.3300000000000003E-2</v>
      </c>
      <c r="AF1901" t="s">
        <v>2594</v>
      </c>
      <c r="AG1901" t="s">
        <v>2589</v>
      </c>
    </row>
    <row r="1902" spans="1:33">
      <c r="A1902" s="2" t="s">
        <v>75</v>
      </c>
      <c r="B1902" s="2" t="s">
        <v>37</v>
      </c>
      <c r="C1902" s="1">
        <v>0.50354843500000002</v>
      </c>
      <c r="D1902">
        <v>0.59724402499999996</v>
      </c>
      <c r="E1902">
        <v>0.70308254199999998</v>
      </c>
      <c r="F1902" s="1" t="s">
        <v>76</v>
      </c>
      <c r="G1902" s="1">
        <v>1.2696850390000001</v>
      </c>
      <c r="H1902" s="1">
        <v>26.6</v>
      </c>
      <c r="I1902" s="1">
        <v>50.8</v>
      </c>
      <c r="J1902" s="1">
        <v>0.60129166733333339</v>
      </c>
      <c r="K1902" s="1">
        <v>0.50856695500000004</v>
      </c>
      <c r="L1902" s="1">
        <v>0.654733224</v>
      </c>
      <c r="M1902" s="3">
        <v>0.61418267199999999</v>
      </c>
      <c r="N1902" s="1" t="s">
        <v>38</v>
      </c>
      <c r="O1902" s="1">
        <v>0.64065708399999999</v>
      </c>
      <c r="P1902" s="1">
        <v>41.9</v>
      </c>
      <c r="Q1902" s="1">
        <v>146.1</v>
      </c>
      <c r="R1902" s="1">
        <v>0.59249428366666679</v>
      </c>
      <c r="S1902" s="1">
        <v>0.10598764282060859</v>
      </c>
      <c r="T1902" t="s">
        <v>2049</v>
      </c>
      <c r="U1902" s="1">
        <v>3262</v>
      </c>
      <c r="V1902">
        <f t="shared" si="116"/>
        <v>0.39038710630047302</v>
      </c>
      <c r="W1902" s="1">
        <f t="shared" si="117"/>
        <v>15.299999999999997</v>
      </c>
      <c r="X1902">
        <f t="shared" si="118"/>
        <v>0.62902795500000008</v>
      </c>
      <c r="Y1902">
        <f t="shared" si="119"/>
        <v>95.3</v>
      </c>
      <c r="Z1902" s="1">
        <v>10</v>
      </c>
      <c r="AA1902">
        <v>90</v>
      </c>
      <c r="AB1902">
        <v>0.1111</v>
      </c>
      <c r="AC1902">
        <v>11</v>
      </c>
      <c r="AD1902">
        <v>81</v>
      </c>
      <c r="AE1902">
        <v>0.1358</v>
      </c>
      <c r="AF1902" t="s">
        <v>2594</v>
      </c>
      <c r="AG1902" t="s">
        <v>2590</v>
      </c>
    </row>
    <row r="1903" spans="1:33">
      <c r="A1903" s="2" t="s">
        <v>75</v>
      </c>
      <c r="B1903" s="2" t="s">
        <v>39</v>
      </c>
      <c r="C1903" s="1">
        <v>0.50354843500000002</v>
      </c>
      <c r="D1903">
        <v>0.59724402499999996</v>
      </c>
      <c r="E1903">
        <v>0.70308254199999998</v>
      </c>
      <c r="F1903" s="1" t="s">
        <v>76</v>
      </c>
      <c r="G1903" s="1">
        <v>1.2696850390000001</v>
      </c>
      <c r="H1903" s="1">
        <v>26.6</v>
      </c>
      <c r="I1903" s="1">
        <v>50.8</v>
      </c>
      <c r="J1903" s="1">
        <v>0.60129166733333339</v>
      </c>
      <c r="K1903" s="1">
        <v>0.60811616199999996</v>
      </c>
      <c r="L1903" s="1">
        <v>0.721105683</v>
      </c>
      <c r="M1903" s="3">
        <v>0.741016169</v>
      </c>
      <c r="N1903" s="1" t="s">
        <v>40</v>
      </c>
      <c r="O1903" s="1">
        <v>1.0601915180000001</v>
      </c>
      <c r="P1903" s="1">
        <v>34</v>
      </c>
      <c r="Q1903" s="1">
        <v>73.099999999999994</v>
      </c>
      <c r="R1903" s="1">
        <v>0.69007933799999999</v>
      </c>
      <c r="S1903" s="1">
        <v>0.16647846680526171</v>
      </c>
      <c r="T1903" t="s">
        <v>2050</v>
      </c>
      <c r="U1903" s="1">
        <v>3612</v>
      </c>
      <c r="V1903">
        <f t="shared" si="116"/>
        <v>0.39530530462682978</v>
      </c>
      <c r="W1903" s="1">
        <f t="shared" si="117"/>
        <v>7.3999999999999986</v>
      </c>
      <c r="X1903">
        <f t="shared" si="118"/>
        <v>0.20949352099999996</v>
      </c>
      <c r="Y1903">
        <f t="shared" si="119"/>
        <v>22.299999999999997</v>
      </c>
      <c r="Z1903" s="1">
        <v>5</v>
      </c>
      <c r="AA1903">
        <v>95</v>
      </c>
      <c r="AB1903">
        <v>5.2600000000000001E-2</v>
      </c>
      <c r="AC1903">
        <v>6</v>
      </c>
      <c r="AD1903">
        <v>89</v>
      </c>
      <c r="AE1903">
        <v>6.7400000000000002E-2</v>
      </c>
      <c r="AF1903" t="s">
        <v>2594</v>
      </c>
      <c r="AG1903" t="s">
        <v>2589</v>
      </c>
    </row>
    <row r="1904" spans="1:33">
      <c r="A1904" s="2" t="s">
        <v>75</v>
      </c>
      <c r="B1904" s="2" t="s">
        <v>41</v>
      </c>
      <c r="C1904" s="1">
        <v>0.50354843500000002</v>
      </c>
      <c r="D1904">
        <v>0.59724402499999996</v>
      </c>
      <c r="E1904">
        <v>0.70308254199999998</v>
      </c>
      <c r="F1904" s="1" t="s">
        <v>76</v>
      </c>
      <c r="G1904" s="1">
        <v>1.2696850390000001</v>
      </c>
      <c r="H1904" s="1">
        <v>26.6</v>
      </c>
      <c r="I1904" s="1">
        <v>50.8</v>
      </c>
      <c r="J1904" s="1">
        <v>0.60129166733333339</v>
      </c>
      <c r="K1904" s="1">
        <v>0.60402244999999999</v>
      </c>
      <c r="L1904" s="1">
        <v>0.669189213</v>
      </c>
      <c r="M1904" s="3">
        <v>0.69821693799999995</v>
      </c>
      <c r="N1904" s="1" t="s">
        <v>42</v>
      </c>
      <c r="O1904" s="1">
        <v>1.3243902439999999</v>
      </c>
      <c r="P1904" s="1">
        <v>23</v>
      </c>
      <c r="Q1904" s="1">
        <v>41</v>
      </c>
      <c r="R1904" s="1">
        <v>0.65714286700000002</v>
      </c>
      <c r="S1904" s="1">
        <v>0.12367219521323451</v>
      </c>
      <c r="T1904" t="s">
        <v>2051</v>
      </c>
      <c r="U1904" s="1">
        <v>952</v>
      </c>
      <c r="V1904">
        <f t="shared" si="116"/>
        <v>0.33095966093160828</v>
      </c>
      <c r="W1904" s="1">
        <f t="shared" si="117"/>
        <v>3.6000000000000014</v>
      </c>
      <c r="X1904">
        <f t="shared" si="118"/>
        <v>5.4705204999999868E-2</v>
      </c>
      <c r="Y1904">
        <f t="shared" si="119"/>
        <v>9.7999999999999972</v>
      </c>
      <c r="Z1904" s="1">
        <v>1</v>
      </c>
      <c r="AA1904">
        <v>99</v>
      </c>
      <c r="AB1904">
        <v>1.01E-2</v>
      </c>
      <c r="AC1904">
        <v>1</v>
      </c>
      <c r="AD1904">
        <v>108</v>
      </c>
      <c r="AE1904">
        <v>9.2999999999999992E-3</v>
      </c>
      <c r="AF1904" t="s">
        <v>2594</v>
      </c>
      <c r="AG1904" t="s">
        <v>2591</v>
      </c>
    </row>
    <row r="1905" spans="1:33">
      <c r="A1905" s="2" t="s">
        <v>75</v>
      </c>
      <c r="B1905" s="2" t="s">
        <v>43</v>
      </c>
      <c r="C1905" s="1">
        <v>0.50354843500000002</v>
      </c>
      <c r="D1905">
        <v>0.59724402499999996</v>
      </c>
      <c r="E1905">
        <v>0.70308254199999998</v>
      </c>
      <c r="F1905" s="1" t="s">
        <v>76</v>
      </c>
      <c r="G1905" s="1">
        <v>1.2696850390000001</v>
      </c>
      <c r="H1905" s="1">
        <v>26.6</v>
      </c>
      <c r="I1905" s="1">
        <v>50.8</v>
      </c>
      <c r="J1905" s="1">
        <v>0.60129166733333339</v>
      </c>
      <c r="K1905" s="1">
        <v>0.54180634699999997</v>
      </c>
      <c r="L1905" s="1">
        <v>0.59470779900000004</v>
      </c>
      <c r="M1905" s="3">
        <v>0.69518155599999998</v>
      </c>
      <c r="N1905" s="1" t="s">
        <v>44</v>
      </c>
      <c r="O1905" s="1">
        <v>1.7403685090000001</v>
      </c>
      <c r="P1905" s="1">
        <v>41.2</v>
      </c>
      <c r="Q1905" s="1">
        <v>59.7</v>
      </c>
      <c r="R1905" s="1">
        <v>0.61056523400000007</v>
      </c>
      <c r="S1905" s="1">
        <v>3.914748845960634E-2</v>
      </c>
      <c r="T1905" t="s">
        <v>2052</v>
      </c>
      <c r="U1905" s="1">
        <v>2125</v>
      </c>
      <c r="V1905">
        <f t="shared" si="116"/>
        <v>0.36970654826514782</v>
      </c>
      <c r="W1905" s="1">
        <f t="shared" si="117"/>
        <v>14.600000000000001</v>
      </c>
      <c r="X1905">
        <f t="shared" si="118"/>
        <v>0.47068346999999999</v>
      </c>
      <c r="Y1905">
        <f t="shared" si="119"/>
        <v>8.9000000000000057</v>
      </c>
      <c r="Z1905" s="1">
        <v>3</v>
      </c>
      <c r="AA1905">
        <v>97</v>
      </c>
      <c r="AB1905">
        <v>3.09E-2</v>
      </c>
      <c r="AC1905">
        <v>3</v>
      </c>
      <c r="AD1905">
        <v>128</v>
      </c>
      <c r="AE1905">
        <v>2.3400000000000001E-2</v>
      </c>
      <c r="AF1905" t="s">
        <v>2594</v>
      </c>
      <c r="AG1905" t="s">
        <v>2589</v>
      </c>
    </row>
    <row r="1906" spans="1:33">
      <c r="A1906" s="2" t="s">
        <v>75</v>
      </c>
      <c r="B1906" s="2" t="s">
        <v>45</v>
      </c>
      <c r="C1906" s="1">
        <v>0.50354843500000002</v>
      </c>
      <c r="D1906">
        <v>0.59724402499999996</v>
      </c>
      <c r="E1906">
        <v>0.70308254199999998</v>
      </c>
      <c r="F1906" s="1" t="s">
        <v>76</v>
      </c>
      <c r="G1906" s="1">
        <v>1.2696850390000001</v>
      </c>
      <c r="H1906" s="1">
        <v>26.6</v>
      </c>
      <c r="I1906" s="1">
        <v>50.8</v>
      </c>
      <c r="J1906" s="1">
        <v>0.60129166733333339</v>
      </c>
      <c r="K1906" s="1">
        <v>0.50907007599999998</v>
      </c>
      <c r="L1906" s="1">
        <v>0.68428041399999995</v>
      </c>
      <c r="M1906" s="3">
        <v>0.67454742099999998</v>
      </c>
      <c r="N1906" s="1" t="s">
        <v>46</v>
      </c>
      <c r="O1906" s="1">
        <v>0.98140043799999999</v>
      </c>
      <c r="P1906" s="1">
        <v>38.9</v>
      </c>
      <c r="Q1906" s="1">
        <v>91.4</v>
      </c>
      <c r="R1906" s="1">
        <v>0.62263263699999993</v>
      </c>
      <c r="S1906" s="1">
        <v>9.1760964794278629E-2</v>
      </c>
      <c r="T1906" t="s">
        <v>2053</v>
      </c>
      <c r="U1906" s="1">
        <v>3032</v>
      </c>
      <c r="V1906">
        <f t="shared" si="116"/>
        <v>0.38685879966222397</v>
      </c>
      <c r="W1906" s="1">
        <f t="shared" si="117"/>
        <v>12.299999999999997</v>
      </c>
      <c r="X1906">
        <f t="shared" si="118"/>
        <v>0.28828460100000008</v>
      </c>
      <c r="Y1906">
        <f t="shared" si="119"/>
        <v>40.600000000000009</v>
      </c>
      <c r="Z1906" s="1">
        <v>2</v>
      </c>
      <c r="AA1906">
        <v>98</v>
      </c>
      <c r="AB1906">
        <v>2.0400000000000001E-2</v>
      </c>
      <c r="AC1906">
        <v>3</v>
      </c>
      <c r="AD1906">
        <v>108</v>
      </c>
      <c r="AE1906">
        <v>2.7799999999999998E-2</v>
      </c>
      <c r="AF1906" t="s">
        <v>2594</v>
      </c>
      <c r="AG1906" t="s">
        <v>2589</v>
      </c>
    </row>
    <row r="1907" spans="1:33">
      <c r="A1907" s="2" t="s">
        <v>75</v>
      </c>
      <c r="B1907" s="2" t="s">
        <v>47</v>
      </c>
      <c r="C1907" s="1">
        <v>0.50354843500000002</v>
      </c>
      <c r="D1907">
        <v>0.59724402499999996</v>
      </c>
      <c r="E1907">
        <v>0.70308254199999998</v>
      </c>
      <c r="F1907" s="1" t="s">
        <v>76</v>
      </c>
      <c r="G1907" s="1">
        <v>1.2696850390000001</v>
      </c>
      <c r="H1907" s="1">
        <v>26.6</v>
      </c>
      <c r="I1907" s="1">
        <v>50.8</v>
      </c>
      <c r="J1907" s="1">
        <v>0.60129166733333339</v>
      </c>
      <c r="K1907" s="1">
        <v>0.50612154099999995</v>
      </c>
      <c r="L1907" s="1">
        <v>0.55940039100000005</v>
      </c>
      <c r="M1907" s="3">
        <v>0.66789001699999995</v>
      </c>
      <c r="N1907" s="1" t="s">
        <v>48</v>
      </c>
      <c r="O1907" s="1">
        <v>1.242622951</v>
      </c>
      <c r="P1907" s="1">
        <v>17.8</v>
      </c>
      <c r="Q1907" s="1">
        <v>30.5</v>
      </c>
      <c r="R1907" s="1">
        <v>0.57780398300000002</v>
      </c>
      <c r="S1907" s="1">
        <v>5.1742393882471378E-2</v>
      </c>
      <c r="T1907" t="s">
        <v>2054</v>
      </c>
      <c r="U1907" s="1">
        <v>6535</v>
      </c>
      <c r="V1907">
        <f t="shared" si="116"/>
        <v>0.42391617687961813</v>
      </c>
      <c r="W1907" s="1">
        <f t="shared" si="117"/>
        <v>8.8000000000000007</v>
      </c>
      <c r="X1907">
        <f t="shared" si="118"/>
        <v>2.7062088000000095E-2</v>
      </c>
      <c r="Y1907">
        <f t="shared" si="119"/>
        <v>20.299999999999997</v>
      </c>
      <c r="Z1907" s="1">
        <v>1</v>
      </c>
      <c r="AA1907">
        <v>99</v>
      </c>
      <c r="AB1907">
        <v>1.01E-2</v>
      </c>
      <c r="AC1907">
        <v>2</v>
      </c>
      <c r="AD1907">
        <v>116</v>
      </c>
      <c r="AE1907">
        <v>1.72E-2</v>
      </c>
      <c r="AF1907" t="s">
        <v>2594</v>
      </c>
      <c r="AG1907" t="s">
        <v>2590</v>
      </c>
    </row>
    <row r="1908" spans="1:33">
      <c r="A1908" s="2" t="s">
        <v>75</v>
      </c>
      <c r="B1908" s="2" t="s">
        <v>49</v>
      </c>
      <c r="C1908" s="1">
        <v>0.50354843500000002</v>
      </c>
      <c r="D1908">
        <v>0.59724402499999996</v>
      </c>
      <c r="E1908">
        <v>0.70308254199999998</v>
      </c>
      <c r="F1908" s="1" t="s">
        <v>76</v>
      </c>
      <c r="G1908" s="1">
        <v>1.2696850390000001</v>
      </c>
      <c r="H1908" s="1">
        <v>26.6</v>
      </c>
      <c r="I1908" s="1">
        <v>50.8</v>
      </c>
      <c r="J1908" s="1">
        <v>0.60129166733333339</v>
      </c>
      <c r="K1908" s="1">
        <v>0.50647110500000003</v>
      </c>
      <c r="L1908" s="1">
        <v>0.55713136799999996</v>
      </c>
      <c r="M1908" s="3">
        <v>0.63402682300000002</v>
      </c>
      <c r="N1908" s="1" t="s">
        <v>50</v>
      </c>
      <c r="O1908" s="1">
        <v>1.876675603</v>
      </c>
      <c r="P1908" s="1">
        <v>28.8</v>
      </c>
      <c r="Q1908" s="1">
        <v>37.299999999999997</v>
      </c>
      <c r="R1908" s="1">
        <v>0.56587643200000004</v>
      </c>
      <c r="S1908" s="1">
        <v>7.9914076220247363E-2</v>
      </c>
      <c r="T1908" t="s">
        <v>2055</v>
      </c>
      <c r="U1908" s="1">
        <v>1167</v>
      </c>
      <c r="V1908">
        <f t="shared" si="116"/>
        <v>0.3407856506717078</v>
      </c>
      <c r="W1908" s="1">
        <f t="shared" si="117"/>
        <v>2.1999999999999993</v>
      </c>
      <c r="X1908">
        <f t="shared" si="118"/>
        <v>0.60699056399999995</v>
      </c>
      <c r="Y1908">
        <f t="shared" si="119"/>
        <v>13.5</v>
      </c>
      <c r="Z1908" s="1">
        <v>3</v>
      </c>
      <c r="AA1908">
        <v>97</v>
      </c>
      <c r="AB1908">
        <v>3.09E-2</v>
      </c>
      <c r="AC1908">
        <v>4</v>
      </c>
      <c r="AD1908">
        <v>88</v>
      </c>
      <c r="AE1908">
        <v>4.5499999999999999E-2</v>
      </c>
      <c r="AF1908" t="s">
        <v>2594</v>
      </c>
      <c r="AG1908" t="s">
        <v>2590</v>
      </c>
    </row>
    <row r="1909" spans="1:33">
      <c r="A1909" s="2" t="s">
        <v>75</v>
      </c>
      <c r="B1909" s="2" t="s">
        <v>51</v>
      </c>
      <c r="C1909" s="1">
        <v>0.50354843500000002</v>
      </c>
      <c r="D1909">
        <v>0.59724402499999996</v>
      </c>
      <c r="E1909">
        <v>0.70308254199999998</v>
      </c>
      <c r="F1909" s="1" t="s">
        <v>76</v>
      </c>
      <c r="G1909" s="1">
        <v>1.2696850390000001</v>
      </c>
      <c r="H1909" s="1">
        <v>26.6</v>
      </c>
      <c r="I1909" s="1">
        <v>50.8</v>
      </c>
      <c r="J1909" s="1">
        <v>0.60129166733333339</v>
      </c>
      <c r="K1909" s="1">
        <v>0.60067161999999996</v>
      </c>
      <c r="L1909" s="1">
        <v>0.68094129999999997</v>
      </c>
      <c r="M1909" s="3">
        <v>0.73595931299999995</v>
      </c>
      <c r="N1909" s="1" t="s">
        <v>52</v>
      </c>
      <c r="O1909" s="1">
        <v>1.858638743</v>
      </c>
      <c r="P1909" s="1">
        <v>29.4</v>
      </c>
      <c r="Q1909" s="1">
        <v>38.200000000000003</v>
      </c>
      <c r="R1909" s="1">
        <v>0.67252407766666666</v>
      </c>
      <c r="S1909" s="1">
        <v>0.13235946878994448</v>
      </c>
      <c r="T1909" t="s">
        <v>2056</v>
      </c>
      <c r="U1909" s="1">
        <v>1360</v>
      </c>
      <c r="V1909">
        <f t="shared" si="116"/>
        <v>0.34817098981891303</v>
      </c>
      <c r="W1909" s="1">
        <f t="shared" si="117"/>
        <v>2.7999999999999972</v>
      </c>
      <c r="X1909">
        <f t="shared" si="118"/>
        <v>0.58895370399999991</v>
      </c>
      <c r="Y1909">
        <f t="shared" si="119"/>
        <v>12.599999999999994</v>
      </c>
      <c r="Z1909" s="1">
        <v>4</v>
      </c>
      <c r="AA1909">
        <v>96</v>
      </c>
      <c r="AB1909">
        <v>4.1700000000000001E-2</v>
      </c>
      <c r="AC1909">
        <v>5</v>
      </c>
      <c r="AD1909">
        <v>96</v>
      </c>
      <c r="AE1909">
        <v>5.21E-2</v>
      </c>
      <c r="AF1909" t="s">
        <v>2594</v>
      </c>
      <c r="AG1909" t="s">
        <v>2591</v>
      </c>
    </row>
    <row r="1910" spans="1:33">
      <c r="A1910" s="2" t="s">
        <v>75</v>
      </c>
      <c r="B1910" s="2" t="s">
        <v>53</v>
      </c>
      <c r="C1910" s="1">
        <v>0.50354843500000002</v>
      </c>
      <c r="D1910">
        <v>0.59724402499999996</v>
      </c>
      <c r="E1910">
        <v>0.70308254199999998</v>
      </c>
      <c r="F1910" s="1" t="s">
        <v>76</v>
      </c>
      <c r="G1910" s="1">
        <v>1.2696850390000001</v>
      </c>
      <c r="H1910" s="1">
        <v>26.6</v>
      </c>
      <c r="I1910" s="1">
        <v>50.8</v>
      </c>
      <c r="J1910" s="1">
        <v>0.60129166733333339</v>
      </c>
      <c r="K1910" s="1">
        <v>0.54695832700000002</v>
      </c>
      <c r="L1910" s="1">
        <v>0.659790137</v>
      </c>
      <c r="M1910" s="3">
        <v>0.70662085500000005</v>
      </c>
      <c r="N1910" s="1" t="s">
        <v>54</v>
      </c>
      <c r="O1910" s="1">
        <v>2.5053995680000001</v>
      </c>
      <c r="P1910" s="1">
        <v>43.9</v>
      </c>
      <c r="Q1910" s="1">
        <v>46.3</v>
      </c>
      <c r="R1910" s="1">
        <v>0.63778977300000006</v>
      </c>
      <c r="S1910" s="1">
        <v>7.6216497614717132E-2</v>
      </c>
      <c r="T1910" t="s">
        <v>2057</v>
      </c>
      <c r="U1910" s="1">
        <v>857</v>
      </c>
      <c r="V1910">
        <f t="shared" si="116"/>
        <v>0.32588675799146644</v>
      </c>
      <c r="W1910" s="1">
        <f t="shared" si="117"/>
        <v>17.299999999999997</v>
      </c>
      <c r="X1910">
        <f t="shared" si="118"/>
        <v>1.235714529</v>
      </c>
      <c r="Y1910">
        <f t="shared" si="119"/>
        <v>4.5</v>
      </c>
      <c r="Z1910" s="1">
        <v>1</v>
      </c>
      <c r="AA1910">
        <v>99</v>
      </c>
      <c r="AB1910">
        <v>1.01E-2</v>
      </c>
      <c r="AC1910">
        <v>2</v>
      </c>
      <c r="AD1910">
        <v>99</v>
      </c>
      <c r="AE1910">
        <v>2.0199999999999999E-2</v>
      </c>
      <c r="AF1910" t="s">
        <v>2594</v>
      </c>
      <c r="AG1910" t="s">
        <v>2593</v>
      </c>
    </row>
    <row r="1911" spans="1:33">
      <c r="A1911" s="2" t="s">
        <v>75</v>
      </c>
      <c r="B1911" s="2" t="s">
        <v>55</v>
      </c>
      <c r="C1911" s="1">
        <v>0.50354843500000002</v>
      </c>
      <c r="D1911">
        <v>0.59724402499999996</v>
      </c>
      <c r="E1911">
        <v>0.70308254199999998</v>
      </c>
      <c r="F1911" s="1" t="s">
        <v>76</v>
      </c>
      <c r="G1911" s="1">
        <v>1.2696850390000001</v>
      </c>
      <c r="H1911" s="1">
        <v>26.6</v>
      </c>
      <c r="I1911" s="1">
        <v>50.8</v>
      </c>
      <c r="J1911" s="1">
        <v>0.60129166733333339</v>
      </c>
      <c r="K1911" s="1">
        <v>0.52971861799999997</v>
      </c>
      <c r="L1911" s="1">
        <v>0.62258244500000004</v>
      </c>
      <c r="M1911" s="3">
        <v>0.63939760400000001</v>
      </c>
      <c r="N1911" s="1" t="s">
        <v>56</v>
      </c>
      <c r="O1911" s="1">
        <v>1.0796934869999999</v>
      </c>
      <c r="P1911" s="1">
        <v>55.3</v>
      </c>
      <c r="Q1911" s="1">
        <v>130.5</v>
      </c>
      <c r="R1911" s="1">
        <v>0.59723288899999993</v>
      </c>
      <c r="S1911" s="1">
        <v>7.3366786316518801E-2</v>
      </c>
      <c r="T1911" t="s">
        <v>2058</v>
      </c>
      <c r="U1911" s="1">
        <v>1339</v>
      </c>
      <c r="V1911">
        <f t="shared" si="116"/>
        <v>0.34742006411244541</v>
      </c>
      <c r="W1911" s="1">
        <f t="shared" si="117"/>
        <v>28.699999999999996</v>
      </c>
      <c r="X1911">
        <f t="shared" si="118"/>
        <v>0.18999155200000017</v>
      </c>
      <c r="Y1911">
        <f t="shared" si="119"/>
        <v>79.7</v>
      </c>
      <c r="Z1911" s="1">
        <v>4</v>
      </c>
      <c r="AA1911">
        <v>96</v>
      </c>
      <c r="AB1911">
        <v>4.1700000000000001E-2</v>
      </c>
      <c r="AC1911">
        <v>5</v>
      </c>
      <c r="AD1911">
        <v>88</v>
      </c>
      <c r="AE1911">
        <v>5.6800000000000003E-2</v>
      </c>
      <c r="AF1911" t="s">
        <v>2594</v>
      </c>
      <c r="AG1911" t="s">
        <v>2592</v>
      </c>
    </row>
    <row r="1912" spans="1:33">
      <c r="A1912" s="2" t="s">
        <v>75</v>
      </c>
      <c r="B1912" s="2" t="s">
        <v>57</v>
      </c>
      <c r="C1912" s="1">
        <v>0.50354843500000002</v>
      </c>
      <c r="D1912">
        <v>0.59724402499999996</v>
      </c>
      <c r="E1912">
        <v>0.70308254199999998</v>
      </c>
      <c r="F1912" s="1" t="s">
        <v>76</v>
      </c>
      <c r="G1912" s="1">
        <v>1.2696850390000001</v>
      </c>
      <c r="H1912" s="1">
        <v>26.6</v>
      </c>
      <c r="I1912" s="1">
        <v>50.8</v>
      </c>
      <c r="J1912" s="1">
        <v>0.60129166733333339</v>
      </c>
      <c r="K1912" s="1">
        <v>0.528732855</v>
      </c>
      <c r="L1912" s="1">
        <v>0.63387497599999998</v>
      </c>
      <c r="M1912" s="3">
        <v>0.63337360200000004</v>
      </c>
      <c r="N1912" s="1" t="s">
        <v>58</v>
      </c>
      <c r="O1912" s="1">
        <v>1.386610879</v>
      </c>
      <c r="P1912" s="1">
        <v>69</v>
      </c>
      <c r="Q1912" s="1">
        <v>119.5</v>
      </c>
      <c r="R1912" s="1">
        <v>0.59866047766666663</v>
      </c>
      <c r="S1912" s="1">
        <v>8.2676586152455489E-2</v>
      </c>
      <c r="T1912" t="s">
        <v>2059</v>
      </c>
      <c r="U1912" s="1">
        <v>1802</v>
      </c>
      <c r="V1912">
        <f t="shared" si="116"/>
        <v>0.36175053184922712</v>
      </c>
      <c r="W1912" s="1">
        <f t="shared" si="117"/>
        <v>42.4</v>
      </c>
      <c r="X1912">
        <f t="shared" si="118"/>
        <v>0.11692583999999995</v>
      </c>
      <c r="Y1912">
        <f t="shared" si="119"/>
        <v>68.7</v>
      </c>
      <c r="Z1912" s="1">
        <v>2</v>
      </c>
      <c r="AA1912">
        <v>98</v>
      </c>
      <c r="AB1912">
        <v>2.0400000000000001E-2</v>
      </c>
      <c r="AC1912">
        <v>3</v>
      </c>
      <c r="AD1912">
        <v>96</v>
      </c>
      <c r="AE1912">
        <v>3.1199999999999999E-2</v>
      </c>
      <c r="AF1912" t="s">
        <v>2594</v>
      </c>
      <c r="AG1912" t="s">
        <v>2589</v>
      </c>
    </row>
    <row r="1913" spans="1:33">
      <c r="A1913" s="2" t="s">
        <v>75</v>
      </c>
      <c r="B1913" s="2" t="s">
        <v>59</v>
      </c>
      <c r="C1913" s="1">
        <v>0.50354843500000002</v>
      </c>
      <c r="D1913">
        <v>0.59724402499999996</v>
      </c>
      <c r="E1913">
        <v>0.70308254199999998</v>
      </c>
      <c r="F1913" s="1" t="s">
        <v>76</v>
      </c>
      <c r="G1913" s="1">
        <v>1.2696850390000001</v>
      </c>
      <c r="H1913" s="1">
        <v>26.6</v>
      </c>
      <c r="I1913" s="1">
        <v>50.8</v>
      </c>
      <c r="J1913" s="1">
        <v>0.60129166733333339</v>
      </c>
      <c r="K1913" s="1">
        <v>0.56225432799999997</v>
      </c>
      <c r="L1913" s="1">
        <v>0.68100706499999997</v>
      </c>
      <c r="M1913" s="3">
        <v>0.67505263699999996</v>
      </c>
      <c r="N1913" s="1" t="s">
        <v>60</v>
      </c>
      <c r="O1913" s="1">
        <v>1.1501154730000001</v>
      </c>
      <c r="P1913" s="1">
        <v>60.5</v>
      </c>
      <c r="Q1913" s="1">
        <v>129.9</v>
      </c>
      <c r="R1913" s="1">
        <v>0.63943801</v>
      </c>
      <c r="S1913" s="1">
        <v>0.10605802335173928</v>
      </c>
      <c r="T1913" t="s">
        <v>2060</v>
      </c>
      <c r="U1913" s="1">
        <v>2470</v>
      </c>
      <c r="V1913">
        <f t="shared" si="116"/>
        <v>0.37696632813996289</v>
      </c>
      <c r="W1913" s="1">
        <f t="shared" si="117"/>
        <v>33.9</v>
      </c>
      <c r="X1913">
        <f t="shared" si="118"/>
        <v>0.11956956600000002</v>
      </c>
      <c r="Y1913">
        <f t="shared" si="119"/>
        <v>79.100000000000009</v>
      </c>
      <c r="Z1913" s="1">
        <v>2</v>
      </c>
      <c r="AA1913">
        <v>98</v>
      </c>
      <c r="AB1913">
        <v>2.0400000000000001E-2</v>
      </c>
      <c r="AC1913">
        <v>3</v>
      </c>
      <c r="AD1913">
        <v>115</v>
      </c>
      <c r="AE1913">
        <v>2.6100000000000002E-2</v>
      </c>
      <c r="AF1913" t="s">
        <v>2594</v>
      </c>
      <c r="AG1913" t="s">
        <v>2589</v>
      </c>
    </row>
    <row r="1914" spans="1:33">
      <c r="A1914" s="2" t="s">
        <v>75</v>
      </c>
      <c r="B1914" s="2" t="s">
        <v>61</v>
      </c>
      <c r="C1914" s="1">
        <v>0.50354843500000002</v>
      </c>
      <c r="D1914">
        <v>0.59724402499999996</v>
      </c>
      <c r="E1914">
        <v>0.70308254199999998</v>
      </c>
      <c r="F1914" s="1" t="s">
        <v>76</v>
      </c>
      <c r="G1914" s="1">
        <v>1.2696850390000001</v>
      </c>
      <c r="H1914" s="1">
        <v>26.6</v>
      </c>
      <c r="I1914" s="1">
        <v>50.8</v>
      </c>
      <c r="J1914" s="1">
        <v>0.60129166733333339</v>
      </c>
      <c r="K1914" s="1">
        <v>0.62063455999999995</v>
      </c>
      <c r="L1914" s="1">
        <v>0.67798104299999995</v>
      </c>
      <c r="M1914" s="3">
        <v>0.72175371600000005</v>
      </c>
      <c r="N1914" s="1" t="s">
        <v>62</v>
      </c>
      <c r="O1914" s="1">
        <v>7.5471698109999998</v>
      </c>
      <c r="P1914" s="1">
        <v>26.4</v>
      </c>
      <c r="Q1914" s="1">
        <v>10.6</v>
      </c>
      <c r="R1914" s="1">
        <v>0.6734564396666668</v>
      </c>
      <c r="S1914" s="1">
        <v>0.14344420337394678</v>
      </c>
      <c r="T1914" t="s">
        <v>2061</v>
      </c>
      <c r="U1914" s="1">
        <v>2605</v>
      </c>
      <c r="V1914">
        <f t="shared" si="116"/>
        <v>0.37953419195950483</v>
      </c>
      <c r="W1914" s="1">
        <f t="shared" si="117"/>
        <v>0.20000000000000284</v>
      </c>
      <c r="X1914">
        <f t="shared" si="118"/>
        <v>6.2774847719999993</v>
      </c>
      <c r="Y1914">
        <f t="shared" si="119"/>
        <v>40.199999999999996</v>
      </c>
      <c r="Z1914" s="1">
        <v>0</v>
      </c>
      <c r="AA1914">
        <v>100</v>
      </c>
      <c r="AB1914">
        <v>0</v>
      </c>
      <c r="AC1914">
        <v>0</v>
      </c>
      <c r="AD1914">
        <v>93</v>
      </c>
      <c r="AE1914">
        <v>0</v>
      </c>
      <c r="AF1914" t="s">
        <v>2594</v>
      </c>
      <c r="AG1914" t="s">
        <v>2588</v>
      </c>
    </row>
    <row r="1915" spans="1:33">
      <c r="A1915" s="2" t="s">
        <v>75</v>
      </c>
      <c r="B1915" s="2" t="s">
        <v>63</v>
      </c>
      <c r="C1915" s="1">
        <v>0.50354843500000002</v>
      </c>
      <c r="D1915">
        <v>0.59724402499999996</v>
      </c>
      <c r="E1915">
        <v>0.70308254199999998</v>
      </c>
      <c r="F1915" s="1" t="s">
        <v>76</v>
      </c>
      <c r="G1915" s="1">
        <v>1.2696850390000001</v>
      </c>
      <c r="H1915" s="1">
        <v>26.6</v>
      </c>
      <c r="I1915" s="1">
        <v>50.8</v>
      </c>
      <c r="J1915" s="1">
        <v>0.60129166733333339</v>
      </c>
      <c r="K1915" s="1">
        <v>0.44311141399999998</v>
      </c>
      <c r="L1915" s="1">
        <v>0.57053969199999999</v>
      </c>
      <c r="M1915" s="3">
        <v>0.59266330599999995</v>
      </c>
      <c r="N1915" s="1" t="s">
        <v>64</v>
      </c>
      <c r="O1915" s="1">
        <v>0.89618138400000003</v>
      </c>
      <c r="P1915" s="1">
        <v>29.7</v>
      </c>
      <c r="Q1915" s="1">
        <v>83.8</v>
      </c>
      <c r="R1915" s="1">
        <v>0.53543813733333334</v>
      </c>
      <c r="S1915" s="1">
        <v>0.12867852418781089</v>
      </c>
      <c r="T1915" t="s">
        <v>2062</v>
      </c>
      <c r="U1915" s="1">
        <v>1024</v>
      </c>
      <c r="V1915">
        <f t="shared" si="116"/>
        <v>0.3344777729599791</v>
      </c>
      <c r="W1915" s="1">
        <f t="shared" si="117"/>
        <v>3.0999999999999979</v>
      </c>
      <c r="X1915">
        <f t="shared" si="118"/>
        <v>0.37350365500000005</v>
      </c>
      <c r="Y1915">
        <f t="shared" si="119"/>
        <v>33</v>
      </c>
      <c r="Z1915" s="1">
        <v>6</v>
      </c>
      <c r="AA1915">
        <v>94</v>
      </c>
      <c r="AB1915">
        <v>6.3799999999999996E-2</v>
      </c>
      <c r="AC1915">
        <v>7</v>
      </c>
      <c r="AD1915">
        <v>93</v>
      </c>
      <c r="AE1915">
        <v>7.5300000000000006E-2</v>
      </c>
      <c r="AF1915" t="s">
        <v>2594</v>
      </c>
      <c r="AG1915" t="s">
        <v>2590</v>
      </c>
    </row>
    <row r="1916" spans="1:33">
      <c r="A1916" s="2" t="s">
        <v>75</v>
      </c>
      <c r="B1916" s="2" t="s">
        <v>65</v>
      </c>
      <c r="C1916" s="1">
        <v>0.50354843500000002</v>
      </c>
      <c r="D1916">
        <v>0.59724402499999996</v>
      </c>
      <c r="E1916">
        <v>0.70308254199999998</v>
      </c>
      <c r="F1916" s="1" t="s">
        <v>76</v>
      </c>
      <c r="G1916" s="1">
        <v>1.2696850390000001</v>
      </c>
      <c r="H1916" s="1">
        <v>26.6</v>
      </c>
      <c r="I1916" s="1">
        <v>50.8</v>
      </c>
      <c r="J1916" s="1">
        <v>0.60129166733333339</v>
      </c>
      <c r="K1916" s="1">
        <v>0.67377447499999998</v>
      </c>
      <c r="L1916" s="1">
        <v>0.69144672900000004</v>
      </c>
      <c r="M1916" s="3">
        <v>0.73046409700000003</v>
      </c>
      <c r="N1916" s="1" t="s">
        <v>66</v>
      </c>
      <c r="O1916" s="1">
        <v>1.8507462690000001</v>
      </c>
      <c r="P1916" s="1">
        <v>34.5</v>
      </c>
      <c r="Q1916" s="1">
        <v>46.9</v>
      </c>
      <c r="R1916" s="1">
        <v>0.69856176700000006</v>
      </c>
      <c r="S1916" s="1">
        <v>0.19647087236842831</v>
      </c>
      <c r="T1916" t="s">
        <v>2063</v>
      </c>
      <c r="U1916" s="1">
        <v>736</v>
      </c>
      <c r="V1916">
        <f t="shared" si="116"/>
        <v>0.31854197937083323</v>
      </c>
      <c r="W1916" s="1">
        <f t="shared" si="117"/>
        <v>7.8999999999999986</v>
      </c>
      <c r="X1916">
        <f t="shared" si="118"/>
        <v>0.58106122999999998</v>
      </c>
      <c r="Y1916">
        <f t="shared" si="119"/>
        <v>3.8999999999999986</v>
      </c>
      <c r="Z1916" s="1">
        <v>0</v>
      </c>
      <c r="AA1916">
        <v>100</v>
      </c>
      <c r="AB1916">
        <v>0</v>
      </c>
      <c r="AC1916">
        <v>0</v>
      </c>
      <c r="AD1916">
        <v>82</v>
      </c>
      <c r="AE1916">
        <v>0</v>
      </c>
      <c r="AF1916" t="s">
        <v>2594</v>
      </c>
      <c r="AG1916" t="s">
        <v>2593</v>
      </c>
    </row>
    <row r="1917" spans="1:33">
      <c r="A1917" s="2" t="s">
        <v>75</v>
      </c>
      <c r="B1917" s="2" t="s">
        <v>67</v>
      </c>
      <c r="C1917" s="1">
        <v>0.50354843500000002</v>
      </c>
      <c r="D1917">
        <v>0.59724402499999996</v>
      </c>
      <c r="E1917">
        <v>0.70308254199999998</v>
      </c>
      <c r="F1917" s="1" t="s">
        <v>76</v>
      </c>
      <c r="G1917" s="1">
        <v>1.2696850390000001</v>
      </c>
      <c r="H1917" s="1">
        <v>26.6</v>
      </c>
      <c r="I1917" s="1">
        <v>50.8</v>
      </c>
      <c r="J1917" s="1">
        <v>0.60129166733333339</v>
      </c>
      <c r="K1917" s="1">
        <v>0.53971122199999999</v>
      </c>
      <c r="L1917" s="1">
        <v>0.621203065</v>
      </c>
      <c r="M1917" s="3">
        <v>0.67806811499999997</v>
      </c>
      <c r="N1917" s="1" t="s">
        <v>68</v>
      </c>
      <c r="O1917" s="1">
        <v>1.5131894480000001</v>
      </c>
      <c r="P1917" s="1">
        <v>27.2</v>
      </c>
      <c r="Q1917" s="1">
        <v>41.7</v>
      </c>
      <c r="R1917" s="1">
        <v>0.61299413400000002</v>
      </c>
      <c r="S1917" s="1">
        <v>5.0074986964224952E-2</v>
      </c>
      <c r="T1917" t="s">
        <v>2064</v>
      </c>
      <c r="U1917" s="1">
        <v>14734</v>
      </c>
      <c r="V1917">
        <f t="shared" si="116"/>
        <v>0.46314674061320726</v>
      </c>
      <c r="W1917" s="1">
        <f t="shared" si="117"/>
        <v>0.59999999999999787</v>
      </c>
      <c r="X1917">
        <f t="shared" si="118"/>
        <v>0.24350440900000003</v>
      </c>
      <c r="Y1917">
        <f t="shared" si="119"/>
        <v>9.0999999999999943</v>
      </c>
      <c r="Z1917" s="1">
        <v>2</v>
      </c>
      <c r="AA1917">
        <v>98</v>
      </c>
      <c r="AB1917">
        <v>2.0400000000000001E-2</v>
      </c>
      <c r="AC1917">
        <v>3</v>
      </c>
      <c r="AD1917">
        <v>90</v>
      </c>
      <c r="AE1917">
        <v>3.3300000000000003E-2</v>
      </c>
      <c r="AF1917" t="s">
        <v>2594</v>
      </c>
      <c r="AG1917" t="s">
        <v>2588</v>
      </c>
    </row>
    <row r="1918" spans="1:33">
      <c r="A1918" s="2" t="s">
        <v>75</v>
      </c>
      <c r="B1918" s="2" t="s">
        <v>69</v>
      </c>
      <c r="C1918" s="1">
        <v>0.50354843500000002</v>
      </c>
      <c r="D1918">
        <v>0.59724402499999996</v>
      </c>
      <c r="E1918">
        <v>0.70308254199999998</v>
      </c>
      <c r="F1918" s="1" t="s">
        <v>76</v>
      </c>
      <c r="G1918" s="1">
        <v>1.2696850390000001</v>
      </c>
      <c r="H1918" s="1">
        <v>26.6</v>
      </c>
      <c r="I1918" s="1">
        <v>50.8</v>
      </c>
      <c r="J1918" s="1">
        <v>0.60129166733333339</v>
      </c>
      <c r="K1918" s="1">
        <v>0.50188385300000005</v>
      </c>
      <c r="L1918" s="1">
        <v>0.64580031500000001</v>
      </c>
      <c r="M1918" s="3">
        <v>0.66006355800000005</v>
      </c>
      <c r="N1918" s="1" t="s">
        <v>70</v>
      </c>
      <c r="O1918" s="1">
        <v>1.2401055409999999</v>
      </c>
      <c r="P1918" s="1">
        <v>43.4</v>
      </c>
      <c r="Q1918" s="1">
        <v>75.8</v>
      </c>
      <c r="R1918" s="1">
        <v>0.60258257533333337</v>
      </c>
      <c r="S1918" s="1">
        <v>6.489312071545858E-2</v>
      </c>
      <c r="T1918" t="s">
        <v>2065</v>
      </c>
      <c r="U1918" s="1">
        <v>11412</v>
      </c>
      <c r="V1918">
        <f t="shared" si="116"/>
        <v>0.45081797366500431</v>
      </c>
      <c r="W1918" s="1">
        <f t="shared" si="117"/>
        <v>16.799999999999997</v>
      </c>
      <c r="X1918">
        <f t="shared" si="118"/>
        <v>2.9579498000000148E-2</v>
      </c>
      <c r="Y1918">
        <f t="shared" si="119"/>
        <v>25</v>
      </c>
      <c r="Z1918" s="1">
        <v>10</v>
      </c>
      <c r="AA1918">
        <v>90</v>
      </c>
      <c r="AB1918">
        <v>0.1111</v>
      </c>
      <c r="AC1918">
        <v>12</v>
      </c>
      <c r="AD1918">
        <v>88</v>
      </c>
      <c r="AE1918">
        <v>0.13639999999999999</v>
      </c>
      <c r="AF1918" t="s">
        <v>2594</v>
      </c>
      <c r="AG1918" t="s">
        <v>2589</v>
      </c>
    </row>
    <row r="1919" spans="1:33">
      <c r="A1919" s="2" t="s">
        <v>75</v>
      </c>
      <c r="B1919" s="2" t="s">
        <v>71</v>
      </c>
      <c r="C1919" s="1">
        <v>0.50354843500000002</v>
      </c>
      <c r="D1919">
        <v>0.59724402499999996</v>
      </c>
      <c r="E1919">
        <v>0.70308254199999998</v>
      </c>
      <c r="F1919" s="1" t="s">
        <v>76</v>
      </c>
      <c r="G1919" s="1">
        <v>1.2696850390000001</v>
      </c>
      <c r="H1919" s="1">
        <v>26.6</v>
      </c>
      <c r="I1919" s="1">
        <v>50.8</v>
      </c>
      <c r="J1919" s="1">
        <v>0.60129166733333339</v>
      </c>
      <c r="K1919" s="1">
        <v>0.53267569100000001</v>
      </c>
      <c r="L1919" s="1">
        <v>0.64507433599999997</v>
      </c>
      <c r="M1919" s="3">
        <v>0.66598465100000004</v>
      </c>
      <c r="N1919" s="1" t="s">
        <v>72</v>
      </c>
      <c r="O1919" s="1">
        <v>0.97289666900000005</v>
      </c>
      <c r="P1919" s="1">
        <v>64.8</v>
      </c>
      <c r="Q1919" s="1">
        <v>177.1</v>
      </c>
      <c r="R1919" s="1">
        <v>0.61457822600000001</v>
      </c>
      <c r="S1919" s="1">
        <v>6.7174319565546287E-2</v>
      </c>
      <c r="T1919" t="s">
        <v>2066</v>
      </c>
      <c r="U1919" s="1">
        <v>4518</v>
      </c>
      <c r="V1919">
        <f t="shared" si="116"/>
        <v>0.40610513628714939</v>
      </c>
      <c r="W1919" s="1">
        <f t="shared" si="117"/>
        <v>38.199999999999996</v>
      </c>
      <c r="X1919">
        <f t="shared" si="118"/>
        <v>0.29678837000000002</v>
      </c>
      <c r="Y1919">
        <f t="shared" si="119"/>
        <v>126.3</v>
      </c>
      <c r="Z1919" s="1">
        <v>4</v>
      </c>
      <c r="AA1919">
        <v>96</v>
      </c>
      <c r="AB1919">
        <v>4.1700000000000001E-2</v>
      </c>
      <c r="AC1919">
        <v>6</v>
      </c>
      <c r="AD1919">
        <v>105</v>
      </c>
      <c r="AE1919">
        <v>5.7099999999999998E-2</v>
      </c>
      <c r="AF1919" t="s">
        <v>2594</v>
      </c>
      <c r="AG1919" t="s">
        <v>2589</v>
      </c>
    </row>
    <row r="1920" spans="1:33">
      <c r="A1920" s="2" t="s">
        <v>75</v>
      </c>
      <c r="B1920" s="2" t="s">
        <v>73</v>
      </c>
      <c r="C1920" s="1">
        <v>0.50354843500000002</v>
      </c>
      <c r="D1920">
        <v>0.59724402499999996</v>
      </c>
      <c r="E1920">
        <v>0.70308254199999998</v>
      </c>
      <c r="F1920" s="1" t="s">
        <v>76</v>
      </c>
      <c r="G1920" s="1">
        <v>1.2696850390000001</v>
      </c>
      <c r="H1920" s="1">
        <v>26.6</v>
      </c>
      <c r="I1920" s="1">
        <v>50.8</v>
      </c>
      <c r="J1920" s="1">
        <v>0.60129166733333339</v>
      </c>
      <c r="K1920" s="1">
        <v>0.55697925299999995</v>
      </c>
      <c r="L1920" s="1">
        <v>0.64461978399999997</v>
      </c>
      <c r="M1920" s="3">
        <v>0.69570690000000002</v>
      </c>
      <c r="N1920" s="1" t="s">
        <v>74</v>
      </c>
      <c r="O1920" s="1">
        <v>1.23433584</v>
      </c>
      <c r="P1920" s="1">
        <v>44</v>
      </c>
      <c r="Q1920" s="1">
        <v>79.8</v>
      </c>
      <c r="R1920" s="1">
        <v>0.63243531233333328</v>
      </c>
      <c r="S1920" s="1">
        <v>7.1789379074396253E-2</v>
      </c>
      <c r="T1920" t="s">
        <v>2067</v>
      </c>
      <c r="U1920" s="1">
        <v>6652</v>
      </c>
      <c r="V1920">
        <f t="shared" si="116"/>
        <v>0.42477247117194245</v>
      </c>
      <c r="W1920" s="1">
        <f t="shared" si="117"/>
        <v>17.399999999999999</v>
      </c>
      <c r="X1920">
        <f t="shared" si="118"/>
        <v>3.5349199000000109E-2</v>
      </c>
      <c r="Y1920">
        <f t="shared" si="119"/>
        <v>29</v>
      </c>
      <c r="Z1920" s="1">
        <v>5</v>
      </c>
      <c r="AA1920">
        <v>95</v>
      </c>
      <c r="AB1920">
        <v>5.2600000000000001E-2</v>
      </c>
      <c r="AC1920">
        <v>7</v>
      </c>
      <c r="AD1920">
        <v>89</v>
      </c>
      <c r="AE1920">
        <v>7.8700000000000006E-2</v>
      </c>
      <c r="AF1920" t="s">
        <v>2594</v>
      </c>
      <c r="AG1920" t="s">
        <v>2589</v>
      </c>
    </row>
    <row r="1921" spans="1:33">
      <c r="A1921" s="2" t="s">
        <v>73</v>
      </c>
      <c r="B1921" s="2" t="s">
        <v>10</v>
      </c>
      <c r="C1921" s="1">
        <v>0.55697925299999995</v>
      </c>
      <c r="D1921">
        <v>0.64461978399999997</v>
      </c>
      <c r="E1921">
        <v>0.69570690000000002</v>
      </c>
      <c r="F1921" s="1" t="s">
        <v>74</v>
      </c>
      <c r="G1921" s="1">
        <v>1.23433584</v>
      </c>
      <c r="H1921" s="1">
        <v>44</v>
      </c>
      <c r="I1921" s="1">
        <v>79.8</v>
      </c>
      <c r="J1921" s="1">
        <v>0.63243531233333328</v>
      </c>
      <c r="K1921" s="1">
        <v>0.52456325500000001</v>
      </c>
      <c r="L1921" s="1">
        <v>0.61925627999999999</v>
      </c>
      <c r="M1921" s="3">
        <v>0.72111139899999999</v>
      </c>
      <c r="N1921" s="1" t="s">
        <v>12</v>
      </c>
      <c r="O1921" s="1">
        <v>0.61690647499999995</v>
      </c>
      <c r="P1921" s="1">
        <v>30</v>
      </c>
      <c r="Q1921" s="1">
        <v>111.2</v>
      </c>
      <c r="R1921" s="1">
        <v>0.62164364466666666</v>
      </c>
      <c r="S1921" s="1">
        <v>4.8368303990681899E-2</v>
      </c>
      <c r="T1921" t="s">
        <v>2068</v>
      </c>
      <c r="U1921" s="1">
        <v>353</v>
      </c>
      <c r="V1921">
        <f t="shared" si="116"/>
        <v>0.28308607837642469</v>
      </c>
      <c r="W1921" s="1">
        <f t="shared" si="117"/>
        <v>14</v>
      </c>
      <c r="X1921">
        <f t="shared" si="118"/>
        <v>0.61742936500000001</v>
      </c>
      <c r="Y1921">
        <f t="shared" si="119"/>
        <v>31.400000000000006</v>
      </c>
      <c r="Z1921" s="1">
        <v>5</v>
      </c>
      <c r="AA1921">
        <v>95</v>
      </c>
      <c r="AB1921">
        <v>5.2600000000000001E-2</v>
      </c>
      <c r="AC1921">
        <v>6</v>
      </c>
      <c r="AD1921">
        <v>149</v>
      </c>
      <c r="AE1921">
        <v>4.0300000000000002E-2</v>
      </c>
      <c r="AF1921" t="s">
        <v>2589</v>
      </c>
      <c r="AG1921" t="s">
        <v>2588</v>
      </c>
    </row>
    <row r="1922" spans="1:33">
      <c r="A1922" s="2" t="s">
        <v>73</v>
      </c>
      <c r="B1922" s="2" t="s">
        <v>13</v>
      </c>
      <c r="C1922" s="1">
        <v>0.55697925299999995</v>
      </c>
      <c r="D1922">
        <v>0.64461978399999997</v>
      </c>
      <c r="E1922">
        <v>0.69570690000000002</v>
      </c>
      <c r="F1922" s="1" t="s">
        <v>74</v>
      </c>
      <c r="G1922" s="1">
        <v>1.23433584</v>
      </c>
      <c r="H1922" s="1">
        <v>44</v>
      </c>
      <c r="I1922" s="1">
        <v>79.8</v>
      </c>
      <c r="J1922" s="1">
        <v>0.63243531233333328</v>
      </c>
      <c r="K1922" s="1">
        <v>0.48695497399999998</v>
      </c>
      <c r="L1922" s="1">
        <v>0.54991327199999995</v>
      </c>
      <c r="M1922" s="3">
        <v>0.67282609299999996</v>
      </c>
      <c r="N1922" s="1" t="s">
        <v>14</v>
      </c>
      <c r="O1922" s="1">
        <v>1.6052009460000001</v>
      </c>
      <c r="P1922" s="1">
        <v>26.6</v>
      </c>
      <c r="Q1922" s="1">
        <v>42.3</v>
      </c>
      <c r="R1922" s="1">
        <v>0.56989811299999993</v>
      </c>
      <c r="S1922" s="1">
        <v>0.11998439229186118</v>
      </c>
      <c r="T1922" t="s">
        <v>2069</v>
      </c>
      <c r="U1922" s="1">
        <v>210</v>
      </c>
      <c r="V1922">
        <f t="shared" ref="V1922:V1985" si="120">LOG10(U1922) / 9</f>
        <v>0.25802436608154655</v>
      </c>
      <c r="W1922" s="1">
        <f t="shared" ref="W1922:W1985" si="121">ABS(H1922-P1922)</f>
        <v>17.399999999999999</v>
      </c>
      <c r="X1922">
        <f t="shared" ref="X1922:X1985" si="122">ABS(G1922-O1922)</f>
        <v>0.37086510600000011</v>
      </c>
      <c r="Y1922">
        <f t="shared" ref="Y1922:Y1985" si="123">ABS(I1922-Q1922)</f>
        <v>37.5</v>
      </c>
      <c r="Z1922" s="1">
        <v>1</v>
      </c>
      <c r="AA1922">
        <v>99</v>
      </c>
      <c r="AB1922">
        <v>1.01E-2</v>
      </c>
      <c r="AC1922">
        <v>2</v>
      </c>
      <c r="AD1922">
        <v>100</v>
      </c>
      <c r="AE1922">
        <v>0.02</v>
      </c>
      <c r="AF1922" t="s">
        <v>2589</v>
      </c>
      <c r="AG1922" t="s">
        <v>2590</v>
      </c>
    </row>
    <row r="1923" spans="1:33">
      <c r="A1923" s="2" t="s">
        <v>73</v>
      </c>
      <c r="B1923" s="2" t="s">
        <v>15</v>
      </c>
      <c r="C1923" s="1">
        <v>0.55697925299999995</v>
      </c>
      <c r="D1923">
        <v>0.64461978399999997</v>
      </c>
      <c r="E1923">
        <v>0.69570690000000002</v>
      </c>
      <c r="F1923" s="1" t="s">
        <v>74</v>
      </c>
      <c r="G1923" s="1">
        <v>1.23433584</v>
      </c>
      <c r="H1923" s="1">
        <v>44</v>
      </c>
      <c r="I1923" s="1">
        <v>79.8</v>
      </c>
      <c r="J1923" s="1">
        <v>0.63243531233333328</v>
      </c>
      <c r="K1923" s="1">
        <v>0.54560998800000005</v>
      </c>
      <c r="L1923" s="1">
        <v>0.66721428400000005</v>
      </c>
      <c r="M1923" s="3">
        <v>0.72650398400000005</v>
      </c>
      <c r="N1923" s="1" t="s">
        <v>16</v>
      </c>
      <c r="O1923" s="1">
        <v>5.1392405060000002</v>
      </c>
      <c r="P1923" s="1">
        <v>35.9</v>
      </c>
      <c r="Q1923" s="1">
        <v>15.8</v>
      </c>
      <c r="R1923" s="1">
        <v>0.64644275200000012</v>
      </c>
      <c r="S1923" s="1">
        <v>3.9852628517994697E-2</v>
      </c>
      <c r="T1923" t="s">
        <v>2070</v>
      </c>
      <c r="U1923" s="1">
        <v>290</v>
      </c>
      <c r="V1923">
        <f t="shared" si="120"/>
        <v>0.27359977754432846</v>
      </c>
      <c r="W1923" s="1">
        <f t="shared" si="121"/>
        <v>8.1000000000000014</v>
      </c>
      <c r="X1923">
        <f t="shared" si="122"/>
        <v>3.9049046660000002</v>
      </c>
      <c r="Y1923">
        <f t="shared" si="123"/>
        <v>64</v>
      </c>
      <c r="Z1923" s="1">
        <v>0</v>
      </c>
      <c r="AA1923">
        <v>100</v>
      </c>
      <c r="AB1923">
        <v>0</v>
      </c>
      <c r="AC1923">
        <v>0</v>
      </c>
      <c r="AD1923">
        <v>98</v>
      </c>
      <c r="AE1923">
        <v>0</v>
      </c>
      <c r="AF1923" t="s">
        <v>2589</v>
      </c>
      <c r="AG1923" t="s">
        <v>2591</v>
      </c>
    </row>
    <row r="1924" spans="1:33">
      <c r="A1924" s="2" t="s">
        <v>73</v>
      </c>
      <c r="B1924" s="2" t="s">
        <v>17</v>
      </c>
      <c r="C1924" s="1">
        <v>0.55697925299999995</v>
      </c>
      <c r="D1924">
        <v>0.64461978399999997</v>
      </c>
      <c r="E1924">
        <v>0.69570690000000002</v>
      </c>
      <c r="F1924" s="1" t="s">
        <v>74</v>
      </c>
      <c r="G1924" s="1">
        <v>1.23433584</v>
      </c>
      <c r="H1924" s="1">
        <v>44</v>
      </c>
      <c r="I1924" s="1">
        <v>79.8</v>
      </c>
      <c r="J1924" s="1">
        <v>0.63243531233333328</v>
      </c>
      <c r="K1924" s="1">
        <v>0.659112378</v>
      </c>
      <c r="L1924" s="1">
        <v>0.68333493499999998</v>
      </c>
      <c r="M1924" s="3">
        <v>0.70345495199999997</v>
      </c>
      <c r="N1924" s="1" t="s">
        <v>18</v>
      </c>
      <c r="O1924" s="1">
        <v>1.9463955639999999</v>
      </c>
      <c r="P1924" s="1">
        <v>46.3</v>
      </c>
      <c r="Q1924" s="1">
        <v>54.1</v>
      </c>
      <c r="R1924" s="1">
        <v>0.68196742166666668</v>
      </c>
      <c r="S1924" s="1">
        <v>0.10949918012941073</v>
      </c>
      <c r="T1924" t="s">
        <v>2071</v>
      </c>
      <c r="U1924" s="1">
        <v>1044</v>
      </c>
      <c r="V1924">
        <f t="shared" si="120"/>
        <v>0.33541116651847147</v>
      </c>
      <c r="W1924" s="1">
        <f t="shared" si="121"/>
        <v>2.2999999999999972</v>
      </c>
      <c r="X1924">
        <f t="shared" si="122"/>
        <v>0.71205972399999995</v>
      </c>
      <c r="Y1924">
        <f t="shared" si="123"/>
        <v>25.699999999999996</v>
      </c>
      <c r="Z1924" s="1">
        <v>0</v>
      </c>
      <c r="AA1924">
        <v>100</v>
      </c>
      <c r="AB1924">
        <v>0</v>
      </c>
      <c r="AC1924">
        <v>0</v>
      </c>
      <c r="AD1924">
        <v>112</v>
      </c>
      <c r="AE1924">
        <v>0</v>
      </c>
      <c r="AF1924" t="s">
        <v>2589</v>
      </c>
      <c r="AG1924" t="s">
        <v>2591</v>
      </c>
    </row>
    <row r="1925" spans="1:33">
      <c r="A1925" s="2" t="s">
        <v>73</v>
      </c>
      <c r="B1925" s="2" t="s">
        <v>19</v>
      </c>
      <c r="C1925" s="1">
        <v>0.55697925299999995</v>
      </c>
      <c r="D1925">
        <v>0.64461978399999997</v>
      </c>
      <c r="E1925">
        <v>0.69570690000000002</v>
      </c>
      <c r="F1925" s="1" t="s">
        <v>74</v>
      </c>
      <c r="G1925" s="1">
        <v>1.23433584</v>
      </c>
      <c r="H1925" s="1">
        <v>44</v>
      </c>
      <c r="I1925" s="1">
        <v>79.8</v>
      </c>
      <c r="J1925" s="1">
        <v>0.63243531233333328</v>
      </c>
      <c r="K1925" s="1">
        <v>0.49391595300000002</v>
      </c>
      <c r="L1925" s="1">
        <v>0.603599314</v>
      </c>
      <c r="M1925" s="3">
        <v>0.63481471599999995</v>
      </c>
      <c r="N1925" s="1" t="s">
        <v>20</v>
      </c>
      <c r="O1925" s="1">
        <v>1.2140902870000001</v>
      </c>
      <c r="P1925" s="1">
        <v>64.900000000000006</v>
      </c>
      <c r="Q1925" s="1">
        <v>146.19999999999999</v>
      </c>
      <c r="R1925" s="1">
        <v>0.57744332766666662</v>
      </c>
      <c r="S1925" s="1">
        <v>9.6785933059514148E-2</v>
      </c>
      <c r="T1925" t="s">
        <v>2072</v>
      </c>
      <c r="U1925" s="1">
        <v>2137</v>
      </c>
      <c r="V1925">
        <f t="shared" si="120"/>
        <v>0.36997828024045215</v>
      </c>
      <c r="W1925" s="1">
        <f t="shared" si="121"/>
        <v>20.900000000000006</v>
      </c>
      <c r="X1925">
        <f t="shared" si="122"/>
        <v>2.0245552999999861E-2</v>
      </c>
      <c r="Y1925">
        <f t="shared" si="123"/>
        <v>66.399999999999991</v>
      </c>
      <c r="Z1925" s="1">
        <v>13</v>
      </c>
      <c r="AA1925">
        <v>87</v>
      </c>
      <c r="AB1925">
        <v>0.14940000000000001</v>
      </c>
      <c r="AC1925">
        <v>15</v>
      </c>
      <c r="AD1925">
        <v>77</v>
      </c>
      <c r="AE1925">
        <v>0.1948</v>
      </c>
      <c r="AF1925" t="s">
        <v>2589</v>
      </c>
      <c r="AG1925" t="s">
        <v>2593</v>
      </c>
    </row>
    <row r="1926" spans="1:33">
      <c r="A1926" s="2" t="s">
        <v>73</v>
      </c>
      <c r="B1926" s="2" t="s">
        <v>21</v>
      </c>
      <c r="C1926" s="1">
        <v>0.55697925299999995</v>
      </c>
      <c r="D1926">
        <v>0.64461978399999997</v>
      </c>
      <c r="E1926">
        <v>0.69570690000000002</v>
      </c>
      <c r="F1926" s="1" t="s">
        <v>74</v>
      </c>
      <c r="G1926" s="1">
        <v>1.23433584</v>
      </c>
      <c r="H1926" s="1">
        <v>44</v>
      </c>
      <c r="I1926" s="1">
        <v>79.8</v>
      </c>
      <c r="J1926" s="1">
        <v>0.63243531233333328</v>
      </c>
      <c r="K1926" s="1">
        <v>0.53276376800000003</v>
      </c>
      <c r="L1926" s="1">
        <v>0.65428149899999999</v>
      </c>
      <c r="M1926" s="3">
        <v>0.70160154799999996</v>
      </c>
      <c r="N1926" s="1" t="s">
        <v>22</v>
      </c>
      <c r="O1926" s="1">
        <v>1.2440604749999999</v>
      </c>
      <c r="P1926" s="1">
        <v>24.6</v>
      </c>
      <c r="Q1926" s="1">
        <v>46.3</v>
      </c>
      <c r="R1926" s="1">
        <v>0.62954893833333336</v>
      </c>
      <c r="S1926" s="1">
        <v>2.6729858315568192E-2</v>
      </c>
      <c r="T1926" t="s">
        <v>2073</v>
      </c>
      <c r="U1926" s="1">
        <v>38673</v>
      </c>
      <c r="V1926">
        <f t="shared" si="120"/>
        <v>0.50971198479146973</v>
      </c>
      <c r="W1926" s="1">
        <f t="shared" si="121"/>
        <v>19.399999999999999</v>
      </c>
      <c r="X1926">
        <f t="shared" si="122"/>
        <v>9.7246349999999815E-3</v>
      </c>
      <c r="Y1926">
        <f t="shared" si="123"/>
        <v>33.5</v>
      </c>
      <c r="Z1926" s="1">
        <v>4</v>
      </c>
      <c r="AA1926">
        <v>96</v>
      </c>
      <c r="AB1926">
        <v>4.1700000000000001E-2</v>
      </c>
      <c r="AC1926">
        <v>5</v>
      </c>
      <c r="AD1926">
        <v>93</v>
      </c>
      <c r="AE1926">
        <v>5.3800000000000001E-2</v>
      </c>
      <c r="AF1926" t="s">
        <v>2589</v>
      </c>
      <c r="AG1926" t="s">
        <v>2589</v>
      </c>
    </row>
    <row r="1927" spans="1:33">
      <c r="A1927" s="2" t="s">
        <v>73</v>
      </c>
      <c r="B1927" s="2" t="s">
        <v>23</v>
      </c>
      <c r="C1927" s="1">
        <v>0.55697925299999995</v>
      </c>
      <c r="D1927">
        <v>0.64461978399999997</v>
      </c>
      <c r="E1927">
        <v>0.69570690000000002</v>
      </c>
      <c r="F1927" s="1" t="s">
        <v>74</v>
      </c>
      <c r="G1927" s="1">
        <v>1.23433584</v>
      </c>
      <c r="H1927" s="1">
        <v>44</v>
      </c>
      <c r="I1927" s="1">
        <v>79.8</v>
      </c>
      <c r="J1927" s="1">
        <v>0.63243531233333328</v>
      </c>
      <c r="K1927" s="1">
        <v>0.49415677200000002</v>
      </c>
      <c r="L1927" s="1">
        <v>0.62090818999999997</v>
      </c>
      <c r="M1927" s="3">
        <v>0.63381026900000004</v>
      </c>
      <c r="N1927" s="1" t="s">
        <v>24</v>
      </c>
      <c r="O1927" s="1">
        <v>1.141304348</v>
      </c>
      <c r="P1927" s="1">
        <v>44.4</v>
      </c>
      <c r="Q1927" s="1">
        <v>101.2</v>
      </c>
      <c r="R1927" s="1">
        <v>0.58295841033333329</v>
      </c>
      <c r="S1927" s="1">
        <v>9.1324130098054304E-2</v>
      </c>
      <c r="T1927" t="s">
        <v>2074</v>
      </c>
      <c r="U1927" s="1">
        <v>435</v>
      </c>
      <c r="V1927">
        <f t="shared" si="120"/>
        <v>0.29316547299495971</v>
      </c>
      <c r="W1927" s="1">
        <f t="shared" si="121"/>
        <v>0.39999999999999858</v>
      </c>
      <c r="X1927">
        <f t="shared" si="122"/>
        <v>9.3031491999999938E-2</v>
      </c>
      <c r="Y1927">
        <f t="shared" si="123"/>
        <v>21.400000000000006</v>
      </c>
      <c r="Z1927" s="1">
        <v>3</v>
      </c>
      <c r="AA1927">
        <v>97</v>
      </c>
      <c r="AB1927">
        <v>3.09E-2</v>
      </c>
      <c r="AC1927">
        <v>5</v>
      </c>
      <c r="AD1927">
        <v>89</v>
      </c>
      <c r="AE1927">
        <v>5.62E-2</v>
      </c>
      <c r="AF1927" t="s">
        <v>2589</v>
      </c>
      <c r="AG1927" t="s">
        <v>2590</v>
      </c>
    </row>
    <row r="1928" spans="1:33">
      <c r="A1928" s="2" t="s">
        <v>73</v>
      </c>
      <c r="B1928" s="2" t="s">
        <v>25</v>
      </c>
      <c r="C1928" s="1">
        <v>0.55697925299999995</v>
      </c>
      <c r="D1928">
        <v>0.64461978399999997</v>
      </c>
      <c r="E1928">
        <v>0.69570690000000002</v>
      </c>
      <c r="F1928" s="1" t="s">
        <v>74</v>
      </c>
      <c r="G1928" s="1">
        <v>1.23433584</v>
      </c>
      <c r="H1928" s="1">
        <v>44</v>
      </c>
      <c r="I1928" s="1">
        <v>79.8</v>
      </c>
      <c r="J1928" s="1">
        <v>0.63243531233333328</v>
      </c>
      <c r="K1928" s="1">
        <v>0.53959274199999996</v>
      </c>
      <c r="L1928" s="1">
        <v>0.64971567399999997</v>
      </c>
      <c r="M1928" s="3">
        <v>0.65028459999999999</v>
      </c>
      <c r="N1928" s="1" t="s">
        <v>26</v>
      </c>
      <c r="O1928" s="1">
        <v>1.623046875</v>
      </c>
      <c r="P1928" s="1">
        <v>34.700000000000003</v>
      </c>
      <c r="Q1928" s="1">
        <v>51.2</v>
      </c>
      <c r="R1928" s="1">
        <v>0.61319767199999997</v>
      </c>
      <c r="S1928" s="1">
        <v>4.8902394593058764E-2</v>
      </c>
      <c r="T1928" t="s">
        <v>2075</v>
      </c>
      <c r="U1928" s="1">
        <v>1849</v>
      </c>
      <c r="V1928">
        <f t="shared" si="120"/>
        <v>0.36299299012879699</v>
      </c>
      <c r="W1928" s="1">
        <f t="shared" si="121"/>
        <v>9.2999999999999972</v>
      </c>
      <c r="X1928">
        <f t="shared" si="122"/>
        <v>0.38871103500000004</v>
      </c>
      <c r="Y1928">
        <f t="shared" si="123"/>
        <v>28.599999999999994</v>
      </c>
      <c r="Z1928" s="1">
        <v>0</v>
      </c>
      <c r="AA1928">
        <v>100</v>
      </c>
      <c r="AB1928">
        <v>0</v>
      </c>
      <c r="AC1928">
        <v>0</v>
      </c>
      <c r="AD1928">
        <v>96</v>
      </c>
      <c r="AE1928">
        <v>0</v>
      </c>
      <c r="AF1928" t="s">
        <v>2589</v>
      </c>
      <c r="AG1928" t="s">
        <v>2594</v>
      </c>
    </row>
    <row r="1929" spans="1:33">
      <c r="A1929" s="2" t="s">
        <v>73</v>
      </c>
      <c r="B1929" s="2" t="s">
        <v>27</v>
      </c>
      <c r="C1929" s="1">
        <v>0.55697925299999995</v>
      </c>
      <c r="D1929">
        <v>0.64461978399999997</v>
      </c>
      <c r="E1929">
        <v>0.69570690000000002</v>
      </c>
      <c r="F1929" s="1" t="s">
        <v>74</v>
      </c>
      <c r="G1929" s="1">
        <v>1.23433584</v>
      </c>
      <c r="H1929" s="1">
        <v>44</v>
      </c>
      <c r="I1929" s="1">
        <v>79.8</v>
      </c>
      <c r="J1929" s="1">
        <v>0.63243531233333328</v>
      </c>
      <c r="K1929" s="1">
        <v>0.518608662</v>
      </c>
      <c r="L1929" s="1">
        <v>0.64320369700000002</v>
      </c>
      <c r="M1929" s="3">
        <v>0.62228994199999998</v>
      </c>
      <c r="N1929" s="1" t="s">
        <v>28</v>
      </c>
      <c r="O1929" s="1">
        <v>1.8717391299999999</v>
      </c>
      <c r="P1929" s="1">
        <v>33.700000000000003</v>
      </c>
      <c r="Q1929" s="1">
        <v>46</v>
      </c>
      <c r="R1929" s="1">
        <v>0.59470076699999996</v>
      </c>
      <c r="S1929" s="1">
        <v>8.2851416874152581E-2</v>
      </c>
      <c r="T1929" t="s">
        <v>2076</v>
      </c>
      <c r="U1929" s="1">
        <v>441</v>
      </c>
      <c r="V1929">
        <f t="shared" si="120"/>
        <v>0.29382650994087095</v>
      </c>
      <c r="W1929" s="1">
        <f t="shared" si="121"/>
        <v>10.299999999999997</v>
      </c>
      <c r="X1929">
        <f t="shared" si="122"/>
        <v>0.63740328999999996</v>
      </c>
      <c r="Y1929">
        <f t="shared" si="123"/>
        <v>33.799999999999997</v>
      </c>
      <c r="Z1929" s="1">
        <v>2</v>
      </c>
      <c r="AA1929">
        <v>98</v>
      </c>
      <c r="AB1929">
        <v>2.0400000000000001E-2</v>
      </c>
      <c r="AC1929">
        <v>4</v>
      </c>
      <c r="AD1929">
        <v>99</v>
      </c>
      <c r="AE1929">
        <v>4.0399999999999998E-2</v>
      </c>
      <c r="AF1929" t="s">
        <v>2589</v>
      </c>
      <c r="AG1929" t="s">
        <v>2590</v>
      </c>
    </row>
    <row r="1930" spans="1:33">
      <c r="A1930" s="2" t="s">
        <v>73</v>
      </c>
      <c r="B1930" s="2" t="s">
        <v>29</v>
      </c>
      <c r="C1930" s="1">
        <v>0.55697925299999995</v>
      </c>
      <c r="D1930">
        <v>0.64461978399999997</v>
      </c>
      <c r="E1930">
        <v>0.69570690000000002</v>
      </c>
      <c r="F1930" s="1" t="s">
        <v>74</v>
      </c>
      <c r="G1930" s="1">
        <v>1.23433584</v>
      </c>
      <c r="H1930" s="1">
        <v>44</v>
      </c>
      <c r="I1930" s="1">
        <v>79.8</v>
      </c>
      <c r="J1930" s="1">
        <v>0.63243531233333328</v>
      </c>
      <c r="K1930" s="1">
        <v>0.59351545100000003</v>
      </c>
      <c r="L1930" s="1">
        <v>0.68136602400000001</v>
      </c>
      <c r="M1930" s="3">
        <v>0.73518087600000004</v>
      </c>
      <c r="N1930" s="1" t="s">
        <v>30</v>
      </c>
      <c r="O1930" s="1">
        <v>2.849112426</v>
      </c>
      <c r="P1930" s="1">
        <v>37.9</v>
      </c>
      <c r="Q1930" s="1">
        <v>33.799999999999997</v>
      </c>
      <c r="R1930" s="1">
        <v>0.67002078366666673</v>
      </c>
      <c r="S1930" s="1">
        <v>6.5141190499417426E-2</v>
      </c>
      <c r="T1930" t="s">
        <v>2077</v>
      </c>
      <c r="U1930" s="1">
        <v>181</v>
      </c>
      <c r="V1930">
        <f t="shared" si="120"/>
        <v>0.25085317498546494</v>
      </c>
      <c r="W1930" s="1">
        <f t="shared" si="121"/>
        <v>6.1000000000000014</v>
      </c>
      <c r="X1930">
        <f t="shared" si="122"/>
        <v>1.6147765860000001</v>
      </c>
      <c r="Y1930">
        <f t="shared" si="123"/>
        <v>46</v>
      </c>
      <c r="Z1930" s="1">
        <v>0</v>
      </c>
      <c r="AA1930">
        <v>100</v>
      </c>
      <c r="AB1930">
        <v>0</v>
      </c>
      <c r="AC1930">
        <v>0</v>
      </c>
      <c r="AD1930">
        <v>92</v>
      </c>
      <c r="AE1930">
        <v>0</v>
      </c>
      <c r="AF1930" t="s">
        <v>2589</v>
      </c>
      <c r="AG1930" t="s">
        <v>2593</v>
      </c>
    </row>
    <row r="1931" spans="1:33">
      <c r="A1931" s="2" t="s">
        <v>73</v>
      </c>
      <c r="B1931" s="2" t="s">
        <v>31</v>
      </c>
      <c r="C1931" s="1">
        <v>0.55697925299999995</v>
      </c>
      <c r="D1931">
        <v>0.64461978399999997</v>
      </c>
      <c r="E1931">
        <v>0.69570690000000002</v>
      </c>
      <c r="F1931" s="1" t="s">
        <v>74</v>
      </c>
      <c r="G1931" s="1">
        <v>1.23433584</v>
      </c>
      <c r="H1931" s="1">
        <v>44</v>
      </c>
      <c r="I1931" s="1">
        <v>79.8</v>
      </c>
      <c r="J1931" s="1">
        <v>0.63243531233333328</v>
      </c>
      <c r="K1931" s="1">
        <v>0.47727961800000002</v>
      </c>
      <c r="L1931" s="1">
        <v>0.66941086400000005</v>
      </c>
      <c r="M1931" s="3">
        <v>0.69294815300000001</v>
      </c>
      <c r="N1931" s="1" t="s">
        <v>32</v>
      </c>
      <c r="O1931" s="1">
        <v>1.341891892</v>
      </c>
      <c r="P1931" s="1">
        <v>42.1</v>
      </c>
      <c r="Q1931" s="1">
        <v>74</v>
      </c>
      <c r="R1931" s="1">
        <v>0.61321287833333338</v>
      </c>
      <c r="S1931" s="1">
        <v>8.3511916225827473E-2</v>
      </c>
      <c r="T1931" t="s">
        <v>2078</v>
      </c>
      <c r="U1931" s="1">
        <v>5501</v>
      </c>
      <c r="V1931">
        <f t="shared" si="120"/>
        <v>0.41560462721664071</v>
      </c>
      <c r="W1931" s="1">
        <f t="shared" si="121"/>
        <v>1.8999999999999986</v>
      </c>
      <c r="X1931">
        <f t="shared" si="122"/>
        <v>0.10755605200000007</v>
      </c>
      <c r="Y1931">
        <f t="shared" si="123"/>
        <v>5.7999999999999972</v>
      </c>
      <c r="Z1931" s="1">
        <v>11</v>
      </c>
      <c r="AA1931">
        <v>89</v>
      </c>
      <c r="AB1931">
        <v>0.1236</v>
      </c>
      <c r="AC1931">
        <v>12</v>
      </c>
      <c r="AD1931">
        <v>88</v>
      </c>
      <c r="AE1931">
        <v>0.13639999999999999</v>
      </c>
      <c r="AF1931" t="s">
        <v>2589</v>
      </c>
      <c r="AG1931" t="s">
        <v>2589</v>
      </c>
    </row>
    <row r="1932" spans="1:33">
      <c r="A1932" s="2" t="s">
        <v>73</v>
      </c>
      <c r="B1932" s="2" t="s">
        <v>33</v>
      </c>
      <c r="C1932" s="1">
        <v>0.55697925299999995</v>
      </c>
      <c r="D1932">
        <v>0.64461978399999997</v>
      </c>
      <c r="E1932">
        <v>0.69570690000000002</v>
      </c>
      <c r="F1932" s="1" t="s">
        <v>74</v>
      </c>
      <c r="G1932" s="1">
        <v>1.23433584</v>
      </c>
      <c r="H1932" s="1">
        <v>44</v>
      </c>
      <c r="I1932" s="1">
        <v>79.8</v>
      </c>
      <c r="J1932" s="1">
        <v>0.63243531233333328</v>
      </c>
      <c r="K1932" s="1">
        <v>0.51347926600000005</v>
      </c>
      <c r="L1932" s="1">
        <v>0.63144379399999995</v>
      </c>
      <c r="M1932" s="3">
        <v>0.64189093500000005</v>
      </c>
      <c r="N1932" s="1" t="s">
        <v>34</v>
      </c>
      <c r="O1932" s="1">
        <v>2.3123667380000001</v>
      </c>
      <c r="P1932" s="1">
        <v>79.099999999999994</v>
      </c>
      <c r="Q1932" s="1">
        <v>93.8</v>
      </c>
      <c r="R1932" s="1">
        <v>0.59560466500000009</v>
      </c>
      <c r="S1932" s="1">
        <v>7.0441562094842008E-2</v>
      </c>
      <c r="T1932" t="s">
        <v>2079</v>
      </c>
      <c r="U1932" s="1">
        <v>2377</v>
      </c>
      <c r="V1932">
        <f t="shared" si="120"/>
        <v>0.37511435352535338</v>
      </c>
      <c r="W1932" s="1">
        <f t="shared" si="121"/>
        <v>35.099999999999994</v>
      </c>
      <c r="X1932">
        <f t="shared" si="122"/>
        <v>1.0780308980000002</v>
      </c>
      <c r="Y1932">
        <f t="shared" si="123"/>
        <v>14</v>
      </c>
      <c r="Z1932" s="1">
        <v>10</v>
      </c>
      <c r="AA1932">
        <v>90</v>
      </c>
      <c r="AB1932">
        <v>0.1111</v>
      </c>
      <c r="AC1932">
        <v>12</v>
      </c>
      <c r="AD1932">
        <v>82</v>
      </c>
      <c r="AE1932">
        <v>0.14630000000000001</v>
      </c>
      <c r="AF1932" t="s">
        <v>2589</v>
      </c>
      <c r="AG1932" t="s">
        <v>2590</v>
      </c>
    </row>
    <row r="1933" spans="1:33">
      <c r="A1933" s="2" t="s">
        <v>73</v>
      </c>
      <c r="B1933" s="2" t="s">
        <v>35</v>
      </c>
      <c r="C1933" s="1">
        <v>0.55697925299999995</v>
      </c>
      <c r="D1933">
        <v>0.64461978399999997</v>
      </c>
      <c r="E1933">
        <v>0.69570690000000002</v>
      </c>
      <c r="F1933" s="1" t="s">
        <v>74</v>
      </c>
      <c r="G1933" s="1">
        <v>1.23433584</v>
      </c>
      <c r="H1933" s="1">
        <v>44</v>
      </c>
      <c r="I1933" s="1">
        <v>79.8</v>
      </c>
      <c r="J1933" s="1">
        <v>0.63243531233333328</v>
      </c>
      <c r="K1933" s="1">
        <v>0.52542897600000005</v>
      </c>
      <c r="L1933" s="1">
        <v>0.60774736299999998</v>
      </c>
      <c r="M1933" s="3">
        <v>0.62585751700000003</v>
      </c>
      <c r="N1933" s="1" t="s">
        <v>36</v>
      </c>
      <c r="O1933" s="1">
        <v>0.98848810399999998</v>
      </c>
      <c r="P1933" s="1">
        <v>54.2</v>
      </c>
      <c r="Q1933" s="1">
        <v>130.30000000000001</v>
      </c>
      <c r="R1933" s="1">
        <v>0.58634461866666665</v>
      </c>
      <c r="S1933" s="1">
        <v>8.5052523270380695E-2</v>
      </c>
      <c r="T1933" t="s">
        <v>2080</v>
      </c>
      <c r="U1933" s="1">
        <v>31147</v>
      </c>
      <c r="V1933">
        <f t="shared" si="120"/>
        <v>0.49926846920745926</v>
      </c>
      <c r="W1933" s="1">
        <f t="shared" si="121"/>
        <v>10.200000000000003</v>
      </c>
      <c r="X1933">
        <f t="shared" si="122"/>
        <v>0.24584773599999998</v>
      </c>
      <c r="Y1933">
        <f t="shared" si="123"/>
        <v>50.500000000000014</v>
      </c>
      <c r="Z1933" s="1">
        <v>12</v>
      </c>
      <c r="AA1933">
        <v>88</v>
      </c>
      <c r="AB1933">
        <v>0.13639999999999999</v>
      </c>
      <c r="AC1933">
        <v>13</v>
      </c>
      <c r="AD1933">
        <v>80</v>
      </c>
      <c r="AE1933">
        <v>0.16250000000000001</v>
      </c>
      <c r="AF1933" t="s">
        <v>2589</v>
      </c>
      <c r="AG1933" t="s">
        <v>2589</v>
      </c>
    </row>
    <row r="1934" spans="1:33">
      <c r="A1934" s="2" t="s">
        <v>73</v>
      </c>
      <c r="B1934" s="2" t="s">
        <v>37</v>
      </c>
      <c r="C1934" s="1">
        <v>0.55697925299999995</v>
      </c>
      <c r="D1934">
        <v>0.64461978399999997</v>
      </c>
      <c r="E1934">
        <v>0.69570690000000002</v>
      </c>
      <c r="F1934" s="1" t="s">
        <v>74</v>
      </c>
      <c r="G1934" s="1">
        <v>1.23433584</v>
      </c>
      <c r="H1934" s="1">
        <v>44</v>
      </c>
      <c r="I1934" s="1">
        <v>79.8</v>
      </c>
      <c r="J1934" s="1">
        <v>0.63243531233333328</v>
      </c>
      <c r="K1934" s="1">
        <v>0.50856695500000004</v>
      </c>
      <c r="L1934" s="1">
        <v>0.654733224</v>
      </c>
      <c r="M1934" s="3">
        <v>0.61418267199999999</v>
      </c>
      <c r="N1934" s="1" t="s">
        <v>38</v>
      </c>
      <c r="O1934" s="1">
        <v>0.64065708399999999</v>
      </c>
      <c r="P1934" s="1">
        <v>41.9</v>
      </c>
      <c r="Q1934" s="1">
        <v>146.1</v>
      </c>
      <c r="R1934" s="1">
        <v>0.59249428366666679</v>
      </c>
      <c r="S1934" s="1">
        <v>9.5353196156554632E-2</v>
      </c>
      <c r="T1934" t="s">
        <v>2081</v>
      </c>
      <c r="U1934" s="1">
        <v>1107</v>
      </c>
      <c r="V1934">
        <f t="shared" si="120"/>
        <v>0.33823862454208031</v>
      </c>
      <c r="W1934" s="1">
        <f t="shared" si="121"/>
        <v>2.1000000000000014</v>
      </c>
      <c r="X1934">
        <f t="shared" si="122"/>
        <v>0.59367875599999997</v>
      </c>
      <c r="Y1934">
        <f t="shared" si="123"/>
        <v>66.3</v>
      </c>
      <c r="Z1934" s="1">
        <v>10</v>
      </c>
      <c r="AA1934">
        <v>90</v>
      </c>
      <c r="AB1934">
        <v>0.1111</v>
      </c>
      <c r="AC1934">
        <v>12</v>
      </c>
      <c r="AD1934">
        <v>80</v>
      </c>
      <c r="AE1934">
        <v>0.15</v>
      </c>
      <c r="AF1934" t="s">
        <v>2589</v>
      </c>
      <c r="AG1934" t="s">
        <v>2590</v>
      </c>
    </row>
    <row r="1935" spans="1:33">
      <c r="A1935" s="2" t="s">
        <v>73</v>
      </c>
      <c r="B1935" s="2" t="s">
        <v>39</v>
      </c>
      <c r="C1935" s="1">
        <v>0.55697925299999995</v>
      </c>
      <c r="D1935">
        <v>0.64461978399999997</v>
      </c>
      <c r="E1935">
        <v>0.69570690000000002</v>
      </c>
      <c r="F1935" s="1" t="s">
        <v>74</v>
      </c>
      <c r="G1935" s="1">
        <v>1.23433584</v>
      </c>
      <c r="H1935" s="1">
        <v>44</v>
      </c>
      <c r="I1935" s="1">
        <v>79.8</v>
      </c>
      <c r="J1935" s="1">
        <v>0.63243531233333328</v>
      </c>
      <c r="K1935" s="1">
        <v>0.60811616199999996</v>
      </c>
      <c r="L1935" s="1">
        <v>0.721105683</v>
      </c>
      <c r="M1935" s="3">
        <v>0.741016169</v>
      </c>
      <c r="N1935" s="1" t="s">
        <v>40</v>
      </c>
      <c r="O1935" s="1">
        <v>1.0601915180000001</v>
      </c>
      <c r="P1935" s="1">
        <v>34</v>
      </c>
      <c r="Q1935" s="1">
        <v>73.099999999999994</v>
      </c>
      <c r="R1935" s="1">
        <v>0.69007933799999999</v>
      </c>
      <c r="S1935" s="1">
        <v>0.10255733062646886</v>
      </c>
      <c r="T1935" t="s">
        <v>2082</v>
      </c>
      <c r="U1935" s="1">
        <v>3646</v>
      </c>
      <c r="V1935">
        <f t="shared" si="120"/>
        <v>0.39575740714655083</v>
      </c>
      <c r="W1935" s="1">
        <f t="shared" si="121"/>
        <v>10</v>
      </c>
      <c r="X1935">
        <f t="shared" si="122"/>
        <v>0.17414432199999985</v>
      </c>
      <c r="Y1935">
        <f t="shared" si="123"/>
        <v>6.7000000000000028</v>
      </c>
      <c r="Z1935" s="1">
        <v>5</v>
      </c>
      <c r="AA1935">
        <v>95</v>
      </c>
      <c r="AB1935">
        <v>5.2600000000000001E-2</v>
      </c>
      <c r="AC1935">
        <v>8</v>
      </c>
      <c r="AD1935">
        <v>87</v>
      </c>
      <c r="AE1935">
        <v>9.1999999999999998E-2</v>
      </c>
      <c r="AF1935" t="s">
        <v>2589</v>
      </c>
      <c r="AG1935" t="s">
        <v>2589</v>
      </c>
    </row>
    <row r="1936" spans="1:33">
      <c r="A1936" s="2" t="s">
        <v>73</v>
      </c>
      <c r="B1936" s="2" t="s">
        <v>41</v>
      </c>
      <c r="C1936" s="1">
        <v>0.55697925299999995</v>
      </c>
      <c r="D1936">
        <v>0.64461978399999997</v>
      </c>
      <c r="E1936">
        <v>0.69570690000000002</v>
      </c>
      <c r="F1936" s="1" t="s">
        <v>74</v>
      </c>
      <c r="G1936" s="1">
        <v>1.23433584</v>
      </c>
      <c r="H1936" s="1">
        <v>44</v>
      </c>
      <c r="I1936" s="1">
        <v>79.8</v>
      </c>
      <c r="J1936" s="1">
        <v>0.63243531233333328</v>
      </c>
      <c r="K1936" s="1">
        <v>0.60402244999999999</v>
      </c>
      <c r="L1936" s="1">
        <v>0.669189213</v>
      </c>
      <c r="M1936" s="3">
        <v>0.69821693799999995</v>
      </c>
      <c r="N1936" s="1" t="s">
        <v>42</v>
      </c>
      <c r="O1936" s="1">
        <v>1.3243902439999999</v>
      </c>
      <c r="P1936" s="1">
        <v>23</v>
      </c>
      <c r="Q1936" s="1">
        <v>41</v>
      </c>
      <c r="R1936" s="1">
        <v>0.65714286700000002</v>
      </c>
      <c r="S1936" s="1">
        <v>5.3132094972138062E-2</v>
      </c>
      <c r="T1936" t="s">
        <v>2083</v>
      </c>
      <c r="U1936" s="1">
        <v>268</v>
      </c>
      <c r="V1936">
        <f t="shared" si="120"/>
        <v>0.26979275489208765</v>
      </c>
      <c r="W1936" s="1">
        <f t="shared" si="121"/>
        <v>21</v>
      </c>
      <c r="X1936">
        <f t="shared" si="122"/>
        <v>9.0054403999999977E-2</v>
      </c>
      <c r="Y1936">
        <f t="shared" si="123"/>
        <v>38.799999999999997</v>
      </c>
      <c r="Z1936" s="1">
        <v>0</v>
      </c>
      <c r="AA1936">
        <v>100</v>
      </c>
      <c r="AB1936">
        <v>0</v>
      </c>
      <c r="AC1936">
        <v>0</v>
      </c>
      <c r="AD1936">
        <v>109</v>
      </c>
      <c r="AE1936">
        <v>0</v>
      </c>
      <c r="AF1936" t="s">
        <v>2589</v>
      </c>
      <c r="AG1936" t="s">
        <v>2591</v>
      </c>
    </row>
    <row r="1937" spans="1:33">
      <c r="A1937" s="2" t="s">
        <v>73</v>
      </c>
      <c r="B1937" s="2" t="s">
        <v>43</v>
      </c>
      <c r="C1937" s="1">
        <v>0.55697925299999995</v>
      </c>
      <c r="D1937">
        <v>0.64461978399999997</v>
      </c>
      <c r="E1937">
        <v>0.69570690000000002</v>
      </c>
      <c r="F1937" s="1" t="s">
        <v>74</v>
      </c>
      <c r="G1937" s="1">
        <v>1.23433584</v>
      </c>
      <c r="H1937" s="1">
        <v>44</v>
      </c>
      <c r="I1937" s="1">
        <v>79.8</v>
      </c>
      <c r="J1937" s="1">
        <v>0.63243531233333328</v>
      </c>
      <c r="K1937" s="1">
        <v>0.54180634699999997</v>
      </c>
      <c r="L1937" s="1">
        <v>0.59470779900000004</v>
      </c>
      <c r="M1937" s="3">
        <v>0.69518155599999998</v>
      </c>
      <c r="N1937" s="1" t="s">
        <v>44</v>
      </c>
      <c r="O1937" s="1">
        <v>1.7403685090000001</v>
      </c>
      <c r="P1937" s="1">
        <v>41.2</v>
      </c>
      <c r="Q1937" s="1">
        <v>59.7</v>
      </c>
      <c r="R1937" s="1">
        <v>0.61056523400000007</v>
      </c>
      <c r="S1937" s="1">
        <v>5.2169908083524459E-2</v>
      </c>
      <c r="T1937" t="s">
        <v>2084</v>
      </c>
      <c r="U1937" s="1">
        <v>6591</v>
      </c>
      <c r="V1937">
        <f t="shared" si="120"/>
        <v>0.42432792351557475</v>
      </c>
      <c r="W1937" s="1">
        <f t="shared" si="121"/>
        <v>2.7999999999999972</v>
      </c>
      <c r="X1937">
        <f t="shared" si="122"/>
        <v>0.5060326690000001</v>
      </c>
      <c r="Y1937">
        <f t="shared" si="123"/>
        <v>20.099999999999994</v>
      </c>
      <c r="Z1937" s="1">
        <v>8</v>
      </c>
      <c r="AA1937">
        <v>92</v>
      </c>
      <c r="AB1937">
        <v>8.6999999999999994E-2</v>
      </c>
      <c r="AC1937">
        <v>11</v>
      </c>
      <c r="AD1937">
        <v>120</v>
      </c>
      <c r="AE1937">
        <v>9.1700000000000004E-2</v>
      </c>
      <c r="AF1937" t="s">
        <v>2589</v>
      </c>
      <c r="AG1937" t="s">
        <v>2589</v>
      </c>
    </row>
    <row r="1938" spans="1:33">
      <c r="A1938" s="2" t="s">
        <v>73</v>
      </c>
      <c r="B1938" s="2" t="s">
        <v>45</v>
      </c>
      <c r="C1938" s="1">
        <v>0.55697925299999995</v>
      </c>
      <c r="D1938">
        <v>0.64461978399999997</v>
      </c>
      <c r="E1938">
        <v>0.69570690000000002</v>
      </c>
      <c r="F1938" s="1" t="s">
        <v>74</v>
      </c>
      <c r="G1938" s="1">
        <v>1.23433584</v>
      </c>
      <c r="H1938" s="1">
        <v>44</v>
      </c>
      <c r="I1938" s="1">
        <v>79.8</v>
      </c>
      <c r="J1938" s="1">
        <v>0.63243531233333328</v>
      </c>
      <c r="K1938" s="1">
        <v>0.50907007599999998</v>
      </c>
      <c r="L1938" s="1">
        <v>0.68428041399999995</v>
      </c>
      <c r="M1938" s="3">
        <v>0.67454742099999998</v>
      </c>
      <c r="N1938" s="1" t="s">
        <v>46</v>
      </c>
      <c r="O1938" s="1">
        <v>0.98140043799999999</v>
      </c>
      <c r="P1938" s="1">
        <v>38.9</v>
      </c>
      <c r="Q1938" s="1">
        <v>91.4</v>
      </c>
      <c r="R1938" s="1">
        <v>0.62263263699999993</v>
      </c>
      <c r="S1938" s="1">
        <v>6.5696106158323164E-2</v>
      </c>
      <c r="T1938" t="s">
        <v>2085</v>
      </c>
      <c r="U1938" s="1">
        <v>12407</v>
      </c>
      <c r="V1938">
        <f t="shared" si="120"/>
        <v>0.45485186469198918</v>
      </c>
      <c r="W1938" s="1">
        <f t="shared" si="121"/>
        <v>5.1000000000000014</v>
      </c>
      <c r="X1938">
        <f t="shared" si="122"/>
        <v>0.25293540199999998</v>
      </c>
      <c r="Y1938">
        <f t="shared" si="123"/>
        <v>11.600000000000009</v>
      </c>
      <c r="Z1938" s="1">
        <v>14</v>
      </c>
      <c r="AA1938">
        <v>86</v>
      </c>
      <c r="AB1938">
        <v>0.1628</v>
      </c>
      <c r="AC1938">
        <v>16</v>
      </c>
      <c r="AD1938">
        <v>95</v>
      </c>
      <c r="AE1938">
        <v>0.16839999999999999</v>
      </c>
      <c r="AF1938" t="s">
        <v>2589</v>
      </c>
      <c r="AG1938" t="s">
        <v>2589</v>
      </c>
    </row>
    <row r="1939" spans="1:33">
      <c r="A1939" s="2" t="s">
        <v>73</v>
      </c>
      <c r="B1939" s="2" t="s">
        <v>47</v>
      </c>
      <c r="C1939" s="1">
        <v>0.55697925299999995</v>
      </c>
      <c r="D1939">
        <v>0.64461978399999997</v>
      </c>
      <c r="E1939">
        <v>0.69570690000000002</v>
      </c>
      <c r="F1939" s="1" t="s">
        <v>74</v>
      </c>
      <c r="G1939" s="1">
        <v>1.23433584</v>
      </c>
      <c r="H1939" s="1">
        <v>44</v>
      </c>
      <c r="I1939" s="1">
        <v>79.8</v>
      </c>
      <c r="J1939" s="1">
        <v>0.63243531233333328</v>
      </c>
      <c r="K1939" s="1">
        <v>0.50612154099999995</v>
      </c>
      <c r="L1939" s="1">
        <v>0.55940039100000005</v>
      </c>
      <c r="M1939" s="3">
        <v>0.66789001699999995</v>
      </c>
      <c r="N1939" s="1" t="s">
        <v>48</v>
      </c>
      <c r="O1939" s="1">
        <v>1.242622951</v>
      </c>
      <c r="P1939" s="1">
        <v>17.8</v>
      </c>
      <c r="Q1939" s="1">
        <v>30.5</v>
      </c>
      <c r="R1939" s="1">
        <v>0.57780398300000002</v>
      </c>
      <c r="S1939" s="1">
        <v>0.10306614765770122</v>
      </c>
      <c r="T1939" t="s">
        <v>2086</v>
      </c>
      <c r="U1939" s="1">
        <v>1337</v>
      </c>
      <c r="V1939">
        <f t="shared" si="120"/>
        <v>0.34734793414022053</v>
      </c>
      <c r="W1939" s="1">
        <f t="shared" si="121"/>
        <v>26.2</v>
      </c>
      <c r="X1939">
        <f t="shared" si="122"/>
        <v>8.2871110000000137E-3</v>
      </c>
      <c r="Y1939">
        <f t="shared" si="123"/>
        <v>49.3</v>
      </c>
      <c r="Z1939" s="1">
        <v>1</v>
      </c>
      <c r="AA1939">
        <v>99</v>
      </c>
      <c r="AB1939">
        <v>1.01E-2</v>
      </c>
      <c r="AC1939">
        <v>2</v>
      </c>
      <c r="AD1939">
        <v>116</v>
      </c>
      <c r="AE1939">
        <v>1.72E-2</v>
      </c>
      <c r="AF1939" t="s">
        <v>2589</v>
      </c>
      <c r="AG1939" t="s">
        <v>2590</v>
      </c>
    </row>
    <row r="1940" spans="1:33">
      <c r="A1940" s="2" t="s">
        <v>73</v>
      </c>
      <c r="B1940" s="2" t="s">
        <v>49</v>
      </c>
      <c r="C1940" s="1">
        <v>0.55697925299999995</v>
      </c>
      <c r="D1940">
        <v>0.64461978399999997</v>
      </c>
      <c r="E1940">
        <v>0.69570690000000002</v>
      </c>
      <c r="F1940" s="1" t="s">
        <v>74</v>
      </c>
      <c r="G1940" s="1">
        <v>1.23433584</v>
      </c>
      <c r="H1940" s="1">
        <v>44</v>
      </c>
      <c r="I1940" s="1">
        <v>79.8</v>
      </c>
      <c r="J1940" s="1">
        <v>0.63243531233333328</v>
      </c>
      <c r="K1940" s="1">
        <v>0.50647110500000003</v>
      </c>
      <c r="L1940" s="1">
        <v>0.55713136799999996</v>
      </c>
      <c r="M1940" s="3">
        <v>0.63402682300000002</v>
      </c>
      <c r="N1940" s="1" t="s">
        <v>50</v>
      </c>
      <c r="O1940" s="1">
        <v>1.876675603</v>
      </c>
      <c r="P1940" s="1">
        <v>28.8</v>
      </c>
      <c r="Q1940" s="1">
        <v>37.299999999999997</v>
      </c>
      <c r="R1940" s="1">
        <v>0.56587643200000004</v>
      </c>
      <c r="S1940" s="1">
        <v>0.11836269618129221</v>
      </c>
      <c r="T1940" t="s">
        <v>2087</v>
      </c>
      <c r="U1940" s="1">
        <v>671</v>
      </c>
      <c r="V1940">
        <f t="shared" si="120"/>
        <v>0.31408028001877691</v>
      </c>
      <c r="W1940" s="1">
        <f t="shared" si="121"/>
        <v>15.2</v>
      </c>
      <c r="X1940">
        <f t="shared" si="122"/>
        <v>0.64233976300000006</v>
      </c>
      <c r="Y1940">
        <f t="shared" si="123"/>
        <v>42.5</v>
      </c>
      <c r="Z1940" s="1">
        <v>3</v>
      </c>
      <c r="AA1940">
        <v>97</v>
      </c>
      <c r="AB1940">
        <v>3.09E-2</v>
      </c>
      <c r="AC1940">
        <v>4</v>
      </c>
      <c r="AD1940">
        <v>88</v>
      </c>
      <c r="AE1940">
        <v>4.5499999999999999E-2</v>
      </c>
      <c r="AF1940" t="s">
        <v>2589</v>
      </c>
      <c r="AG1940" t="s">
        <v>2590</v>
      </c>
    </row>
    <row r="1941" spans="1:33">
      <c r="A1941" s="2" t="s">
        <v>73</v>
      </c>
      <c r="B1941" s="2" t="s">
        <v>51</v>
      </c>
      <c r="C1941" s="1">
        <v>0.55697925299999995</v>
      </c>
      <c r="D1941">
        <v>0.64461978399999997</v>
      </c>
      <c r="E1941">
        <v>0.69570690000000002</v>
      </c>
      <c r="F1941" s="1" t="s">
        <v>74</v>
      </c>
      <c r="G1941" s="1">
        <v>1.23433584</v>
      </c>
      <c r="H1941" s="1">
        <v>44</v>
      </c>
      <c r="I1941" s="1">
        <v>79.8</v>
      </c>
      <c r="J1941" s="1">
        <v>0.63243531233333328</v>
      </c>
      <c r="K1941" s="1">
        <v>0.60067161999999996</v>
      </c>
      <c r="L1941" s="1">
        <v>0.68094129999999997</v>
      </c>
      <c r="M1941" s="3">
        <v>0.73595931299999995</v>
      </c>
      <c r="N1941" s="1" t="s">
        <v>52</v>
      </c>
      <c r="O1941" s="1">
        <v>1.858638743</v>
      </c>
      <c r="P1941" s="1">
        <v>29.4</v>
      </c>
      <c r="Q1941" s="1">
        <v>38.200000000000003</v>
      </c>
      <c r="R1941" s="1">
        <v>0.67252407766666666</v>
      </c>
      <c r="S1941" s="1">
        <v>6.963140247706856E-2</v>
      </c>
      <c r="T1941" t="s">
        <v>2088</v>
      </c>
      <c r="U1941" s="1">
        <v>240</v>
      </c>
      <c r="V1941">
        <f t="shared" si="120"/>
        <v>0.26446791574573397</v>
      </c>
      <c r="W1941" s="1">
        <f t="shared" si="121"/>
        <v>14.600000000000001</v>
      </c>
      <c r="X1941">
        <f t="shared" si="122"/>
        <v>0.62430290300000002</v>
      </c>
      <c r="Y1941">
        <f t="shared" si="123"/>
        <v>41.599999999999994</v>
      </c>
      <c r="Z1941" s="1">
        <v>3</v>
      </c>
      <c r="AA1941">
        <v>97</v>
      </c>
      <c r="AB1941">
        <v>3.09E-2</v>
      </c>
      <c r="AC1941">
        <v>4</v>
      </c>
      <c r="AD1941">
        <v>97</v>
      </c>
      <c r="AE1941">
        <v>4.1200000000000001E-2</v>
      </c>
      <c r="AF1941" t="s">
        <v>2589</v>
      </c>
      <c r="AG1941" t="s">
        <v>2591</v>
      </c>
    </row>
    <row r="1942" spans="1:33">
      <c r="A1942" s="2" t="s">
        <v>73</v>
      </c>
      <c r="B1942" s="2" t="s">
        <v>53</v>
      </c>
      <c r="C1942" s="1">
        <v>0.55697925299999995</v>
      </c>
      <c r="D1942">
        <v>0.64461978399999997</v>
      </c>
      <c r="E1942">
        <v>0.69570690000000002</v>
      </c>
      <c r="F1942" s="1" t="s">
        <v>74</v>
      </c>
      <c r="G1942" s="1">
        <v>1.23433584</v>
      </c>
      <c r="H1942" s="1">
        <v>44</v>
      </c>
      <c r="I1942" s="1">
        <v>79.8</v>
      </c>
      <c r="J1942" s="1">
        <v>0.63243531233333328</v>
      </c>
      <c r="K1942" s="1">
        <v>0.54695832700000002</v>
      </c>
      <c r="L1942" s="1">
        <v>0.659790137</v>
      </c>
      <c r="M1942" s="3">
        <v>0.70662085500000005</v>
      </c>
      <c r="N1942" s="1" t="s">
        <v>54</v>
      </c>
      <c r="O1942" s="1">
        <v>2.5053995680000001</v>
      </c>
      <c r="P1942" s="1">
        <v>43.9</v>
      </c>
      <c r="Q1942" s="1">
        <v>46.3</v>
      </c>
      <c r="R1942" s="1">
        <v>0.63778977300000006</v>
      </c>
      <c r="S1942" s="1">
        <v>2.1205494141474518E-2</v>
      </c>
      <c r="T1942" t="s">
        <v>2089</v>
      </c>
      <c r="U1942" s="1">
        <v>441</v>
      </c>
      <c r="V1942">
        <f t="shared" si="120"/>
        <v>0.29382650994087095</v>
      </c>
      <c r="W1942" s="1">
        <f t="shared" si="121"/>
        <v>0.10000000000000142</v>
      </c>
      <c r="X1942">
        <f t="shared" si="122"/>
        <v>1.2710637280000001</v>
      </c>
      <c r="Y1942">
        <f t="shared" si="123"/>
        <v>33.5</v>
      </c>
      <c r="Z1942" s="1">
        <v>1</v>
      </c>
      <c r="AA1942">
        <v>99</v>
      </c>
      <c r="AB1942">
        <v>1.01E-2</v>
      </c>
      <c r="AC1942">
        <v>2</v>
      </c>
      <c r="AD1942">
        <v>99</v>
      </c>
      <c r="AE1942">
        <v>2.0199999999999999E-2</v>
      </c>
      <c r="AF1942" t="s">
        <v>2589</v>
      </c>
      <c r="AG1942" t="s">
        <v>2593</v>
      </c>
    </row>
    <row r="1943" spans="1:33">
      <c r="A1943" s="2" t="s">
        <v>73</v>
      </c>
      <c r="B1943" s="2" t="s">
        <v>55</v>
      </c>
      <c r="C1943" s="1">
        <v>0.55697925299999995</v>
      </c>
      <c r="D1943">
        <v>0.64461978399999997</v>
      </c>
      <c r="E1943">
        <v>0.69570690000000002</v>
      </c>
      <c r="F1943" s="1" t="s">
        <v>74</v>
      </c>
      <c r="G1943" s="1">
        <v>1.23433584</v>
      </c>
      <c r="H1943" s="1">
        <v>44</v>
      </c>
      <c r="I1943" s="1">
        <v>79.8</v>
      </c>
      <c r="J1943" s="1">
        <v>0.63243531233333328</v>
      </c>
      <c r="K1943" s="1">
        <v>0.52971861799999997</v>
      </c>
      <c r="L1943" s="1">
        <v>0.62258244500000004</v>
      </c>
      <c r="M1943" s="3">
        <v>0.63939760400000001</v>
      </c>
      <c r="N1943" s="1" t="s">
        <v>56</v>
      </c>
      <c r="O1943" s="1">
        <v>1.0796934869999999</v>
      </c>
      <c r="P1943" s="1">
        <v>55.3</v>
      </c>
      <c r="Q1943" s="1">
        <v>130.5</v>
      </c>
      <c r="R1943" s="1">
        <v>0.59723288899999993</v>
      </c>
      <c r="S1943" s="1">
        <v>6.6328902801265743E-2</v>
      </c>
      <c r="T1943" t="s">
        <v>2090</v>
      </c>
      <c r="U1943" s="1">
        <v>3145</v>
      </c>
      <c r="V1943">
        <f t="shared" si="120"/>
        <v>0.3886245166423653</v>
      </c>
      <c r="W1943" s="1">
        <f t="shared" si="121"/>
        <v>11.299999999999997</v>
      </c>
      <c r="X1943">
        <f t="shared" si="122"/>
        <v>0.15464235300000007</v>
      </c>
      <c r="Y1943">
        <f t="shared" si="123"/>
        <v>50.7</v>
      </c>
      <c r="Z1943" s="1">
        <v>16</v>
      </c>
      <c r="AA1943">
        <v>84</v>
      </c>
      <c r="AB1943">
        <v>0.1905</v>
      </c>
      <c r="AC1943">
        <v>18</v>
      </c>
      <c r="AD1943">
        <v>75</v>
      </c>
      <c r="AE1943">
        <v>0.24</v>
      </c>
      <c r="AF1943" t="s">
        <v>2589</v>
      </c>
      <c r="AG1943" t="s">
        <v>2592</v>
      </c>
    </row>
    <row r="1944" spans="1:33">
      <c r="A1944" s="2" t="s">
        <v>73</v>
      </c>
      <c r="B1944" s="2" t="s">
        <v>57</v>
      </c>
      <c r="C1944" s="1">
        <v>0.55697925299999995</v>
      </c>
      <c r="D1944">
        <v>0.64461978399999997</v>
      </c>
      <c r="E1944">
        <v>0.69570690000000002</v>
      </c>
      <c r="F1944" s="1" t="s">
        <v>74</v>
      </c>
      <c r="G1944" s="1">
        <v>1.23433584</v>
      </c>
      <c r="H1944" s="1">
        <v>44</v>
      </c>
      <c r="I1944" s="1">
        <v>79.8</v>
      </c>
      <c r="J1944" s="1">
        <v>0.63243531233333328</v>
      </c>
      <c r="K1944" s="1">
        <v>0.528732855</v>
      </c>
      <c r="L1944" s="1">
        <v>0.63387497599999998</v>
      </c>
      <c r="M1944" s="3">
        <v>0.63337360200000004</v>
      </c>
      <c r="N1944" s="1" t="s">
        <v>58</v>
      </c>
      <c r="O1944" s="1">
        <v>1.386610879</v>
      </c>
      <c r="P1944" s="1">
        <v>69</v>
      </c>
      <c r="Q1944" s="1">
        <v>119.5</v>
      </c>
      <c r="R1944" s="1">
        <v>0.59866047766666663</v>
      </c>
      <c r="S1944" s="1">
        <v>6.9273010173429503E-2</v>
      </c>
      <c r="T1944" t="s">
        <v>2091</v>
      </c>
      <c r="U1944" s="1">
        <v>133730</v>
      </c>
      <c r="V1944">
        <f t="shared" si="120"/>
        <v>0.56958098273404711</v>
      </c>
      <c r="W1944" s="1">
        <f t="shared" si="121"/>
        <v>25</v>
      </c>
      <c r="X1944">
        <f t="shared" si="122"/>
        <v>0.15227503900000006</v>
      </c>
      <c r="Y1944">
        <f t="shared" si="123"/>
        <v>39.700000000000003</v>
      </c>
      <c r="Z1944" s="1">
        <v>15</v>
      </c>
      <c r="AA1944">
        <v>85</v>
      </c>
      <c r="AB1944">
        <v>0.17649999999999999</v>
      </c>
      <c r="AC1944">
        <v>15</v>
      </c>
      <c r="AD1944">
        <v>84</v>
      </c>
      <c r="AE1944">
        <v>0.17860000000000001</v>
      </c>
      <c r="AF1944" t="s">
        <v>2589</v>
      </c>
      <c r="AG1944" t="s">
        <v>2589</v>
      </c>
    </row>
    <row r="1945" spans="1:33">
      <c r="A1945" s="2" t="s">
        <v>73</v>
      </c>
      <c r="B1945" s="2" t="s">
        <v>59</v>
      </c>
      <c r="C1945" s="1">
        <v>0.55697925299999995</v>
      </c>
      <c r="D1945">
        <v>0.64461978399999997</v>
      </c>
      <c r="E1945">
        <v>0.69570690000000002</v>
      </c>
      <c r="F1945" s="1" t="s">
        <v>74</v>
      </c>
      <c r="G1945" s="1">
        <v>1.23433584</v>
      </c>
      <c r="H1945" s="1">
        <v>44</v>
      </c>
      <c r="I1945" s="1">
        <v>79.8</v>
      </c>
      <c r="J1945" s="1">
        <v>0.63243531233333328</v>
      </c>
      <c r="K1945" s="1">
        <v>0.56225432799999997</v>
      </c>
      <c r="L1945" s="1">
        <v>0.68100706499999997</v>
      </c>
      <c r="M1945" s="3">
        <v>0.67505263699999996</v>
      </c>
      <c r="N1945" s="1" t="s">
        <v>60</v>
      </c>
      <c r="O1945" s="1">
        <v>1.1501154730000001</v>
      </c>
      <c r="P1945" s="1">
        <v>60.5</v>
      </c>
      <c r="Q1945" s="1">
        <v>129.9</v>
      </c>
      <c r="R1945" s="1">
        <v>0.63943801</v>
      </c>
      <c r="S1945" s="1">
        <v>4.2171782211589744E-2</v>
      </c>
      <c r="T1945" t="s">
        <v>2092</v>
      </c>
      <c r="U1945" s="1">
        <v>23404</v>
      </c>
      <c r="V1945">
        <f t="shared" si="120"/>
        <v>0.48547667660429789</v>
      </c>
      <c r="W1945" s="1">
        <f t="shared" si="121"/>
        <v>16.5</v>
      </c>
      <c r="X1945">
        <f t="shared" si="122"/>
        <v>8.4220366999999907E-2</v>
      </c>
      <c r="Y1945">
        <f t="shared" si="123"/>
        <v>50.100000000000009</v>
      </c>
      <c r="Z1945" s="1">
        <v>12</v>
      </c>
      <c r="AA1945">
        <v>88</v>
      </c>
      <c r="AB1945">
        <v>0.13639999999999999</v>
      </c>
      <c r="AC1945">
        <v>13</v>
      </c>
      <c r="AD1945">
        <v>105</v>
      </c>
      <c r="AE1945">
        <v>0.12379999999999999</v>
      </c>
      <c r="AF1945" t="s">
        <v>2589</v>
      </c>
      <c r="AG1945" t="s">
        <v>2589</v>
      </c>
    </row>
    <row r="1946" spans="1:33">
      <c r="A1946" s="2" t="s">
        <v>73</v>
      </c>
      <c r="B1946" s="2" t="s">
        <v>61</v>
      </c>
      <c r="C1946" s="1">
        <v>0.55697925299999995</v>
      </c>
      <c r="D1946">
        <v>0.64461978399999997</v>
      </c>
      <c r="E1946">
        <v>0.69570690000000002</v>
      </c>
      <c r="F1946" s="1" t="s">
        <v>74</v>
      </c>
      <c r="G1946" s="1">
        <v>1.23433584</v>
      </c>
      <c r="H1946" s="1">
        <v>44</v>
      </c>
      <c r="I1946" s="1">
        <v>79.8</v>
      </c>
      <c r="J1946" s="1">
        <v>0.63243531233333328</v>
      </c>
      <c r="K1946" s="1">
        <v>0.62063455999999995</v>
      </c>
      <c r="L1946" s="1">
        <v>0.67798104299999995</v>
      </c>
      <c r="M1946" s="3">
        <v>0.72175371600000005</v>
      </c>
      <c r="N1946" s="1" t="s">
        <v>62</v>
      </c>
      <c r="O1946" s="1">
        <v>7.5471698109999998</v>
      </c>
      <c r="P1946" s="1">
        <v>26.4</v>
      </c>
      <c r="Q1946" s="1">
        <v>10.6</v>
      </c>
      <c r="R1946" s="1">
        <v>0.6734564396666668</v>
      </c>
      <c r="S1946" s="1">
        <v>7.6442189496816387E-2</v>
      </c>
      <c r="T1946" t="s">
        <v>2093</v>
      </c>
      <c r="U1946" s="1">
        <v>822</v>
      </c>
      <c r="V1946">
        <f t="shared" si="120"/>
        <v>0.32387464639333896</v>
      </c>
      <c r="W1946" s="1">
        <f t="shared" si="121"/>
        <v>17.600000000000001</v>
      </c>
      <c r="X1946">
        <f t="shared" si="122"/>
        <v>6.3128339709999999</v>
      </c>
      <c r="Y1946">
        <f t="shared" si="123"/>
        <v>69.2</v>
      </c>
      <c r="Z1946" s="1">
        <v>0</v>
      </c>
      <c r="AA1946">
        <v>100</v>
      </c>
      <c r="AB1946">
        <v>0</v>
      </c>
      <c r="AC1946">
        <v>0</v>
      </c>
      <c r="AD1946">
        <v>93</v>
      </c>
      <c r="AE1946">
        <v>0</v>
      </c>
      <c r="AF1946" t="s">
        <v>2589</v>
      </c>
      <c r="AG1946" t="s">
        <v>2588</v>
      </c>
    </row>
    <row r="1947" spans="1:33">
      <c r="A1947" s="2" t="s">
        <v>73</v>
      </c>
      <c r="B1947" s="2" t="s">
        <v>63</v>
      </c>
      <c r="C1947" s="1">
        <v>0.55697925299999995</v>
      </c>
      <c r="D1947">
        <v>0.64461978399999997</v>
      </c>
      <c r="E1947">
        <v>0.69570690000000002</v>
      </c>
      <c r="F1947" s="1" t="s">
        <v>74</v>
      </c>
      <c r="G1947" s="1">
        <v>1.23433584</v>
      </c>
      <c r="H1947" s="1">
        <v>44</v>
      </c>
      <c r="I1947" s="1">
        <v>79.8</v>
      </c>
      <c r="J1947" s="1">
        <v>0.63243531233333328</v>
      </c>
      <c r="K1947" s="1">
        <v>0.44311141399999998</v>
      </c>
      <c r="L1947" s="1">
        <v>0.57053969199999999</v>
      </c>
      <c r="M1947" s="3">
        <v>0.59266330599999995</v>
      </c>
      <c r="N1947" s="1" t="s">
        <v>64</v>
      </c>
      <c r="O1947" s="1">
        <v>0.89618138400000003</v>
      </c>
      <c r="P1947" s="1">
        <v>29.7</v>
      </c>
      <c r="Q1947" s="1">
        <v>83.8</v>
      </c>
      <c r="R1947" s="1">
        <v>0.53543813733333334</v>
      </c>
      <c r="S1947" s="1">
        <v>0.1705043314807434</v>
      </c>
      <c r="T1947" t="s">
        <v>2094</v>
      </c>
      <c r="U1947" s="1">
        <v>380</v>
      </c>
      <c r="V1947">
        <f t="shared" si="120"/>
        <v>0.28664262184631223</v>
      </c>
      <c r="W1947" s="1">
        <f t="shared" si="121"/>
        <v>14.3</v>
      </c>
      <c r="X1947">
        <f t="shared" si="122"/>
        <v>0.33815445599999994</v>
      </c>
      <c r="Y1947">
        <f t="shared" si="123"/>
        <v>4</v>
      </c>
      <c r="Z1947" s="1">
        <v>6</v>
      </c>
      <c r="AA1947">
        <v>94</v>
      </c>
      <c r="AB1947">
        <v>6.3799999999999996E-2</v>
      </c>
      <c r="AC1947">
        <v>9</v>
      </c>
      <c r="AD1947">
        <v>91</v>
      </c>
      <c r="AE1947">
        <v>9.8900000000000002E-2</v>
      </c>
      <c r="AF1947" t="s">
        <v>2589</v>
      </c>
      <c r="AG1947" t="s">
        <v>2590</v>
      </c>
    </row>
    <row r="1948" spans="1:33">
      <c r="A1948" s="2" t="s">
        <v>73</v>
      </c>
      <c r="B1948" s="2" t="s">
        <v>65</v>
      </c>
      <c r="C1948" s="1">
        <v>0.55697925299999995</v>
      </c>
      <c r="D1948">
        <v>0.64461978399999997</v>
      </c>
      <c r="E1948">
        <v>0.69570690000000002</v>
      </c>
      <c r="F1948" s="1" t="s">
        <v>74</v>
      </c>
      <c r="G1948" s="1">
        <v>1.23433584</v>
      </c>
      <c r="H1948" s="1">
        <v>44</v>
      </c>
      <c r="I1948" s="1">
        <v>79.8</v>
      </c>
      <c r="J1948" s="1">
        <v>0.63243531233333328</v>
      </c>
      <c r="K1948" s="1">
        <v>0.67377447499999998</v>
      </c>
      <c r="L1948" s="1">
        <v>0.69144672900000004</v>
      </c>
      <c r="M1948" s="3">
        <v>0.73046409700000003</v>
      </c>
      <c r="N1948" s="1" t="s">
        <v>66</v>
      </c>
      <c r="O1948" s="1">
        <v>1.8507462690000001</v>
      </c>
      <c r="P1948" s="1">
        <v>34.5</v>
      </c>
      <c r="Q1948" s="1">
        <v>46.9</v>
      </c>
      <c r="R1948" s="1">
        <v>0.69856176700000006</v>
      </c>
      <c r="S1948" s="1">
        <v>0.13054481760437345</v>
      </c>
      <c r="T1948" t="s">
        <v>2095</v>
      </c>
      <c r="U1948" s="1">
        <v>291</v>
      </c>
      <c r="V1948">
        <f t="shared" si="120"/>
        <v>0.27376588766510079</v>
      </c>
      <c r="W1948" s="1">
        <f t="shared" si="121"/>
        <v>9.5</v>
      </c>
      <c r="X1948">
        <f t="shared" si="122"/>
        <v>0.61641042900000009</v>
      </c>
      <c r="Y1948">
        <f t="shared" si="123"/>
        <v>32.9</v>
      </c>
      <c r="Z1948" s="1">
        <v>0</v>
      </c>
      <c r="AA1948">
        <v>100</v>
      </c>
      <c r="AB1948">
        <v>0</v>
      </c>
      <c r="AC1948">
        <v>0</v>
      </c>
      <c r="AD1948">
        <v>82</v>
      </c>
      <c r="AE1948">
        <v>0</v>
      </c>
      <c r="AF1948" t="s">
        <v>2589</v>
      </c>
      <c r="AG1948" t="s">
        <v>2593</v>
      </c>
    </row>
    <row r="1949" spans="1:33">
      <c r="A1949" s="2" t="s">
        <v>73</v>
      </c>
      <c r="B1949" s="2" t="s">
        <v>67</v>
      </c>
      <c r="C1949" s="1">
        <v>0.55697925299999995</v>
      </c>
      <c r="D1949">
        <v>0.64461978399999997</v>
      </c>
      <c r="E1949">
        <v>0.69570690000000002</v>
      </c>
      <c r="F1949" s="1" t="s">
        <v>74</v>
      </c>
      <c r="G1949" s="1">
        <v>1.23433584</v>
      </c>
      <c r="H1949" s="1">
        <v>44</v>
      </c>
      <c r="I1949" s="1">
        <v>79.8</v>
      </c>
      <c r="J1949" s="1">
        <v>0.63243531233333328</v>
      </c>
      <c r="K1949" s="1">
        <v>0.53971122199999999</v>
      </c>
      <c r="L1949" s="1">
        <v>0.621203065</v>
      </c>
      <c r="M1949" s="3">
        <v>0.67806811499999997</v>
      </c>
      <c r="N1949" s="1" t="s">
        <v>68</v>
      </c>
      <c r="O1949" s="1">
        <v>1.5131894480000001</v>
      </c>
      <c r="P1949" s="1">
        <v>27.2</v>
      </c>
      <c r="Q1949" s="1">
        <v>41.7</v>
      </c>
      <c r="R1949" s="1">
        <v>0.61299413400000002</v>
      </c>
      <c r="S1949" s="1">
        <v>3.4024320119851716E-2</v>
      </c>
      <c r="T1949" t="s">
        <v>2096</v>
      </c>
      <c r="U1949" s="1">
        <v>1524</v>
      </c>
      <c r="V1949">
        <f t="shared" si="120"/>
        <v>0.35366499633373133</v>
      </c>
      <c r="W1949" s="1">
        <f t="shared" si="121"/>
        <v>16.8</v>
      </c>
      <c r="X1949">
        <f t="shared" si="122"/>
        <v>0.27885360800000014</v>
      </c>
      <c r="Y1949">
        <f t="shared" si="123"/>
        <v>38.099999999999994</v>
      </c>
      <c r="Z1949" s="1">
        <v>1</v>
      </c>
      <c r="AA1949">
        <v>99</v>
      </c>
      <c r="AB1949">
        <v>1.01E-2</v>
      </c>
      <c r="AC1949">
        <v>2</v>
      </c>
      <c r="AD1949">
        <v>91</v>
      </c>
      <c r="AE1949">
        <v>2.1999999999999999E-2</v>
      </c>
      <c r="AF1949" t="s">
        <v>2589</v>
      </c>
      <c r="AG1949" t="s">
        <v>2588</v>
      </c>
    </row>
    <row r="1950" spans="1:33">
      <c r="A1950" s="2" t="s">
        <v>73</v>
      </c>
      <c r="B1950" s="2" t="s">
        <v>69</v>
      </c>
      <c r="C1950" s="1">
        <v>0.55697925299999995</v>
      </c>
      <c r="D1950">
        <v>0.64461978399999997</v>
      </c>
      <c r="E1950">
        <v>0.69570690000000002</v>
      </c>
      <c r="F1950" s="1" t="s">
        <v>74</v>
      </c>
      <c r="G1950" s="1">
        <v>1.23433584</v>
      </c>
      <c r="H1950" s="1">
        <v>44</v>
      </c>
      <c r="I1950" s="1">
        <v>79.8</v>
      </c>
      <c r="J1950" s="1">
        <v>0.63243531233333328</v>
      </c>
      <c r="K1950" s="1">
        <v>0.50188385300000005</v>
      </c>
      <c r="L1950" s="1">
        <v>0.64580031500000001</v>
      </c>
      <c r="M1950" s="3">
        <v>0.66006355800000005</v>
      </c>
      <c r="N1950" s="1" t="s">
        <v>70</v>
      </c>
      <c r="O1950" s="1">
        <v>1.2401055409999999</v>
      </c>
      <c r="P1950" s="1">
        <v>43.4</v>
      </c>
      <c r="Q1950" s="1">
        <v>75.8</v>
      </c>
      <c r="R1950" s="1">
        <v>0.60258257533333337</v>
      </c>
      <c r="S1950" s="1">
        <v>6.5630363274409145E-2</v>
      </c>
      <c r="T1950" t="s">
        <v>2097</v>
      </c>
      <c r="U1950" s="1">
        <v>207490</v>
      </c>
      <c r="V1950">
        <f t="shared" si="120"/>
        <v>0.59077746340991244</v>
      </c>
      <c r="W1950" s="1">
        <f t="shared" si="121"/>
        <v>0.60000000000000142</v>
      </c>
      <c r="X1950">
        <f t="shared" si="122"/>
        <v>5.7697009999999604E-3</v>
      </c>
      <c r="Y1950">
        <f t="shared" si="123"/>
        <v>4</v>
      </c>
      <c r="Z1950" s="1">
        <v>23</v>
      </c>
      <c r="AA1950">
        <v>77</v>
      </c>
      <c r="AB1950">
        <v>0.29870000000000002</v>
      </c>
      <c r="AC1950">
        <v>27</v>
      </c>
      <c r="AD1950">
        <v>73</v>
      </c>
      <c r="AE1950">
        <v>0.36990000000000001</v>
      </c>
      <c r="AF1950" t="s">
        <v>2589</v>
      </c>
      <c r="AG1950" t="s">
        <v>2589</v>
      </c>
    </row>
    <row r="1951" spans="1:33">
      <c r="A1951" s="2" t="s">
        <v>73</v>
      </c>
      <c r="B1951" s="2" t="s">
        <v>71</v>
      </c>
      <c r="C1951" s="1">
        <v>0.55697925299999995</v>
      </c>
      <c r="D1951">
        <v>0.64461978399999997</v>
      </c>
      <c r="E1951">
        <v>0.69570690000000002</v>
      </c>
      <c r="F1951" s="1" t="s">
        <v>74</v>
      </c>
      <c r="G1951" s="1">
        <v>1.23433584</v>
      </c>
      <c r="H1951" s="1">
        <v>44</v>
      </c>
      <c r="I1951" s="1">
        <v>79.8</v>
      </c>
      <c r="J1951" s="1">
        <v>0.63243531233333328</v>
      </c>
      <c r="K1951" s="1">
        <v>0.53267569100000001</v>
      </c>
      <c r="L1951" s="1">
        <v>0.64507433599999997</v>
      </c>
      <c r="M1951" s="3">
        <v>0.66598465100000004</v>
      </c>
      <c r="N1951" s="1" t="s">
        <v>72</v>
      </c>
      <c r="O1951" s="1">
        <v>0.97289666900000005</v>
      </c>
      <c r="P1951" s="1">
        <v>64.8</v>
      </c>
      <c r="Q1951" s="1">
        <v>177.1</v>
      </c>
      <c r="R1951" s="1">
        <v>0.61457822600000001</v>
      </c>
      <c r="S1951" s="1">
        <v>3.8396377811279872E-2</v>
      </c>
      <c r="T1951" t="s">
        <v>2098</v>
      </c>
      <c r="U1951" s="1">
        <v>37438</v>
      </c>
      <c r="V1951">
        <f t="shared" si="120"/>
        <v>0.50814584888387182</v>
      </c>
      <c r="W1951" s="1">
        <f t="shared" si="121"/>
        <v>20.799999999999997</v>
      </c>
      <c r="X1951">
        <f t="shared" si="122"/>
        <v>0.26143917099999991</v>
      </c>
      <c r="Y1951">
        <f t="shared" si="123"/>
        <v>97.3</v>
      </c>
      <c r="Z1951" s="1">
        <v>15</v>
      </c>
      <c r="AA1951">
        <v>85</v>
      </c>
      <c r="AB1951">
        <v>0.17649999999999999</v>
      </c>
      <c r="AC1951">
        <v>17</v>
      </c>
      <c r="AD1951">
        <v>94</v>
      </c>
      <c r="AE1951">
        <v>0.18090000000000001</v>
      </c>
      <c r="AF1951" t="s">
        <v>2589</v>
      </c>
      <c r="AG1951" t="s">
        <v>2589</v>
      </c>
    </row>
    <row r="1952" spans="1:33">
      <c r="A1952" s="2" t="s">
        <v>71</v>
      </c>
      <c r="B1952" s="2" t="s">
        <v>10</v>
      </c>
      <c r="C1952" s="1">
        <v>0.53267569100000001</v>
      </c>
      <c r="D1952">
        <v>0.64507433599999997</v>
      </c>
      <c r="E1952">
        <v>0.66598465100000004</v>
      </c>
      <c r="F1952" s="1" t="s">
        <v>72</v>
      </c>
      <c r="G1952" s="1">
        <v>0.97289666900000005</v>
      </c>
      <c r="H1952" s="1">
        <v>64.8</v>
      </c>
      <c r="I1952" s="1">
        <v>177.1</v>
      </c>
      <c r="J1952" s="1">
        <v>0.61457822600000001</v>
      </c>
      <c r="K1952" s="1">
        <v>0.52456325500000001</v>
      </c>
      <c r="L1952" s="1">
        <v>0.61925627999999999</v>
      </c>
      <c r="M1952" s="3">
        <v>0.72111139899999999</v>
      </c>
      <c r="N1952" s="1" t="s">
        <v>12</v>
      </c>
      <c r="O1952" s="1">
        <v>0.61690647499999995</v>
      </c>
      <c r="P1952" s="1">
        <v>30</v>
      </c>
      <c r="Q1952" s="1">
        <v>111.2</v>
      </c>
      <c r="R1952" s="1">
        <v>0.62164364466666666</v>
      </c>
      <c r="S1952" s="1">
        <v>6.1411252865649378E-2</v>
      </c>
      <c r="T1952" t="s">
        <v>2099</v>
      </c>
      <c r="U1952" s="1">
        <v>2975</v>
      </c>
      <c r="V1952">
        <f t="shared" si="120"/>
        <v>0.38594299667384097</v>
      </c>
      <c r="W1952" s="1">
        <f t="shared" si="121"/>
        <v>34.799999999999997</v>
      </c>
      <c r="X1952">
        <f t="shared" si="122"/>
        <v>0.35599019400000009</v>
      </c>
      <c r="Y1952">
        <f t="shared" si="123"/>
        <v>65.899999999999991</v>
      </c>
      <c r="Z1952" s="1">
        <v>4</v>
      </c>
      <c r="AA1952">
        <v>96</v>
      </c>
      <c r="AB1952">
        <v>4.1700000000000001E-2</v>
      </c>
      <c r="AC1952">
        <v>6</v>
      </c>
      <c r="AD1952">
        <v>164</v>
      </c>
      <c r="AE1952">
        <v>3.6600000000000001E-2</v>
      </c>
      <c r="AF1952" t="s">
        <v>2589</v>
      </c>
      <c r="AG1952" t="s">
        <v>2588</v>
      </c>
    </row>
    <row r="1953" spans="1:33">
      <c r="A1953" s="2" t="s">
        <v>71</v>
      </c>
      <c r="B1953" s="2" t="s">
        <v>13</v>
      </c>
      <c r="C1953" s="1">
        <v>0.53267569100000001</v>
      </c>
      <c r="D1953">
        <v>0.64507433599999997</v>
      </c>
      <c r="E1953">
        <v>0.66598465100000004</v>
      </c>
      <c r="F1953" s="1" t="s">
        <v>72</v>
      </c>
      <c r="G1953" s="1">
        <v>0.97289666900000005</v>
      </c>
      <c r="H1953" s="1">
        <v>64.8</v>
      </c>
      <c r="I1953" s="1">
        <v>177.1</v>
      </c>
      <c r="J1953" s="1">
        <v>0.61457822600000001</v>
      </c>
      <c r="K1953" s="1">
        <v>0.48695497399999998</v>
      </c>
      <c r="L1953" s="1">
        <v>0.54991327199999995</v>
      </c>
      <c r="M1953" s="3">
        <v>0.67282609299999996</v>
      </c>
      <c r="N1953" s="1" t="s">
        <v>14</v>
      </c>
      <c r="O1953" s="1">
        <v>1.6052009460000001</v>
      </c>
      <c r="P1953" s="1">
        <v>26.6</v>
      </c>
      <c r="Q1953" s="1">
        <v>42.3</v>
      </c>
      <c r="R1953" s="1">
        <v>0.56989811299999993</v>
      </c>
      <c r="S1953" s="1">
        <v>0.10579611237302414</v>
      </c>
      <c r="T1953" t="s">
        <v>2100</v>
      </c>
      <c r="U1953" s="1">
        <v>669</v>
      </c>
      <c r="V1953">
        <f t="shared" si="120"/>
        <v>0.31393623530753589</v>
      </c>
      <c r="W1953" s="1">
        <f t="shared" si="121"/>
        <v>38.199999999999996</v>
      </c>
      <c r="X1953">
        <f t="shared" si="122"/>
        <v>0.63230427700000003</v>
      </c>
      <c r="Y1953">
        <f t="shared" si="123"/>
        <v>134.80000000000001</v>
      </c>
      <c r="Z1953" s="1">
        <v>1</v>
      </c>
      <c r="AA1953">
        <v>99</v>
      </c>
      <c r="AB1953">
        <v>1.01E-2</v>
      </c>
      <c r="AC1953">
        <v>2</v>
      </c>
      <c r="AD1953">
        <v>115</v>
      </c>
      <c r="AE1953">
        <v>1.7399999999999999E-2</v>
      </c>
      <c r="AF1953" t="s">
        <v>2589</v>
      </c>
      <c r="AG1953" t="s">
        <v>2590</v>
      </c>
    </row>
    <row r="1954" spans="1:33">
      <c r="A1954" s="2" t="s">
        <v>71</v>
      </c>
      <c r="B1954" s="2" t="s">
        <v>15</v>
      </c>
      <c r="C1954" s="1">
        <v>0.53267569100000001</v>
      </c>
      <c r="D1954">
        <v>0.64507433599999997</v>
      </c>
      <c r="E1954">
        <v>0.66598465100000004</v>
      </c>
      <c r="F1954" s="1" t="s">
        <v>72</v>
      </c>
      <c r="G1954" s="1">
        <v>0.97289666900000005</v>
      </c>
      <c r="H1954" s="1">
        <v>64.8</v>
      </c>
      <c r="I1954" s="1">
        <v>177.1</v>
      </c>
      <c r="J1954" s="1">
        <v>0.61457822600000001</v>
      </c>
      <c r="K1954" s="1">
        <v>0.54560998800000005</v>
      </c>
      <c r="L1954" s="1">
        <v>0.66721428400000005</v>
      </c>
      <c r="M1954" s="3">
        <v>0.72650398400000005</v>
      </c>
      <c r="N1954" s="1" t="s">
        <v>16</v>
      </c>
      <c r="O1954" s="1">
        <v>5.1392405060000002</v>
      </c>
      <c r="P1954" s="1">
        <v>35.9</v>
      </c>
      <c r="Q1954" s="1">
        <v>15.8</v>
      </c>
      <c r="R1954" s="1">
        <v>0.64644275200000012</v>
      </c>
      <c r="S1954" s="1">
        <v>6.5727186179630484E-2</v>
      </c>
      <c r="T1954" t="s">
        <v>2101</v>
      </c>
      <c r="U1954" s="1">
        <v>6270</v>
      </c>
      <c r="V1954">
        <f t="shared" si="120"/>
        <v>0.42191861564785738</v>
      </c>
      <c r="W1954" s="1">
        <f t="shared" si="121"/>
        <v>28.9</v>
      </c>
      <c r="X1954">
        <f t="shared" si="122"/>
        <v>4.1663438370000003</v>
      </c>
      <c r="Y1954">
        <f t="shared" si="123"/>
        <v>161.29999999999998</v>
      </c>
      <c r="Z1954" s="1">
        <v>3</v>
      </c>
      <c r="AA1954">
        <v>97</v>
      </c>
      <c r="AB1954">
        <v>3.09E-2</v>
      </c>
      <c r="AC1954">
        <v>2</v>
      </c>
      <c r="AD1954">
        <v>111</v>
      </c>
      <c r="AE1954">
        <v>1.7999999999999999E-2</v>
      </c>
      <c r="AF1954" t="s">
        <v>2589</v>
      </c>
      <c r="AG1954" t="s">
        <v>2591</v>
      </c>
    </row>
    <row r="1955" spans="1:33">
      <c r="A1955" s="2" t="s">
        <v>71</v>
      </c>
      <c r="B1955" s="2" t="s">
        <v>17</v>
      </c>
      <c r="C1955" s="1">
        <v>0.53267569100000001</v>
      </c>
      <c r="D1955">
        <v>0.64507433599999997</v>
      </c>
      <c r="E1955">
        <v>0.66598465100000004</v>
      </c>
      <c r="F1955" s="1" t="s">
        <v>72</v>
      </c>
      <c r="G1955" s="1">
        <v>0.97289666900000005</v>
      </c>
      <c r="H1955" s="1">
        <v>64.8</v>
      </c>
      <c r="I1955" s="1">
        <v>177.1</v>
      </c>
      <c r="J1955" s="1">
        <v>0.61457822600000001</v>
      </c>
      <c r="K1955" s="1">
        <v>0.659112378</v>
      </c>
      <c r="L1955" s="1">
        <v>0.68333493499999998</v>
      </c>
      <c r="M1955" s="3">
        <v>0.70345495199999997</v>
      </c>
      <c r="N1955" s="1" t="s">
        <v>18</v>
      </c>
      <c r="O1955" s="1">
        <v>1.9463955639999999</v>
      </c>
      <c r="P1955" s="1">
        <v>46.3</v>
      </c>
      <c r="Q1955" s="1">
        <v>54.1</v>
      </c>
      <c r="R1955" s="1">
        <v>0.68196742166666668</v>
      </c>
      <c r="S1955" s="1">
        <v>0.13731035180351611</v>
      </c>
      <c r="T1955" t="s">
        <v>2102</v>
      </c>
      <c r="U1955" s="1">
        <v>6984</v>
      </c>
      <c r="V1955">
        <f t="shared" si="120"/>
        <v>0.42712269229972372</v>
      </c>
      <c r="W1955" s="1">
        <f t="shared" si="121"/>
        <v>18.5</v>
      </c>
      <c r="X1955">
        <f t="shared" si="122"/>
        <v>0.97349889499999986</v>
      </c>
      <c r="Y1955">
        <f t="shared" si="123"/>
        <v>123</v>
      </c>
      <c r="Z1955" s="1">
        <v>3</v>
      </c>
      <c r="AA1955">
        <v>97</v>
      </c>
      <c r="AB1955">
        <v>3.09E-2</v>
      </c>
      <c r="AC1955">
        <v>2</v>
      </c>
      <c r="AD1955">
        <v>125</v>
      </c>
      <c r="AE1955">
        <v>1.6E-2</v>
      </c>
      <c r="AF1955" t="s">
        <v>2589</v>
      </c>
      <c r="AG1955" t="s">
        <v>2591</v>
      </c>
    </row>
    <row r="1956" spans="1:33">
      <c r="A1956" s="2" t="s">
        <v>71</v>
      </c>
      <c r="B1956" s="2" t="s">
        <v>19</v>
      </c>
      <c r="C1956" s="1">
        <v>0.53267569100000001</v>
      </c>
      <c r="D1956">
        <v>0.64507433599999997</v>
      </c>
      <c r="E1956">
        <v>0.66598465100000004</v>
      </c>
      <c r="F1956" s="1" t="s">
        <v>72</v>
      </c>
      <c r="G1956" s="1">
        <v>0.97289666900000005</v>
      </c>
      <c r="H1956" s="1">
        <v>64.8</v>
      </c>
      <c r="I1956" s="1">
        <v>177.1</v>
      </c>
      <c r="J1956" s="1">
        <v>0.61457822600000001</v>
      </c>
      <c r="K1956" s="1">
        <v>0.49391595300000002</v>
      </c>
      <c r="L1956" s="1">
        <v>0.603599314</v>
      </c>
      <c r="M1956" s="3">
        <v>0.63481471599999995</v>
      </c>
      <c r="N1956" s="1" t="s">
        <v>20</v>
      </c>
      <c r="O1956" s="1">
        <v>1.2140902870000001</v>
      </c>
      <c r="P1956" s="1">
        <v>64.900000000000006</v>
      </c>
      <c r="Q1956" s="1">
        <v>146.19999999999999</v>
      </c>
      <c r="R1956" s="1">
        <v>0.57744332766666662</v>
      </c>
      <c r="S1956" s="1">
        <v>6.4761559490436577E-2</v>
      </c>
      <c r="T1956" t="s">
        <v>2103</v>
      </c>
      <c r="U1956" s="1">
        <v>6426</v>
      </c>
      <c r="V1956">
        <f t="shared" si="120"/>
        <v>0.42310452457949993</v>
      </c>
      <c r="W1956" s="1">
        <f t="shared" si="121"/>
        <v>0.10000000000000853</v>
      </c>
      <c r="X1956">
        <f t="shared" si="122"/>
        <v>0.24119361800000005</v>
      </c>
      <c r="Y1956">
        <f t="shared" si="123"/>
        <v>30.900000000000006</v>
      </c>
      <c r="Z1956" s="1">
        <v>16</v>
      </c>
      <c r="AA1956">
        <v>84</v>
      </c>
      <c r="AB1956">
        <v>0.1905</v>
      </c>
      <c r="AC1956">
        <v>18</v>
      </c>
      <c r="AD1956">
        <v>89</v>
      </c>
      <c r="AE1956">
        <v>0.20219999999999999</v>
      </c>
      <c r="AF1956" t="s">
        <v>2589</v>
      </c>
      <c r="AG1956" t="s">
        <v>2593</v>
      </c>
    </row>
    <row r="1957" spans="1:33">
      <c r="A1957" s="2" t="s">
        <v>71</v>
      </c>
      <c r="B1957" s="2" t="s">
        <v>21</v>
      </c>
      <c r="C1957" s="1">
        <v>0.53267569100000001</v>
      </c>
      <c r="D1957">
        <v>0.64507433599999997</v>
      </c>
      <c r="E1957">
        <v>0.66598465100000004</v>
      </c>
      <c r="F1957" s="1" t="s">
        <v>72</v>
      </c>
      <c r="G1957" s="1">
        <v>0.97289666900000005</v>
      </c>
      <c r="H1957" s="1">
        <v>64.8</v>
      </c>
      <c r="I1957" s="1">
        <v>177.1</v>
      </c>
      <c r="J1957" s="1">
        <v>0.61457822600000001</v>
      </c>
      <c r="K1957" s="1">
        <v>0.53276376800000003</v>
      </c>
      <c r="L1957" s="1">
        <v>0.65428149899999999</v>
      </c>
      <c r="M1957" s="3">
        <v>0.70160154799999996</v>
      </c>
      <c r="N1957" s="1" t="s">
        <v>22</v>
      </c>
      <c r="O1957" s="1">
        <v>1.2440604749999999</v>
      </c>
      <c r="P1957" s="1">
        <v>24.6</v>
      </c>
      <c r="Q1957" s="1">
        <v>46.3</v>
      </c>
      <c r="R1957" s="1">
        <v>0.62954893833333336</v>
      </c>
      <c r="S1957" s="1">
        <v>3.6787809937193897E-2</v>
      </c>
      <c r="T1957" t="s">
        <v>2104</v>
      </c>
      <c r="U1957" s="1">
        <v>18552</v>
      </c>
      <c r="V1957">
        <f t="shared" si="120"/>
        <v>0.4742656372922146</v>
      </c>
      <c r="W1957" s="1">
        <f t="shared" si="121"/>
        <v>40.199999999999996</v>
      </c>
      <c r="X1957">
        <f t="shared" si="122"/>
        <v>0.2711638059999999</v>
      </c>
      <c r="Y1957">
        <f t="shared" si="123"/>
        <v>130.80000000000001</v>
      </c>
      <c r="Z1957" s="1">
        <v>5</v>
      </c>
      <c r="AA1957">
        <v>95</v>
      </c>
      <c r="AB1957">
        <v>5.2600000000000001E-2</v>
      </c>
      <c r="AC1957">
        <v>6</v>
      </c>
      <c r="AD1957">
        <v>107</v>
      </c>
      <c r="AE1957">
        <v>5.6099999999999997E-2</v>
      </c>
      <c r="AF1957" t="s">
        <v>2589</v>
      </c>
      <c r="AG1957" t="s">
        <v>2589</v>
      </c>
    </row>
    <row r="1958" spans="1:33">
      <c r="A1958" s="2" t="s">
        <v>71</v>
      </c>
      <c r="B1958" s="2" t="s">
        <v>23</v>
      </c>
      <c r="C1958" s="1">
        <v>0.53267569100000001</v>
      </c>
      <c r="D1958">
        <v>0.64507433599999997</v>
      </c>
      <c r="E1958">
        <v>0.66598465100000004</v>
      </c>
      <c r="F1958" s="1" t="s">
        <v>72</v>
      </c>
      <c r="G1958" s="1">
        <v>0.97289666900000005</v>
      </c>
      <c r="H1958" s="1">
        <v>64.8</v>
      </c>
      <c r="I1958" s="1">
        <v>177.1</v>
      </c>
      <c r="J1958" s="1">
        <v>0.61457822600000001</v>
      </c>
      <c r="K1958" s="1">
        <v>0.49415677200000002</v>
      </c>
      <c r="L1958" s="1">
        <v>0.62090818999999997</v>
      </c>
      <c r="M1958" s="3">
        <v>0.63381026900000004</v>
      </c>
      <c r="N1958" s="1" t="s">
        <v>24</v>
      </c>
      <c r="O1958" s="1">
        <v>1.141304348</v>
      </c>
      <c r="P1958" s="1">
        <v>44.4</v>
      </c>
      <c r="Q1958" s="1">
        <v>101.2</v>
      </c>
      <c r="R1958" s="1">
        <v>0.58295841033333329</v>
      </c>
      <c r="S1958" s="1">
        <v>5.5703685609695519E-2</v>
      </c>
      <c r="T1958" t="s">
        <v>2105</v>
      </c>
      <c r="U1958" s="1">
        <v>2478</v>
      </c>
      <c r="V1958">
        <f t="shared" si="120"/>
        <v>0.37712236689333828</v>
      </c>
      <c r="W1958" s="1">
        <f t="shared" si="121"/>
        <v>20.399999999999999</v>
      </c>
      <c r="X1958">
        <f t="shared" si="122"/>
        <v>0.16840767899999998</v>
      </c>
      <c r="Y1958">
        <f t="shared" si="123"/>
        <v>75.899999999999991</v>
      </c>
      <c r="Z1958" s="1">
        <v>3</v>
      </c>
      <c r="AA1958">
        <v>97</v>
      </c>
      <c r="AB1958">
        <v>3.09E-2</v>
      </c>
      <c r="AC1958">
        <v>6</v>
      </c>
      <c r="AD1958">
        <v>103</v>
      </c>
      <c r="AE1958">
        <v>5.8299999999999998E-2</v>
      </c>
      <c r="AF1958" t="s">
        <v>2589</v>
      </c>
      <c r="AG1958" t="s">
        <v>2590</v>
      </c>
    </row>
    <row r="1959" spans="1:33">
      <c r="A1959" s="2" t="s">
        <v>71</v>
      </c>
      <c r="B1959" s="2" t="s">
        <v>25</v>
      </c>
      <c r="C1959" s="1">
        <v>0.53267569100000001</v>
      </c>
      <c r="D1959">
        <v>0.64507433599999997</v>
      </c>
      <c r="E1959">
        <v>0.66598465100000004</v>
      </c>
      <c r="F1959" s="1" t="s">
        <v>72</v>
      </c>
      <c r="G1959" s="1">
        <v>0.97289666900000005</v>
      </c>
      <c r="H1959" s="1">
        <v>64.8</v>
      </c>
      <c r="I1959" s="1">
        <v>177.1</v>
      </c>
      <c r="J1959" s="1">
        <v>0.61457822600000001</v>
      </c>
      <c r="K1959" s="1">
        <v>0.53959274199999996</v>
      </c>
      <c r="L1959" s="1">
        <v>0.64971567399999997</v>
      </c>
      <c r="M1959" s="3">
        <v>0.65028459999999999</v>
      </c>
      <c r="N1959" s="1" t="s">
        <v>26</v>
      </c>
      <c r="O1959" s="1">
        <v>1.623046875</v>
      </c>
      <c r="P1959" s="1">
        <v>34.700000000000003</v>
      </c>
      <c r="Q1959" s="1">
        <v>51.2</v>
      </c>
      <c r="R1959" s="1">
        <v>0.61319767199999997</v>
      </c>
      <c r="S1959" s="1">
        <v>1.7772991148634683E-2</v>
      </c>
      <c r="T1959" t="s">
        <v>2106</v>
      </c>
      <c r="U1959" s="1">
        <v>6592</v>
      </c>
      <c r="V1959">
        <f t="shared" si="120"/>
        <v>0.42433524429878439</v>
      </c>
      <c r="W1959" s="1">
        <f t="shared" si="121"/>
        <v>30.099999999999994</v>
      </c>
      <c r="X1959">
        <f t="shared" si="122"/>
        <v>0.65015020599999995</v>
      </c>
      <c r="Y1959">
        <f t="shared" si="123"/>
        <v>125.89999999999999</v>
      </c>
      <c r="Z1959" s="1">
        <v>0</v>
      </c>
      <c r="AA1959">
        <v>100</v>
      </c>
      <c r="AB1959">
        <v>0</v>
      </c>
      <c r="AC1959">
        <v>0</v>
      </c>
      <c r="AD1959">
        <v>111</v>
      </c>
      <c r="AE1959">
        <v>0</v>
      </c>
      <c r="AF1959" t="s">
        <v>2589</v>
      </c>
      <c r="AG1959" t="s">
        <v>2594</v>
      </c>
    </row>
    <row r="1960" spans="1:33">
      <c r="A1960" s="2" t="s">
        <v>71</v>
      </c>
      <c r="B1960" s="2" t="s">
        <v>27</v>
      </c>
      <c r="C1960" s="1">
        <v>0.53267569100000001</v>
      </c>
      <c r="D1960">
        <v>0.64507433599999997</v>
      </c>
      <c r="E1960">
        <v>0.66598465100000004</v>
      </c>
      <c r="F1960" s="1" t="s">
        <v>72</v>
      </c>
      <c r="G1960" s="1">
        <v>0.97289666900000005</v>
      </c>
      <c r="H1960" s="1">
        <v>64.8</v>
      </c>
      <c r="I1960" s="1">
        <v>177.1</v>
      </c>
      <c r="J1960" s="1">
        <v>0.61457822600000001</v>
      </c>
      <c r="K1960" s="1">
        <v>0.518608662</v>
      </c>
      <c r="L1960" s="1">
        <v>0.64320369700000002</v>
      </c>
      <c r="M1960" s="3">
        <v>0.62228994199999998</v>
      </c>
      <c r="N1960" s="1" t="s">
        <v>28</v>
      </c>
      <c r="O1960" s="1">
        <v>1.8717391299999999</v>
      </c>
      <c r="P1960" s="1">
        <v>33.700000000000003</v>
      </c>
      <c r="Q1960" s="1">
        <v>46</v>
      </c>
      <c r="R1960" s="1">
        <v>0.59470076699999996</v>
      </c>
      <c r="S1960" s="1">
        <v>4.5941355985101788E-2</v>
      </c>
      <c r="T1960" t="s">
        <v>2107</v>
      </c>
      <c r="U1960" s="1">
        <v>2399</v>
      </c>
      <c r="V1960">
        <f t="shared" si="120"/>
        <v>0.37555891644087008</v>
      </c>
      <c r="W1960" s="1">
        <f t="shared" si="121"/>
        <v>31.099999999999994</v>
      </c>
      <c r="X1960">
        <f t="shared" si="122"/>
        <v>0.89884246099999987</v>
      </c>
      <c r="Y1960">
        <f t="shared" si="123"/>
        <v>131.1</v>
      </c>
      <c r="Z1960" s="1">
        <v>2</v>
      </c>
      <c r="AA1960">
        <v>98</v>
      </c>
      <c r="AB1960">
        <v>2.0400000000000001E-2</v>
      </c>
      <c r="AC1960">
        <v>4</v>
      </c>
      <c r="AD1960">
        <v>114</v>
      </c>
      <c r="AE1960">
        <v>3.5099999999999999E-2</v>
      </c>
      <c r="AF1960" t="s">
        <v>2589</v>
      </c>
      <c r="AG1960" t="s">
        <v>2590</v>
      </c>
    </row>
    <row r="1961" spans="1:33">
      <c r="A1961" s="2" t="s">
        <v>71</v>
      </c>
      <c r="B1961" s="2" t="s">
        <v>29</v>
      </c>
      <c r="C1961" s="1">
        <v>0.53267569100000001</v>
      </c>
      <c r="D1961">
        <v>0.64507433599999997</v>
      </c>
      <c r="E1961">
        <v>0.66598465100000004</v>
      </c>
      <c r="F1961" s="1" t="s">
        <v>72</v>
      </c>
      <c r="G1961" s="1">
        <v>0.97289666900000005</v>
      </c>
      <c r="H1961" s="1">
        <v>64.8</v>
      </c>
      <c r="I1961" s="1">
        <v>177.1</v>
      </c>
      <c r="J1961" s="1">
        <v>0.61457822600000001</v>
      </c>
      <c r="K1961" s="1">
        <v>0.59351545100000003</v>
      </c>
      <c r="L1961" s="1">
        <v>0.68136602400000001</v>
      </c>
      <c r="M1961" s="3">
        <v>0.73518087600000004</v>
      </c>
      <c r="N1961" s="1" t="s">
        <v>30</v>
      </c>
      <c r="O1961" s="1">
        <v>2.849112426</v>
      </c>
      <c r="P1961" s="1">
        <v>37.9</v>
      </c>
      <c r="Q1961" s="1">
        <v>33.799999999999997</v>
      </c>
      <c r="R1961" s="1">
        <v>0.67002078366666673</v>
      </c>
      <c r="S1961" s="1">
        <v>9.9028685586538892E-2</v>
      </c>
      <c r="T1961" t="s">
        <v>2108</v>
      </c>
      <c r="U1961" s="1">
        <v>1334</v>
      </c>
      <c r="V1961">
        <f t="shared" si="120"/>
        <v>0.34723953662005891</v>
      </c>
      <c r="W1961" s="1">
        <f t="shared" si="121"/>
        <v>26.9</v>
      </c>
      <c r="X1961">
        <f t="shared" si="122"/>
        <v>1.876215757</v>
      </c>
      <c r="Y1961">
        <f t="shared" si="123"/>
        <v>143.30000000000001</v>
      </c>
      <c r="Z1961" s="1">
        <v>3</v>
      </c>
      <c r="AA1961">
        <v>97</v>
      </c>
      <c r="AB1961">
        <v>3.09E-2</v>
      </c>
      <c r="AC1961">
        <v>2</v>
      </c>
      <c r="AD1961">
        <v>105</v>
      </c>
      <c r="AE1961">
        <v>1.9E-2</v>
      </c>
      <c r="AF1961" t="s">
        <v>2589</v>
      </c>
      <c r="AG1961" t="s">
        <v>2593</v>
      </c>
    </row>
    <row r="1962" spans="1:33">
      <c r="A1962" s="2" t="s">
        <v>71</v>
      </c>
      <c r="B1962" s="2" t="s">
        <v>31</v>
      </c>
      <c r="C1962" s="1">
        <v>0.53267569100000001</v>
      </c>
      <c r="D1962">
        <v>0.64507433599999997</v>
      </c>
      <c r="E1962">
        <v>0.66598465100000004</v>
      </c>
      <c r="F1962" s="1" t="s">
        <v>72</v>
      </c>
      <c r="G1962" s="1">
        <v>0.97289666900000005</v>
      </c>
      <c r="H1962" s="1">
        <v>64.8</v>
      </c>
      <c r="I1962" s="1">
        <v>177.1</v>
      </c>
      <c r="J1962" s="1">
        <v>0.61457822600000001</v>
      </c>
      <c r="K1962" s="1">
        <v>0.47727961800000002</v>
      </c>
      <c r="L1962" s="1">
        <v>0.66941086400000005</v>
      </c>
      <c r="M1962" s="3">
        <v>0.69294815300000001</v>
      </c>
      <c r="N1962" s="1" t="s">
        <v>32</v>
      </c>
      <c r="O1962" s="1">
        <v>1.341891892</v>
      </c>
      <c r="P1962" s="1">
        <v>42.1</v>
      </c>
      <c r="Q1962" s="1">
        <v>74</v>
      </c>
      <c r="R1962" s="1">
        <v>0.61321287833333338</v>
      </c>
      <c r="S1962" s="1">
        <v>6.6242146244065173E-2</v>
      </c>
      <c r="T1962" t="s">
        <v>2109</v>
      </c>
      <c r="U1962" s="1">
        <v>18162</v>
      </c>
      <c r="V1962">
        <f t="shared" si="120"/>
        <v>0.4732404079266907</v>
      </c>
      <c r="W1962" s="1">
        <f t="shared" si="121"/>
        <v>22.699999999999996</v>
      </c>
      <c r="X1962">
        <f t="shared" si="122"/>
        <v>0.36899522299999998</v>
      </c>
      <c r="Y1962">
        <f t="shared" si="123"/>
        <v>103.1</v>
      </c>
      <c r="Z1962" s="1">
        <v>12</v>
      </c>
      <c r="AA1962">
        <v>88</v>
      </c>
      <c r="AB1962">
        <v>0.13639999999999999</v>
      </c>
      <c r="AC1962">
        <v>13</v>
      </c>
      <c r="AD1962">
        <v>102</v>
      </c>
      <c r="AE1962">
        <v>0.1275</v>
      </c>
      <c r="AF1962" t="s">
        <v>2589</v>
      </c>
      <c r="AG1962" t="s">
        <v>2589</v>
      </c>
    </row>
    <row r="1963" spans="1:33">
      <c r="A1963" s="2" t="s">
        <v>71</v>
      </c>
      <c r="B1963" s="2" t="s">
        <v>33</v>
      </c>
      <c r="C1963" s="1">
        <v>0.53267569100000001</v>
      </c>
      <c r="D1963">
        <v>0.64507433599999997</v>
      </c>
      <c r="E1963">
        <v>0.66598465100000004</v>
      </c>
      <c r="F1963" s="1" t="s">
        <v>72</v>
      </c>
      <c r="G1963" s="1">
        <v>0.97289666900000005</v>
      </c>
      <c r="H1963" s="1">
        <v>64.8</v>
      </c>
      <c r="I1963" s="1">
        <v>177.1</v>
      </c>
      <c r="J1963" s="1">
        <v>0.61457822600000001</v>
      </c>
      <c r="K1963" s="1">
        <v>0.51347926600000005</v>
      </c>
      <c r="L1963" s="1">
        <v>0.63144379399999995</v>
      </c>
      <c r="M1963" s="3">
        <v>0.64189093500000005</v>
      </c>
      <c r="N1963" s="1" t="s">
        <v>34</v>
      </c>
      <c r="O1963" s="1">
        <v>2.3123667380000001</v>
      </c>
      <c r="P1963" s="1">
        <v>79.099999999999994</v>
      </c>
      <c r="Q1963" s="1">
        <v>93.8</v>
      </c>
      <c r="R1963" s="1">
        <v>0.59560466500000009</v>
      </c>
      <c r="S1963" s="1">
        <v>3.3686815799108163E-2</v>
      </c>
      <c r="T1963" t="s">
        <v>2110</v>
      </c>
      <c r="U1963" s="1">
        <v>10840</v>
      </c>
      <c r="V1963">
        <f t="shared" si="120"/>
        <v>0.44833658691137424</v>
      </c>
      <c r="W1963" s="1">
        <f t="shared" si="121"/>
        <v>14.299999999999997</v>
      </c>
      <c r="X1963">
        <f t="shared" si="122"/>
        <v>1.3394700690000001</v>
      </c>
      <c r="Y1963">
        <f t="shared" si="123"/>
        <v>83.3</v>
      </c>
      <c r="Z1963" s="1">
        <v>10</v>
      </c>
      <c r="AA1963">
        <v>90</v>
      </c>
      <c r="AB1963">
        <v>0.1111</v>
      </c>
      <c r="AC1963">
        <v>14</v>
      </c>
      <c r="AD1963">
        <v>95</v>
      </c>
      <c r="AE1963">
        <v>0.1474</v>
      </c>
      <c r="AF1963" t="s">
        <v>2589</v>
      </c>
      <c r="AG1963" t="s">
        <v>2590</v>
      </c>
    </row>
    <row r="1964" spans="1:33">
      <c r="A1964" s="2" t="s">
        <v>71</v>
      </c>
      <c r="B1964" s="2" t="s">
        <v>35</v>
      </c>
      <c r="C1964" s="1">
        <v>0.53267569100000001</v>
      </c>
      <c r="D1964">
        <v>0.64507433599999997</v>
      </c>
      <c r="E1964">
        <v>0.66598465100000004</v>
      </c>
      <c r="F1964" s="1" t="s">
        <v>72</v>
      </c>
      <c r="G1964" s="1">
        <v>0.97289666900000005</v>
      </c>
      <c r="H1964" s="1">
        <v>64.8</v>
      </c>
      <c r="I1964" s="1">
        <v>177.1</v>
      </c>
      <c r="J1964" s="1">
        <v>0.61457822600000001</v>
      </c>
      <c r="K1964" s="1">
        <v>0.52542897600000005</v>
      </c>
      <c r="L1964" s="1">
        <v>0.60774736299999998</v>
      </c>
      <c r="M1964" s="3">
        <v>0.62585751700000003</v>
      </c>
      <c r="N1964" s="1" t="s">
        <v>36</v>
      </c>
      <c r="O1964" s="1">
        <v>0.98848810399999998</v>
      </c>
      <c r="P1964" s="1">
        <v>54.2</v>
      </c>
      <c r="Q1964" s="1">
        <v>130.30000000000001</v>
      </c>
      <c r="R1964" s="1">
        <v>0.58634461866666665</v>
      </c>
      <c r="S1964" s="1">
        <v>5.5281142125393076E-2</v>
      </c>
      <c r="T1964" t="s">
        <v>2111</v>
      </c>
      <c r="U1964" s="1">
        <v>30101</v>
      </c>
      <c r="V1964">
        <f t="shared" si="120"/>
        <v>0.4976201026380308</v>
      </c>
      <c r="W1964" s="1">
        <f t="shared" si="121"/>
        <v>10.599999999999994</v>
      </c>
      <c r="X1964">
        <f t="shared" si="122"/>
        <v>1.5591434999999931E-2</v>
      </c>
      <c r="Y1964">
        <f t="shared" si="123"/>
        <v>46.799999999999983</v>
      </c>
      <c r="Z1964" s="1">
        <v>13</v>
      </c>
      <c r="AA1964">
        <v>87</v>
      </c>
      <c r="AB1964">
        <v>0.14940000000000001</v>
      </c>
      <c r="AC1964">
        <v>14</v>
      </c>
      <c r="AD1964">
        <v>94</v>
      </c>
      <c r="AE1964">
        <v>0.1489</v>
      </c>
      <c r="AF1964" t="s">
        <v>2589</v>
      </c>
      <c r="AG1964" t="s">
        <v>2589</v>
      </c>
    </row>
    <row r="1965" spans="1:33">
      <c r="A1965" s="2" t="s">
        <v>71</v>
      </c>
      <c r="B1965" s="2" t="s">
        <v>37</v>
      </c>
      <c r="C1965" s="1">
        <v>0.53267569100000001</v>
      </c>
      <c r="D1965">
        <v>0.64507433599999997</v>
      </c>
      <c r="E1965">
        <v>0.66598465100000004</v>
      </c>
      <c r="F1965" s="1" t="s">
        <v>72</v>
      </c>
      <c r="G1965" s="1">
        <v>0.97289666900000005</v>
      </c>
      <c r="H1965" s="1">
        <v>64.8</v>
      </c>
      <c r="I1965" s="1">
        <v>177.1</v>
      </c>
      <c r="J1965" s="1">
        <v>0.61457822600000001</v>
      </c>
      <c r="K1965" s="1">
        <v>0.50856695500000004</v>
      </c>
      <c r="L1965" s="1">
        <v>0.654733224</v>
      </c>
      <c r="M1965" s="3">
        <v>0.61418267199999999</v>
      </c>
      <c r="N1965" s="1" t="s">
        <v>38</v>
      </c>
      <c r="O1965" s="1">
        <v>0.64065708399999999</v>
      </c>
      <c r="P1965" s="1">
        <v>41.9</v>
      </c>
      <c r="Q1965" s="1">
        <v>146.1</v>
      </c>
      <c r="R1965" s="1">
        <v>0.59249428366666679</v>
      </c>
      <c r="S1965" s="1">
        <v>5.7947996490221171E-2</v>
      </c>
      <c r="T1965" t="s">
        <v>2112</v>
      </c>
      <c r="U1965" s="1">
        <v>3839</v>
      </c>
      <c r="V1965">
        <f t="shared" si="120"/>
        <v>0.39824645690193389</v>
      </c>
      <c r="W1965" s="1">
        <f t="shared" si="121"/>
        <v>22.9</v>
      </c>
      <c r="X1965">
        <f t="shared" si="122"/>
        <v>0.33223958500000006</v>
      </c>
      <c r="Y1965">
        <f t="shared" si="123"/>
        <v>31</v>
      </c>
      <c r="Z1965" s="1">
        <v>10</v>
      </c>
      <c r="AA1965">
        <v>90</v>
      </c>
      <c r="AB1965">
        <v>0.1111</v>
      </c>
      <c r="AC1965">
        <v>12</v>
      </c>
      <c r="AD1965">
        <v>95</v>
      </c>
      <c r="AE1965">
        <v>0.1263</v>
      </c>
      <c r="AF1965" t="s">
        <v>2589</v>
      </c>
      <c r="AG1965" t="s">
        <v>2590</v>
      </c>
    </row>
    <row r="1966" spans="1:33">
      <c r="A1966" s="2" t="s">
        <v>71</v>
      </c>
      <c r="B1966" s="2" t="s">
        <v>39</v>
      </c>
      <c r="C1966" s="1">
        <v>0.53267569100000001</v>
      </c>
      <c r="D1966">
        <v>0.64507433599999997</v>
      </c>
      <c r="E1966">
        <v>0.66598465100000004</v>
      </c>
      <c r="F1966" s="1" t="s">
        <v>72</v>
      </c>
      <c r="G1966" s="1">
        <v>0.97289666900000005</v>
      </c>
      <c r="H1966" s="1">
        <v>64.8</v>
      </c>
      <c r="I1966" s="1">
        <v>177.1</v>
      </c>
      <c r="J1966" s="1">
        <v>0.61457822600000001</v>
      </c>
      <c r="K1966" s="1">
        <v>0.60811616199999996</v>
      </c>
      <c r="L1966" s="1">
        <v>0.721105683</v>
      </c>
      <c r="M1966" s="3">
        <v>0.741016169</v>
      </c>
      <c r="N1966" s="1" t="s">
        <v>40</v>
      </c>
      <c r="O1966" s="1">
        <v>1.0601915180000001</v>
      </c>
      <c r="P1966" s="1">
        <v>34</v>
      </c>
      <c r="Q1966" s="1">
        <v>73.099999999999994</v>
      </c>
      <c r="R1966" s="1">
        <v>0.69007933799999999</v>
      </c>
      <c r="S1966" s="1">
        <v>0.13077369416178686</v>
      </c>
      <c r="T1966" t="s">
        <v>2113</v>
      </c>
      <c r="U1966" s="1">
        <v>48306</v>
      </c>
      <c r="V1966">
        <f t="shared" si="120"/>
        <v>0.52044456411399587</v>
      </c>
      <c r="W1966" s="1">
        <f t="shared" si="121"/>
        <v>30.799999999999997</v>
      </c>
      <c r="X1966">
        <f t="shared" si="122"/>
        <v>8.7294849000000063E-2</v>
      </c>
      <c r="Y1966">
        <f t="shared" si="123"/>
        <v>104</v>
      </c>
      <c r="Z1966" s="1">
        <v>6</v>
      </c>
      <c r="AA1966">
        <v>94</v>
      </c>
      <c r="AB1966">
        <v>6.3799999999999996E-2</v>
      </c>
      <c r="AC1966">
        <v>10</v>
      </c>
      <c r="AD1966">
        <v>100</v>
      </c>
      <c r="AE1966">
        <v>0.1</v>
      </c>
      <c r="AF1966" t="s">
        <v>2589</v>
      </c>
      <c r="AG1966" t="s">
        <v>2589</v>
      </c>
    </row>
    <row r="1967" spans="1:33">
      <c r="A1967" s="2" t="s">
        <v>71</v>
      </c>
      <c r="B1967" s="2" t="s">
        <v>41</v>
      </c>
      <c r="C1967" s="1">
        <v>0.53267569100000001</v>
      </c>
      <c r="D1967">
        <v>0.64507433599999997</v>
      </c>
      <c r="E1967">
        <v>0.66598465100000004</v>
      </c>
      <c r="F1967" s="1" t="s">
        <v>72</v>
      </c>
      <c r="G1967" s="1">
        <v>0.97289666900000005</v>
      </c>
      <c r="H1967" s="1">
        <v>64.8</v>
      </c>
      <c r="I1967" s="1">
        <v>177.1</v>
      </c>
      <c r="J1967" s="1">
        <v>0.61457822600000001</v>
      </c>
      <c r="K1967" s="1">
        <v>0.60402244999999999</v>
      </c>
      <c r="L1967" s="1">
        <v>0.669189213</v>
      </c>
      <c r="M1967" s="3">
        <v>0.69821693799999995</v>
      </c>
      <c r="N1967" s="1" t="s">
        <v>42</v>
      </c>
      <c r="O1967" s="1">
        <v>1.3243902439999999</v>
      </c>
      <c r="P1967" s="1">
        <v>23</v>
      </c>
      <c r="Q1967" s="1">
        <v>41</v>
      </c>
      <c r="R1967" s="1">
        <v>0.65714286700000002</v>
      </c>
      <c r="S1967" s="1">
        <v>8.191951927214644E-2</v>
      </c>
      <c r="T1967" t="s">
        <v>2114</v>
      </c>
      <c r="U1967" s="1">
        <v>3067</v>
      </c>
      <c r="V1967">
        <f t="shared" si="120"/>
        <v>0.38741264177583168</v>
      </c>
      <c r="W1967" s="1">
        <f t="shared" si="121"/>
        <v>41.8</v>
      </c>
      <c r="X1967">
        <f t="shared" si="122"/>
        <v>0.35149357499999989</v>
      </c>
      <c r="Y1967">
        <f t="shared" si="123"/>
        <v>136.1</v>
      </c>
      <c r="Z1967" s="1">
        <v>3</v>
      </c>
      <c r="AA1967">
        <v>97</v>
      </c>
      <c r="AB1967">
        <v>3.09E-2</v>
      </c>
      <c r="AC1967">
        <v>2</v>
      </c>
      <c r="AD1967">
        <v>122</v>
      </c>
      <c r="AE1967">
        <v>1.6400000000000001E-2</v>
      </c>
      <c r="AF1967" t="s">
        <v>2589</v>
      </c>
      <c r="AG1967" t="s">
        <v>2591</v>
      </c>
    </row>
    <row r="1968" spans="1:33">
      <c r="A1968" s="2" t="s">
        <v>71</v>
      </c>
      <c r="B1968" s="2" t="s">
        <v>43</v>
      </c>
      <c r="C1968" s="1">
        <v>0.53267569100000001</v>
      </c>
      <c r="D1968">
        <v>0.64507433599999997</v>
      </c>
      <c r="E1968">
        <v>0.66598465100000004</v>
      </c>
      <c r="F1968" s="1" t="s">
        <v>72</v>
      </c>
      <c r="G1968" s="1">
        <v>0.97289666900000005</v>
      </c>
      <c r="H1968" s="1">
        <v>64.8</v>
      </c>
      <c r="I1968" s="1">
        <v>177.1</v>
      </c>
      <c r="J1968" s="1">
        <v>0.61457822600000001</v>
      </c>
      <c r="K1968" s="1">
        <v>0.54180634699999997</v>
      </c>
      <c r="L1968" s="1">
        <v>0.59470779900000004</v>
      </c>
      <c r="M1968" s="3">
        <v>0.69518155599999998</v>
      </c>
      <c r="N1968" s="1" t="s">
        <v>44</v>
      </c>
      <c r="O1968" s="1">
        <v>1.7403685090000001</v>
      </c>
      <c r="P1968" s="1">
        <v>41.2</v>
      </c>
      <c r="Q1968" s="1">
        <v>59.7</v>
      </c>
      <c r="R1968" s="1">
        <v>0.61056523400000007</v>
      </c>
      <c r="S1968" s="1">
        <v>5.8928907931012256E-2</v>
      </c>
      <c r="T1968" t="s">
        <v>2115</v>
      </c>
      <c r="U1968" s="1">
        <v>1091450</v>
      </c>
      <c r="V1968">
        <f t="shared" si="120"/>
        <v>0.67088931613353897</v>
      </c>
      <c r="W1968" s="1">
        <f t="shared" si="121"/>
        <v>23.599999999999994</v>
      </c>
      <c r="X1968">
        <f t="shared" si="122"/>
        <v>0.76747184000000002</v>
      </c>
      <c r="Y1968">
        <f t="shared" si="123"/>
        <v>117.39999999999999</v>
      </c>
      <c r="Z1968" s="1">
        <v>15</v>
      </c>
      <c r="AA1968">
        <v>85</v>
      </c>
      <c r="AB1968">
        <v>0.17649999999999999</v>
      </c>
      <c r="AC1968">
        <v>22</v>
      </c>
      <c r="AD1968">
        <v>124</v>
      </c>
      <c r="AE1968">
        <v>0.1774</v>
      </c>
      <c r="AF1968" t="s">
        <v>2589</v>
      </c>
      <c r="AG1968" t="s">
        <v>2589</v>
      </c>
    </row>
    <row r="1969" spans="1:33">
      <c r="A1969" s="2" t="s">
        <v>71</v>
      </c>
      <c r="B1969" s="2" t="s">
        <v>45</v>
      </c>
      <c r="C1969" s="1">
        <v>0.53267569100000001</v>
      </c>
      <c r="D1969">
        <v>0.64507433599999997</v>
      </c>
      <c r="E1969">
        <v>0.66598465100000004</v>
      </c>
      <c r="F1969" s="1" t="s">
        <v>72</v>
      </c>
      <c r="G1969" s="1">
        <v>0.97289666900000005</v>
      </c>
      <c r="H1969" s="1">
        <v>64.8</v>
      </c>
      <c r="I1969" s="1">
        <v>177.1</v>
      </c>
      <c r="J1969" s="1">
        <v>0.61457822600000001</v>
      </c>
      <c r="K1969" s="1">
        <v>0.50907007599999998</v>
      </c>
      <c r="L1969" s="1">
        <v>0.68428041399999995</v>
      </c>
      <c r="M1969" s="3">
        <v>0.67454742099999998</v>
      </c>
      <c r="N1969" s="1" t="s">
        <v>46</v>
      </c>
      <c r="O1969" s="1">
        <v>0.98140043799999999</v>
      </c>
      <c r="P1969" s="1">
        <v>38.9</v>
      </c>
      <c r="Q1969" s="1">
        <v>91.4</v>
      </c>
      <c r="R1969" s="1">
        <v>0.62263263699999993</v>
      </c>
      <c r="S1969" s="1">
        <v>4.6558164071870439E-2</v>
      </c>
      <c r="T1969" t="s">
        <v>2116</v>
      </c>
      <c r="U1969" s="1">
        <v>17788</v>
      </c>
      <c r="V1969">
        <f t="shared" si="120"/>
        <v>0.47223634675298853</v>
      </c>
      <c r="W1969" s="1">
        <f t="shared" si="121"/>
        <v>25.9</v>
      </c>
      <c r="X1969">
        <f t="shared" si="122"/>
        <v>8.5037689999999388E-3</v>
      </c>
      <c r="Y1969">
        <f t="shared" si="123"/>
        <v>85.699999999999989</v>
      </c>
      <c r="Z1969" s="1">
        <v>12</v>
      </c>
      <c r="AA1969">
        <v>88</v>
      </c>
      <c r="AB1969">
        <v>0.13639999999999999</v>
      </c>
      <c r="AC1969">
        <v>13</v>
      </c>
      <c r="AD1969">
        <v>113</v>
      </c>
      <c r="AE1969">
        <v>0.115</v>
      </c>
      <c r="AF1969" t="s">
        <v>2589</v>
      </c>
      <c r="AG1969" t="s">
        <v>2589</v>
      </c>
    </row>
    <row r="1970" spans="1:33">
      <c r="A1970" s="2" t="s">
        <v>71</v>
      </c>
      <c r="B1970" s="2" t="s">
        <v>47</v>
      </c>
      <c r="C1970" s="1">
        <v>0.53267569100000001</v>
      </c>
      <c r="D1970">
        <v>0.64507433599999997</v>
      </c>
      <c r="E1970">
        <v>0.66598465100000004</v>
      </c>
      <c r="F1970" s="1" t="s">
        <v>72</v>
      </c>
      <c r="G1970" s="1">
        <v>0.97289666900000005</v>
      </c>
      <c r="H1970" s="1">
        <v>64.8</v>
      </c>
      <c r="I1970" s="1">
        <v>177.1</v>
      </c>
      <c r="J1970" s="1">
        <v>0.61457822600000001</v>
      </c>
      <c r="K1970" s="1">
        <v>0.50612154099999995</v>
      </c>
      <c r="L1970" s="1">
        <v>0.55940039100000005</v>
      </c>
      <c r="M1970" s="3">
        <v>0.66789001699999995</v>
      </c>
      <c r="N1970" s="1" t="s">
        <v>48</v>
      </c>
      <c r="O1970" s="1">
        <v>1.242622951</v>
      </c>
      <c r="P1970" s="1">
        <v>17.8</v>
      </c>
      <c r="Q1970" s="1">
        <v>30.5</v>
      </c>
      <c r="R1970" s="1">
        <v>0.57780398300000002</v>
      </c>
      <c r="S1970" s="1">
        <v>8.9714982882902389E-2</v>
      </c>
      <c r="T1970" t="s">
        <v>2117</v>
      </c>
      <c r="U1970" s="1">
        <v>1692</v>
      </c>
      <c r="V1970">
        <f t="shared" si="120"/>
        <v>0.35871115096700051</v>
      </c>
      <c r="W1970" s="1">
        <f t="shared" si="121"/>
        <v>47</v>
      </c>
      <c r="X1970">
        <f t="shared" si="122"/>
        <v>0.26972628199999993</v>
      </c>
      <c r="Y1970">
        <f t="shared" si="123"/>
        <v>146.6</v>
      </c>
      <c r="Z1970" s="1">
        <v>1</v>
      </c>
      <c r="AA1970">
        <v>99</v>
      </c>
      <c r="AB1970">
        <v>1.01E-2</v>
      </c>
      <c r="AC1970">
        <v>2</v>
      </c>
      <c r="AD1970">
        <v>131</v>
      </c>
      <c r="AE1970">
        <v>1.5299999999999999E-2</v>
      </c>
      <c r="AF1970" t="s">
        <v>2589</v>
      </c>
      <c r="AG1970" t="s">
        <v>2590</v>
      </c>
    </row>
    <row r="1971" spans="1:33">
      <c r="A1971" s="2" t="s">
        <v>71</v>
      </c>
      <c r="B1971" s="2" t="s">
        <v>49</v>
      </c>
      <c r="C1971" s="1">
        <v>0.53267569100000001</v>
      </c>
      <c r="D1971">
        <v>0.64507433599999997</v>
      </c>
      <c r="E1971">
        <v>0.66598465100000004</v>
      </c>
      <c r="F1971" s="1" t="s">
        <v>72</v>
      </c>
      <c r="G1971" s="1">
        <v>0.97289666900000005</v>
      </c>
      <c r="H1971" s="1">
        <v>64.8</v>
      </c>
      <c r="I1971" s="1">
        <v>177.1</v>
      </c>
      <c r="J1971" s="1">
        <v>0.61457822600000001</v>
      </c>
      <c r="K1971" s="1">
        <v>0.50647110500000003</v>
      </c>
      <c r="L1971" s="1">
        <v>0.55713136799999996</v>
      </c>
      <c r="M1971" s="3">
        <v>0.63402682300000002</v>
      </c>
      <c r="N1971" s="1" t="s">
        <v>50</v>
      </c>
      <c r="O1971" s="1">
        <v>1.876675603</v>
      </c>
      <c r="P1971" s="1">
        <v>28.8</v>
      </c>
      <c r="Q1971" s="1">
        <v>37.299999999999997</v>
      </c>
      <c r="R1971" s="1">
        <v>0.56587643200000004</v>
      </c>
      <c r="S1971" s="1">
        <v>9.7169690328610225E-2</v>
      </c>
      <c r="T1971" t="s">
        <v>2118</v>
      </c>
      <c r="U1971" s="1">
        <v>2708</v>
      </c>
      <c r="V1971">
        <f t="shared" si="120"/>
        <v>0.38140540666812295</v>
      </c>
      <c r="W1971" s="1">
        <f t="shared" si="121"/>
        <v>36</v>
      </c>
      <c r="X1971">
        <f t="shared" si="122"/>
        <v>0.90377893399999998</v>
      </c>
      <c r="Y1971">
        <f t="shared" si="123"/>
        <v>139.80000000000001</v>
      </c>
      <c r="Z1971" s="1">
        <v>3</v>
      </c>
      <c r="AA1971">
        <v>97</v>
      </c>
      <c r="AB1971">
        <v>3.09E-2</v>
      </c>
      <c r="AC1971">
        <v>5</v>
      </c>
      <c r="AD1971">
        <v>102</v>
      </c>
      <c r="AE1971">
        <v>4.9000000000000002E-2</v>
      </c>
      <c r="AF1971" t="s">
        <v>2589</v>
      </c>
      <c r="AG1971" t="s">
        <v>2590</v>
      </c>
    </row>
    <row r="1972" spans="1:33">
      <c r="A1972" s="2" t="s">
        <v>71</v>
      </c>
      <c r="B1972" s="2" t="s">
        <v>51</v>
      </c>
      <c r="C1972" s="1">
        <v>0.53267569100000001</v>
      </c>
      <c r="D1972">
        <v>0.64507433599999997</v>
      </c>
      <c r="E1972">
        <v>0.66598465100000004</v>
      </c>
      <c r="F1972" s="1" t="s">
        <v>72</v>
      </c>
      <c r="G1972" s="1">
        <v>0.97289666900000005</v>
      </c>
      <c r="H1972" s="1">
        <v>64.8</v>
      </c>
      <c r="I1972" s="1">
        <v>177.1</v>
      </c>
      <c r="J1972" s="1">
        <v>0.61457822600000001</v>
      </c>
      <c r="K1972" s="1">
        <v>0.60067161999999996</v>
      </c>
      <c r="L1972" s="1">
        <v>0.68094129999999997</v>
      </c>
      <c r="M1972" s="3">
        <v>0.73595931299999995</v>
      </c>
      <c r="N1972" s="1" t="s">
        <v>52</v>
      </c>
      <c r="O1972" s="1">
        <v>1.858638743</v>
      </c>
      <c r="P1972" s="1">
        <v>29.4</v>
      </c>
      <c r="Q1972" s="1">
        <v>38.200000000000003</v>
      </c>
      <c r="R1972" s="1">
        <v>0.67252407766666666</v>
      </c>
      <c r="S1972" s="1">
        <v>0.10395354149409515</v>
      </c>
      <c r="T1972" t="s">
        <v>2119</v>
      </c>
      <c r="U1972" s="1">
        <v>3012</v>
      </c>
      <c r="V1972">
        <f t="shared" si="120"/>
        <v>0.38653944083651814</v>
      </c>
      <c r="W1972" s="1">
        <f t="shared" si="121"/>
        <v>35.4</v>
      </c>
      <c r="X1972">
        <f t="shared" si="122"/>
        <v>0.88574207399999993</v>
      </c>
      <c r="Y1972">
        <f t="shared" si="123"/>
        <v>138.89999999999998</v>
      </c>
      <c r="Z1972" s="1">
        <v>6</v>
      </c>
      <c r="AA1972">
        <v>94</v>
      </c>
      <c r="AB1972">
        <v>6.3799999999999996E-2</v>
      </c>
      <c r="AC1972">
        <v>6</v>
      </c>
      <c r="AD1972">
        <v>110</v>
      </c>
      <c r="AE1972">
        <v>5.45E-2</v>
      </c>
      <c r="AF1972" t="s">
        <v>2589</v>
      </c>
      <c r="AG1972" t="s">
        <v>2591</v>
      </c>
    </row>
    <row r="1973" spans="1:33">
      <c r="A1973" s="2" t="s">
        <v>71</v>
      </c>
      <c r="B1973" s="2" t="s">
        <v>53</v>
      </c>
      <c r="C1973" s="1">
        <v>0.53267569100000001</v>
      </c>
      <c r="D1973">
        <v>0.64507433599999997</v>
      </c>
      <c r="E1973">
        <v>0.66598465100000004</v>
      </c>
      <c r="F1973" s="1" t="s">
        <v>72</v>
      </c>
      <c r="G1973" s="1">
        <v>0.97289666900000005</v>
      </c>
      <c r="H1973" s="1">
        <v>64.8</v>
      </c>
      <c r="I1973" s="1">
        <v>177.1</v>
      </c>
      <c r="J1973" s="1">
        <v>0.61457822600000001</v>
      </c>
      <c r="K1973" s="1">
        <v>0.54695832700000002</v>
      </c>
      <c r="L1973" s="1">
        <v>0.659790137</v>
      </c>
      <c r="M1973" s="3">
        <v>0.70662085500000005</v>
      </c>
      <c r="N1973" s="1" t="s">
        <v>54</v>
      </c>
      <c r="O1973" s="1">
        <v>2.5053995680000001</v>
      </c>
      <c r="P1973" s="1">
        <v>43.9</v>
      </c>
      <c r="Q1973" s="1">
        <v>46.3</v>
      </c>
      <c r="R1973" s="1">
        <v>0.63778977300000006</v>
      </c>
      <c r="S1973" s="1">
        <v>4.5517574251158363E-2</v>
      </c>
      <c r="T1973" t="s">
        <v>2120</v>
      </c>
      <c r="U1973" s="1">
        <v>5851</v>
      </c>
      <c r="V1973">
        <f t="shared" si="120"/>
        <v>0.41858112201230202</v>
      </c>
      <c r="W1973" s="1">
        <f t="shared" si="121"/>
        <v>20.9</v>
      </c>
      <c r="X1973">
        <f t="shared" si="122"/>
        <v>1.532502899</v>
      </c>
      <c r="Y1973">
        <f t="shared" si="123"/>
        <v>130.80000000000001</v>
      </c>
      <c r="Z1973" s="1">
        <v>4</v>
      </c>
      <c r="AA1973">
        <v>96</v>
      </c>
      <c r="AB1973">
        <v>4.1700000000000001E-2</v>
      </c>
      <c r="AC1973">
        <v>4</v>
      </c>
      <c r="AD1973">
        <v>112</v>
      </c>
      <c r="AE1973">
        <v>3.5700000000000003E-2</v>
      </c>
      <c r="AF1973" t="s">
        <v>2589</v>
      </c>
      <c r="AG1973" t="s">
        <v>2593</v>
      </c>
    </row>
    <row r="1974" spans="1:33">
      <c r="A1974" s="2" t="s">
        <v>71</v>
      </c>
      <c r="B1974" s="2" t="s">
        <v>55</v>
      </c>
      <c r="C1974" s="1">
        <v>0.53267569100000001</v>
      </c>
      <c r="D1974">
        <v>0.64507433599999997</v>
      </c>
      <c r="E1974">
        <v>0.66598465100000004</v>
      </c>
      <c r="F1974" s="1" t="s">
        <v>72</v>
      </c>
      <c r="G1974" s="1">
        <v>0.97289666900000005</v>
      </c>
      <c r="H1974" s="1">
        <v>64.8</v>
      </c>
      <c r="I1974" s="1">
        <v>177.1</v>
      </c>
      <c r="J1974" s="1">
        <v>0.61457822600000001</v>
      </c>
      <c r="K1974" s="1">
        <v>0.52971861799999997</v>
      </c>
      <c r="L1974" s="1">
        <v>0.62258244500000004</v>
      </c>
      <c r="M1974" s="3">
        <v>0.63939760400000001</v>
      </c>
      <c r="N1974" s="1" t="s">
        <v>56</v>
      </c>
      <c r="O1974" s="1">
        <v>1.0796934869999999</v>
      </c>
      <c r="P1974" s="1">
        <v>55.3</v>
      </c>
      <c r="Q1974" s="1">
        <v>130.5</v>
      </c>
      <c r="R1974" s="1">
        <v>0.59723288899999993</v>
      </c>
      <c r="S1974" s="1">
        <v>3.4949971525931427E-2</v>
      </c>
      <c r="T1974" t="s">
        <v>2121</v>
      </c>
      <c r="U1974" s="1">
        <v>9309</v>
      </c>
      <c r="V1974">
        <f t="shared" si="120"/>
        <v>0.44098922558931419</v>
      </c>
      <c r="W1974" s="1">
        <f t="shared" si="121"/>
        <v>9.5</v>
      </c>
      <c r="X1974">
        <f t="shared" si="122"/>
        <v>0.10679681799999985</v>
      </c>
      <c r="Y1974">
        <f t="shared" si="123"/>
        <v>46.599999999999994</v>
      </c>
      <c r="Z1974" s="1">
        <v>16</v>
      </c>
      <c r="AA1974">
        <v>84</v>
      </c>
      <c r="AB1974">
        <v>0.1905</v>
      </c>
      <c r="AC1974">
        <v>17</v>
      </c>
      <c r="AD1974">
        <v>91</v>
      </c>
      <c r="AE1974">
        <v>0.18679999999999999</v>
      </c>
      <c r="AF1974" t="s">
        <v>2589</v>
      </c>
      <c r="AG1974" t="s">
        <v>2592</v>
      </c>
    </row>
    <row r="1975" spans="1:33">
      <c r="A1975" s="2" t="s">
        <v>71</v>
      </c>
      <c r="B1975" s="2" t="s">
        <v>57</v>
      </c>
      <c r="C1975" s="1">
        <v>0.53267569100000001</v>
      </c>
      <c r="D1975">
        <v>0.64507433599999997</v>
      </c>
      <c r="E1975">
        <v>0.66598465100000004</v>
      </c>
      <c r="F1975" s="1" t="s">
        <v>72</v>
      </c>
      <c r="G1975" s="1">
        <v>0.97289666900000005</v>
      </c>
      <c r="H1975" s="1">
        <v>64.8</v>
      </c>
      <c r="I1975" s="1">
        <v>177.1</v>
      </c>
      <c r="J1975" s="1">
        <v>0.61457822600000001</v>
      </c>
      <c r="K1975" s="1">
        <v>0.528732855</v>
      </c>
      <c r="L1975" s="1">
        <v>0.63387497599999998</v>
      </c>
      <c r="M1975" s="3">
        <v>0.63337360200000004</v>
      </c>
      <c r="N1975" s="1" t="s">
        <v>58</v>
      </c>
      <c r="O1975" s="1">
        <v>1.386610879</v>
      </c>
      <c r="P1975" s="1">
        <v>69</v>
      </c>
      <c r="Q1975" s="1">
        <v>119.5</v>
      </c>
      <c r="R1975" s="1">
        <v>0.59866047766666663</v>
      </c>
      <c r="S1975" s="1">
        <v>3.4705217720292392E-2</v>
      </c>
      <c r="T1975" t="s">
        <v>2122</v>
      </c>
      <c r="U1975" s="1">
        <v>20321</v>
      </c>
      <c r="V1975">
        <f t="shared" si="120"/>
        <v>0.47866056398288115</v>
      </c>
      <c r="W1975" s="1">
        <f t="shared" si="121"/>
        <v>4.2000000000000028</v>
      </c>
      <c r="X1975">
        <f t="shared" si="122"/>
        <v>0.41371420999999997</v>
      </c>
      <c r="Y1975">
        <f t="shared" si="123"/>
        <v>57.599999999999994</v>
      </c>
      <c r="Z1975" s="1">
        <v>17</v>
      </c>
      <c r="AA1975">
        <v>83</v>
      </c>
      <c r="AB1975">
        <v>0.20480000000000001</v>
      </c>
      <c r="AC1975">
        <v>18</v>
      </c>
      <c r="AD1975">
        <v>96</v>
      </c>
      <c r="AE1975">
        <v>0.1875</v>
      </c>
      <c r="AF1975" t="s">
        <v>2589</v>
      </c>
      <c r="AG1975" t="s">
        <v>2589</v>
      </c>
    </row>
    <row r="1976" spans="1:33">
      <c r="A1976" s="2" t="s">
        <v>71</v>
      </c>
      <c r="B1976" s="2" t="s">
        <v>59</v>
      </c>
      <c r="C1976" s="1">
        <v>0.53267569100000001</v>
      </c>
      <c r="D1976">
        <v>0.64507433599999997</v>
      </c>
      <c r="E1976">
        <v>0.66598465100000004</v>
      </c>
      <c r="F1976" s="1" t="s">
        <v>72</v>
      </c>
      <c r="G1976" s="1">
        <v>0.97289666900000005</v>
      </c>
      <c r="H1976" s="1">
        <v>64.8</v>
      </c>
      <c r="I1976" s="1">
        <v>177.1</v>
      </c>
      <c r="J1976" s="1">
        <v>0.61457822600000001</v>
      </c>
      <c r="K1976" s="1">
        <v>0.56225432799999997</v>
      </c>
      <c r="L1976" s="1">
        <v>0.68100706499999997</v>
      </c>
      <c r="M1976" s="3">
        <v>0.67505263699999996</v>
      </c>
      <c r="N1976" s="1" t="s">
        <v>60</v>
      </c>
      <c r="O1976" s="1">
        <v>1.1501154730000001</v>
      </c>
      <c r="P1976" s="1">
        <v>60.5</v>
      </c>
      <c r="Q1976" s="1">
        <v>129.9</v>
      </c>
      <c r="R1976" s="1">
        <v>0.63943801</v>
      </c>
      <c r="S1976" s="1">
        <v>4.7416085353616043E-2</v>
      </c>
      <c r="T1976" t="s">
        <v>2123</v>
      </c>
      <c r="U1976" s="1">
        <v>56533</v>
      </c>
      <c r="V1976">
        <f t="shared" si="120"/>
        <v>0.52803355916609851</v>
      </c>
      <c r="W1976" s="1">
        <f t="shared" si="121"/>
        <v>4.2999999999999972</v>
      </c>
      <c r="X1976">
        <f t="shared" si="122"/>
        <v>0.17721880400000001</v>
      </c>
      <c r="Y1976">
        <f t="shared" si="123"/>
        <v>47.199999999999989</v>
      </c>
      <c r="Z1976" s="1">
        <v>16</v>
      </c>
      <c r="AA1976">
        <v>84</v>
      </c>
      <c r="AB1976">
        <v>0.1905</v>
      </c>
      <c r="AC1976">
        <v>25</v>
      </c>
      <c r="AD1976">
        <v>108</v>
      </c>
      <c r="AE1976">
        <v>0.23150000000000001</v>
      </c>
      <c r="AF1976" t="s">
        <v>2589</v>
      </c>
      <c r="AG1976" t="s">
        <v>2589</v>
      </c>
    </row>
    <row r="1977" spans="1:33">
      <c r="A1977" s="2" t="s">
        <v>71</v>
      </c>
      <c r="B1977" s="2" t="s">
        <v>61</v>
      </c>
      <c r="C1977" s="1">
        <v>0.53267569100000001</v>
      </c>
      <c r="D1977">
        <v>0.64507433599999997</v>
      </c>
      <c r="E1977">
        <v>0.66598465100000004</v>
      </c>
      <c r="F1977" s="1" t="s">
        <v>72</v>
      </c>
      <c r="G1977" s="1">
        <v>0.97289666900000005</v>
      </c>
      <c r="H1977" s="1">
        <v>64.8</v>
      </c>
      <c r="I1977" s="1">
        <v>177.1</v>
      </c>
      <c r="J1977" s="1">
        <v>0.61457822600000001</v>
      </c>
      <c r="K1977" s="1">
        <v>0.62063455999999995</v>
      </c>
      <c r="L1977" s="1">
        <v>0.67798104299999995</v>
      </c>
      <c r="M1977" s="3">
        <v>0.72175371600000005</v>
      </c>
      <c r="N1977" s="1" t="s">
        <v>62</v>
      </c>
      <c r="O1977" s="1">
        <v>7.5471698109999998</v>
      </c>
      <c r="P1977" s="1">
        <v>26.4</v>
      </c>
      <c r="Q1977" s="1">
        <v>10.6</v>
      </c>
      <c r="R1977" s="1">
        <v>0.6734564396666668</v>
      </c>
      <c r="S1977" s="1">
        <v>0.10922363577686482</v>
      </c>
      <c r="T1977" t="s">
        <v>2124</v>
      </c>
      <c r="U1977" s="1">
        <v>2600</v>
      </c>
      <c r="V1977">
        <f t="shared" si="120"/>
        <v>0.37944148310786863</v>
      </c>
      <c r="W1977" s="1">
        <f t="shared" si="121"/>
        <v>38.4</v>
      </c>
      <c r="X1977">
        <f t="shared" si="122"/>
        <v>6.574273142</v>
      </c>
      <c r="Y1977">
        <f t="shared" si="123"/>
        <v>166.5</v>
      </c>
      <c r="Z1977" s="1">
        <v>0</v>
      </c>
      <c r="AA1977">
        <v>100</v>
      </c>
      <c r="AB1977">
        <v>0</v>
      </c>
      <c r="AC1977">
        <v>0</v>
      </c>
      <c r="AD1977">
        <v>108</v>
      </c>
      <c r="AE1977">
        <v>0</v>
      </c>
      <c r="AF1977" t="s">
        <v>2589</v>
      </c>
      <c r="AG1977" t="s">
        <v>2588</v>
      </c>
    </row>
    <row r="1978" spans="1:33">
      <c r="A1978" s="2" t="s">
        <v>71</v>
      </c>
      <c r="B1978" s="2" t="s">
        <v>63</v>
      </c>
      <c r="C1978" s="1">
        <v>0.53267569100000001</v>
      </c>
      <c r="D1978">
        <v>0.64507433599999997</v>
      </c>
      <c r="E1978">
        <v>0.66598465100000004</v>
      </c>
      <c r="F1978" s="1" t="s">
        <v>72</v>
      </c>
      <c r="G1978" s="1">
        <v>0.97289666900000005</v>
      </c>
      <c r="H1978" s="1">
        <v>64.8</v>
      </c>
      <c r="I1978" s="1">
        <v>177.1</v>
      </c>
      <c r="J1978" s="1">
        <v>0.61457822600000001</v>
      </c>
      <c r="K1978" s="1">
        <v>0.44311141399999998</v>
      </c>
      <c r="L1978" s="1">
        <v>0.57053969199999999</v>
      </c>
      <c r="M1978" s="3">
        <v>0.59266330599999995</v>
      </c>
      <c r="N1978" s="1" t="s">
        <v>64</v>
      </c>
      <c r="O1978" s="1">
        <v>0.89618138400000003</v>
      </c>
      <c r="P1978" s="1">
        <v>29.7</v>
      </c>
      <c r="Q1978" s="1">
        <v>83.8</v>
      </c>
      <c r="R1978" s="1">
        <v>0.53543813733333334</v>
      </c>
      <c r="S1978" s="1">
        <v>0.13767059418535429</v>
      </c>
      <c r="T1978" t="s">
        <v>2125</v>
      </c>
      <c r="U1978" s="1">
        <v>1350</v>
      </c>
      <c r="V1978">
        <f t="shared" si="120"/>
        <v>0.34781486316611177</v>
      </c>
      <c r="W1978" s="1">
        <f t="shared" si="121"/>
        <v>35.099999999999994</v>
      </c>
      <c r="X1978">
        <f t="shared" si="122"/>
        <v>7.6715285000000022E-2</v>
      </c>
      <c r="Y1978">
        <f t="shared" si="123"/>
        <v>93.3</v>
      </c>
      <c r="Z1978" s="1">
        <v>6</v>
      </c>
      <c r="AA1978">
        <v>94</v>
      </c>
      <c r="AB1978">
        <v>6.3799999999999996E-2</v>
      </c>
      <c r="AC1978">
        <v>10</v>
      </c>
      <c r="AD1978">
        <v>105</v>
      </c>
      <c r="AE1978">
        <v>9.5200000000000007E-2</v>
      </c>
      <c r="AF1978" t="s">
        <v>2589</v>
      </c>
      <c r="AG1978" t="s">
        <v>2590</v>
      </c>
    </row>
    <row r="1979" spans="1:33">
      <c r="A1979" s="2" t="s">
        <v>71</v>
      </c>
      <c r="B1979" s="2" t="s">
        <v>65</v>
      </c>
      <c r="C1979" s="1">
        <v>0.53267569100000001</v>
      </c>
      <c r="D1979">
        <v>0.64507433599999997</v>
      </c>
      <c r="E1979">
        <v>0.66598465100000004</v>
      </c>
      <c r="F1979" s="1" t="s">
        <v>72</v>
      </c>
      <c r="G1979" s="1">
        <v>0.97289666900000005</v>
      </c>
      <c r="H1979" s="1">
        <v>64.8</v>
      </c>
      <c r="I1979" s="1">
        <v>177.1</v>
      </c>
      <c r="J1979" s="1">
        <v>0.61457822600000001</v>
      </c>
      <c r="K1979" s="1">
        <v>0.67377447499999998</v>
      </c>
      <c r="L1979" s="1">
        <v>0.69144672900000004</v>
      </c>
      <c r="M1979" s="3">
        <v>0.73046409700000003</v>
      </c>
      <c r="N1979" s="1" t="s">
        <v>66</v>
      </c>
      <c r="O1979" s="1">
        <v>1.8507462690000001</v>
      </c>
      <c r="P1979" s="1">
        <v>34.5</v>
      </c>
      <c r="Q1979" s="1">
        <v>46.9</v>
      </c>
      <c r="R1979" s="1">
        <v>0.69856176700000006</v>
      </c>
      <c r="S1979" s="1">
        <v>0.16191622721423576</v>
      </c>
      <c r="T1979" t="s">
        <v>2126</v>
      </c>
      <c r="U1979" s="1">
        <v>1415</v>
      </c>
      <c r="V1979">
        <f t="shared" si="120"/>
        <v>0.35008404887336764</v>
      </c>
      <c r="W1979" s="1">
        <f t="shared" si="121"/>
        <v>30.299999999999997</v>
      </c>
      <c r="X1979">
        <f t="shared" si="122"/>
        <v>0.87784960000000001</v>
      </c>
      <c r="Y1979">
        <f t="shared" si="123"/>
        <v>130.19999999999999</v>
      </c>
      <c r="Z1979" s="1">
        <v>2</v>
      </c>
      <c r="AA1979">
        <v>98</v>
      </c>
      <c r="AB1979">
        <v>2.0400000000000001E-2</v>
      </c>
      <c r="AC1979">
        <v>2</v>
      </c>
      <c r="AD1979">
        <v>95</v>
      </c>
      <c r="AE1979">
        <v>2.1100000000000001E-2</v>
      </c>
      <c r="AF1979" t="s">
        <v>2589</v>
      </c>
      <c r="AG1979" t="s">
        <v>2593</v>
      </c>
    </row>
    <row r="1980" spans="1:33">
      <c r="A1980" s="2" t="s">
        <v>71</v>
      </c>
      <c r="B1980" s="2" t="s">
        <v>67</v>
      </c>
      <c r="C1980" s="1">
        <v>0.53267569100000001</v>
      </c>
      <c r="D1980">
        <v>0.64507433599999997</v>
      </c>
      <c r="E1980">
        <v>0.66598465100000004</v>
      </c>
      <c r="F1980" s="1" t="s">
        <v>72</v>
      </c>
      <c r="G1980" s="1">
        <v>0.97289666900000005</v>
      </c>
      <c r="H1980" s="1">
        <v>64.8</v>
      </c>
      <c r="I1980" s="1">
        <v>177.1</v>
      </c>
      <c r="J1980" s="1">
        <v>0.61457822600000001</v>
      </c>
      <c r="K1980" s="1">
        <v>0.53971122199999999</v>
      </c>
      <c r="L1980" s="1">
        <v>0.621203065</v>
      </c>
      <c r="M1980" s="3">
        <v>0.67806811499999997</v>
      </c>
      <c r="N1980" s="1" t="s">
        <v>68</v>
      </c>
      <c r="O1980" s="1">
        <v>1.5131894480000001</v>
      </c>
      <c r="P1980" s="1">
        <v>27.2</v>
      </c>
      <c r="Q1980" s="1">
        <v>41.7</v>
      </c>
      <c r="R1980" s="1">
        <v>0.61299413400000002</v>
      </c>
      <c r="S1980" s="1">
        <v>2.7664894321986752E-2</v>
      </c>
      <c r="T1980" t="s">
        <v>2127</v>
      </c>
      <c r="U1980" s="1">
        <v>11581</v>
      </c>
      <c r="V1980">
        <f t="shared" si="120"/>
        <v>0.45152734017927149</v>
      </c>
      <c r="W1980" s="1">
        <f t="shared" si="121"/>
        <v>37.599999999999994</v>
      </c>
      <c r="X1980">
        <f t="shared" si="122"/>
        <v>0.54029277900000006</v>
      </c>
      <c r="Y1980">
        <f t="shared" si="123"/>
        <v>135.39999999999998</v>
      </c>
      <c r="Z1980" s="1">
        <v>3</v>
      </c>
      <c r="AA1980">
        <v>97</v>
      </c>
      <c r="AB1980">
        <v>3.09E-2</v>
      </c>
      <c r="AC1980">
        <v>6</v>
      </c>
      <c r="AD1980">
        <v>102</v>
      </c>
      <c r="AE1980">
        <v>5.8799999999999998E-2</v>
      </c>
      <c r="AF1980" t="s">
        <v>2589</v>
      </c>
      <c r="AG1980" t="s">
        <v>2588</v>
      </c>
    </row>
    <row r="1981" spans="1:33">
      <c r="A1981" s="2" t="s">
        <v>71</v>
      </c>
      <c r="B1981" s="2" t="s">
        <v>69</v>
      </c>
      <c r="C1981" s="1">
        <v>0.53267569100000001</v>
      </c>
      <c r="D1981">
        <v>0.64507433599999997</v>
      </c>
      <c r="E1981">
        <v>0.66598465100000004</v>
      </c>
      <c r="F1981" s="1" t="s">
        <v>72</v>
      </c>
      <c r="G1981" s="1">
        <v>0.97289666900000005</v>
      </c>
      <c r="H1981" s="1">
        <v>64.8</v>
      </c>
      <c r="I1981" s="1">
        <v>177.1</v>
      </c>
      <c r="J1981" s="1">
        <v>0.61457822600000001</v>
      </c>
      <c r="K1981" s="1">
        <v>0.50188385300000005</v>
      </c>
      <c r="L1981" s="1">
        <v>0.64580031500000001</v>
      </c>
      <c r="M1981" s="3">
        <v>0.66006355800000005</v>
      </c>
      <c r="N1981" s="1" t="s">
        <v>70</v>
      </c>
      <c r="O1981" s="1">
        <v>1.2401055409999999</v>
      </c>
      <c r="P1981" s="1">
        <v>43.4</v>
      </c>
      <c r="Q1981" s="1">
        <v>75.8</v>
      </c>
      <c r="R1981" s="1">
        <v>0.60258257533333337</v>
      </c>
      <c r="S1981" s="1">
        <v>3.1364369517676127E-2</v>
      </c>
      <c r="T1981" t="s">
        <v>2128</v>
      </c>
      <c r="U1981" s="1">
        <v>40917</v>
      </c>
      <c r="V1981">
        <f t="shared" si="120"/>
        <v>0.51243375378905753</v>
      </c>
      <c r="W1981" s="1">
        <f t="shared" si="121"/>
        <v>21.4</v>
      </c>
      <c r="X1981">
        <f t="shared" si="122"/>
        <v>0.26720887199999988</v>
      </c>
      <c r="Y1981">
        <f t="shared" si="123"/>
        <v>101.3</v>
      </c>
      <c r="Z1981" s="1">
        <v>17</v>
      </c>
      <c r="AA1981">
        <v>83</v>
      </c>
      <c r="AB1981">
        <v>0.20480000000000001</v>
      </c>
      <c r="AC1981">
        <v>20</v>
      </c>
      <c r="AD1981">
        <v>95</v>
      </c>
      <c r="AE1981">
        <v>0.21049999999999999</v>
      </c>
      <c r="AF1981" t="s">
        <v>2589</v>
      </c>
      <c r="AG1981" t="s">
        <v>2589</v>
      </c>
    </row>
    <row r="1982" spans="1:33">
      <c r="A1982" s="2" t="s">
        <v>69</v>
      </c>
      <c r="B1982" s="2" t="s">
        <v>10</v>
      </c>
      <c r="C1982" s="1">
        <v>0.50188385300000005</v>
      </c>
      <c r="D1982">
        <v>0.64580031500000001</v>
      </c>
      <c r="E1982">
        <v>0.66006355800000005</v>
      </c>
      <c r="F1982" s="1" t="s">
        <v>70</v>
      </c>
      <c r="G1982" s="1">
        <v>1.2401055409999999</v>
      </c>
      <c r="H1982" s="1">
        <v>43.4</v>
      </c>
      <c r="I1982" s="1">
        <v>75.8</v>
      </c>
      <c r="J1982" s="1">
        <v>0.60258257533333337</v>
      </c>
      <c r="K1982" s="1">
        <v>0.52456325500000001</v>
      </c>
      <c r="L1982" s="1">
        <v>0.61925627999999999</v>
      </c>
      <c r="M1982" s="3">
        <v>0.72111139899999999</v>
      </c>
      <c r="N1982" s="1" t="s">
        <v>12</v>
      </c>
      <c r="O1982" s="1">
        <v>0.61690647499999995</v>
      </c>
      <c r="P1982" s="1">
        <v>30</v>
      </c>
      <c r="Q1982" s="1">
        <v>111.2</v>
      </c>
      <c r="R1982" s="1">
        <v>0.62164364466666666</v>
      </c>
      <c r="S1982" s="1">
        <v>7.0326239483709779E-2</v>
      </c>
      <c r="T1982" t="s">
        <v>2129</v>
      </c>
      <c r="U1982" s="1">
        <v>279</v>
      </c>
      <c r="V1982">
        <f t="shared" si="120"/>
        <v>0.27173380036373307</v>
      </c>
      <c r="W1982" s="1">
        <f t="shared" si="121"/>
        <v>13.399999999999999</v>
      </c>
      <c r="X1982">
        <f t="shared" si="122"/>
        <v>0.62319906599999997</v>
      </c>
      <c r="Y1982">
        <f t="shared" si="123"/>
        <v>35.400000000000006</v>
      </c>
      <c r="Z1982" s="1">
        <v>5</v>
      </c>
      <c r="AA1982">
        <v>95</v>
      </c>
      <c r="AB1982">
        <v>5.2600000000000001E-2</v>
      </c>
      <c r="AC1982">
        <v>8</v>
      </c>
      <c r="AD1982">
        <v>151</v>
      </c>
      <c r="AE1982">
        <v>5.2999999999999999E-2</v>
      </c>
      <c r="AF1982" t="s">
        <v>2589</v>
      </c>
      <c r="AG1982" t="s">
        <v>2588</v>
      </c>
    </row>
    <row r="1983" spans="1:33">
      <c r="A1983" s="2" t="s">
        <v>69</v>
      </c>
      <c r="B1983" s="2" t="s">
        <v>13</v>
      </c>
      <c r="C1983" s="1">
        <v>0.50188385300000005</v>
      </c>
      <c r="D1983">
        <v>0.64580031500000001</v>
      </c>
      <c r="E1983">
        <v>0.66006355800000005</v>
      </c>
      <c r="F1983" s="1" t="s">
        <v>70</v>
      </c>
      <c r="G1983" s="1">
        <v>1.2401055409999999</v>
      </c>
      <c r="H1983" s="1">
        <v>43.4</v>
      </c>
      <c r="I1983" s="1">
        <v>75.8</v>
      </c>
      <c r="J1983" s="1">
        <v>0.60258257533333337</v>
      </c>
      <c r="K1983" s="1">
        <v>0.48695497399999998</v>
      </c>
      <c r="L1983" s="1">
        <v>0.54991327199999995</v>
      </c>
      <c r="M1983" s="3">
        <v>0.67282609299999996</v>
      </c>
      <c r="N1983" s="1" t="s">
        <v>14</v>
      </c>
      <c r="O1983" s="1">
        <v>1.6052009460000001</v>
      </c>
      <c r="P1983" s="1">
        <v>26.6</v>
      </c>
      <c r="Q1983" s="1">
        <v>42.3</v>
      </c>
      <c r="R1983" s="1">
        <v>0.56989811299999993</v>
      </c>
      <c r="S1983" s="1">
        <v>9.7877876678576989E-2</v>
      </c>
      <c r="T1983" t="s">
        <v>2130</v>
      </c>
      <c r="U1983" s="1">
        <v>678</v>
      </c>
      <c r="V1983">
        <f t="shared" si="120"/>
        <v>0.31458107709634037</v>
      </c>
      <c r="W1983" s="1">
        <f t="shared" si="121"/>
        <v>16.799999999999997</v>
      </c>
      <c r="X1983">
        <f t="shared" si="122"/>
        <v>0.36509540500000015</v>
      </c>
      <c r="Y1983">
        <f t="shared" si="123"/>
        <v>33.5</v>
      </c>
      <c r="Z1983" s="1">
        <v>2</v>
      </c>
      <c r="AA1983">
        <v>98</v>
      </c>
      <c r="AB1983">
        <v>2.0400000000000001E-2</v>
      </c>
      <c r="AC1983">
        <v>3</v>
      </c>
      <c r="AD1983">
        <v>103</v>
      </c>
      <c r="AE1983">
        <v>2.9100000000000001E-2</v>
      </c>
      <c r="AF1983" t="s">
        <v>2589</v>
      </c>
      <c r="AG1983" t="s">
        <v>2590</v>
      </c>
    </row>
    <row r="1984" spans="1:33">
      <c r="A1984" s="2" t="s">
        <v>69</v>
      </c>
      <c r="B1984" s="2" t="s">
        <v>15</v>
      </c>
      <c r="C1984" s="1">
        <v>0.50188385300000005</v>
      </c>
      <c r="D1984">
        <v>0.64580031500000001</v>
      </c>
      <c r="E1984">
        <v>0.66006355800000005</v>
      </c>
      <c r="F1984" s="1" t="s">
        <v>70</v>
      </c>
      <c r="G1984" s="1">
        <v>1.2401055409999999</v>
      </c>
      <c r="H1984" s="1">
        <v>43.4</v>
      </c>
      <c r="I1984" s="1">
        <v>75.8</v>
      </c>
      <c r="J1984" s="1">
        <v>0.60258257533333337</v>
      </c>
      <c r="K1984" s="1">
        <v>0.54560998800000005</v>
      </c>
      <c r="L1984" s="1">
        <v>0.66721428400000005</v>
      </c>
      <c r="M1984" s="3">
        <v>0.72650398400000005</v>
      </c>
      <c r="N1984" s="1" t="s">
        <v>16</v>
      </c>
      <c r="O1984" s="1">
        <v>5.1392405060000002</v>
      </c>
      <c r="P1984" s="1">
        <v>35.9</v>
      </c>
      <c r="Q1984" s="1">
        <v>15.8</v>
      </c>
      <c r="R1984" s="1">
        <v>0.64644275200000012</v>
      </c>
      <c r="S1984" s="1">
        <v>8.2370280790055969E-2</v>
      </c>
      <c r="T1984" t="s">
        <v>2131</v>
      </c>
      <c r="U1984" s="1">
        <v>244</v>
      </c>
      <c r="V1984">
        <f t="shared" si="120"/>
        <v>0.26526553625985883</v>
      </c>
      <c r="W1984" s="1">
        <f t="shared" si="121"/>
        <v>7.5</v>
      </c>
      <c r="X1984">
        <f t="shared" si="122"/>
        <v>3.899134965</v>
      </c>
      <c r="Y1984">
        <f t="shared" si="123"/>
        <v>60</v>
      </c>
      <c r="Z1984" s="1">
        <v>1</v>
      </c>
      <c r="AA1984">
        <v>99</v>
      </c>
      <c r="AB1984">
        <v>1.01E-2</v>
      </c>
      <c r="AC1984">
        <v>1</v>
      </c>
      <c r="AD1984">
        <v>101</v>
      </c>
      <c r="AE1984">
        <v>9.9000000000000008E-3</v>
      </c>
      <c r="AF1984" t="s">
        <v>2589</v>
      </c>
      <c r="AG1984" t="s">
        <v>2591</v>
      </c>
    </row>
    <row r="1985" spans="1:33">
      <c r="A1985" s="2" t="s">
        <v>69</v>
      </c>
      <c r="B1985" s="2" t="s">
        <v>17</v>
      </c>
      <c r="C1985" s="1">
        <v>0.50188385300000005</v>
      </c>
      <c r="D1985">
        <v>0.64580031500000001</v>
      </c>
      <c r="E1985">
        <v>0.66006355800000005</v>
      </c>
      <c r="F1985" s="1" t="s">
        <v>70</v>
      </c>
      <c r="G1985" s="1">
        <v>1.2401055409999999</v>
      </c>
      <c r="H1985" s="1">
        <v>43.4</v>
      </c>
      <c r="I1985" s="1">
        <v>75.8</v>
      </c>
      <c r="J1985" s="1">
        <v>0.60258257533333337</v>
      </c>
      <c r="K1985" s="1">
        <v>0.659112378</v>
      </c>
      <c r="L1985" s="1">
        <v>0.68333493499999998</v>
      </c>
      <c r="M1985" s="3">
        <v>0.70345495199999997</v>
      </c>
      <c r="N1985" s="1" t="s">
        <v>18</v>
      </c>
      <c r="O1985" s="1">
        <v>1.9463955639999999</v>
      </c>
      <c r="P1985" s="1">
        <v>46.3</v>
      </c>
      <c r="Q1985" s="1">
        <v>54.1</v>
      </c>
      <c r="R1985" s="1">
        <v>0.68196742166666668</v>
      </c>
      <c r="S1985" s="1">
        <v>0.16736926194938914</v>
      </c>
      <c r="T1985" t="s">
        <v>2132</v>
      </c>
      <c r="U1985" s="1">
        <v>768</v>
      </c>
      <c r="V1985">
        <f t="shared" si="120"/>
        <v>0.32059569111461245</v>
      </c>
      <c r="W1985" s="1">
        <f t="shared" si="121"/>
        <v>2.8999999999999986</v>
      </c>
      <c r="X1985">
        <f t="shared" si="122"/>
        <v>0.70629002299999999</v>
      </c>
      <c r="Y1985">
        <f t="shared" si="123"/>
        <v>21.699999999999996</v>
      </c>
      <c r="Z1985" s="1">
        <v>1</v>
      </c>
      <c r="AA1985">
        <v>99</v>
      </c>
      <c r="AB1985">
        <v>1.01E-2</v>
      </c>
      <c r="AC1985">
        <v>1</v>
      </c>
      <c r="AD1985">
        <v>115</v>
      </c>
      <c r="AE1985">
        <v>8.6999999999999994E-3</v>
      </c>
      <c r="AF1985" t="s">
        <v>2589</v>
      </c>
      <c r="AG1985" t="s">
        <v>2591</v>
      </c>
    </row>
    <row r="1986" spans="1:33">
      <c r="A1986" s="2" t="s">
        <v>69</v>
      </c>
      <c r="B1986" s="2" t="s">
        <v>19</v>
      </c>
      <c r="C1986" s="1">
        <v>0.50188385300000005</v>
      </c>
      <c r="D1986">
        <v>0.64580031500000001</v>
      </c>
      <c r="E1986">
        <v>0.66006355800000005</v>
      </c>
      <c r="F1986" s="1" t="s">
        <v>70</v>
      </c>
      <c r="G1986" s="1">
        <v>1.2401055409999999</v>
      </c>
      <c r="H1986" s="1">
        <v>43.4</v>
      </c>
      <c r="I1986" s="1">
        <v>75.8</v>
      </c>
      <c r="J1986" s="1">
        <v>0.60258257533333337</v>
      </c>
      <c r="K1986" s="1">
        <v>0.49391595300000002</v>
      </c>
      <c r="L1986" s="1">
        <v>0.603599314</v>
      </c>
      <c r="M1986" s="3">
        <v>0.63481471599999995</v>
      </c>
      <c r="N1986" s="1" t="s">
        <v>20</v>
      </c>
      <c r="O1986" s="1">
        <v>1.2140902870000001</v>
      </c>
      <c r="P1986" s="1">
        <v>64.900000000000006</v>
      </c>
      <c r="Q1986" s="1">
        <v>146.19999999999999</v>
      </c>
      <c r="R1986" s="1">
        <v>0.57744332766666662</v>
      </c>
      <c r="S1986" s="1">
        <v>4.9818831160044014E-2</v>
      </c>
      <c r="T1986" t="s">
        <v>2133</v>
      </c>
      <c r="U1986" s="1">
        <v>2266</v>
      </c>
      <c r="V1986">
        <f t="shared" ref="V1986:V2049" si="124">LOG10(U1986) / 9</f>
        <v>0.37280665616970876</v>
      </c>
      <c r="W1986" s="1">
        <f t="shared" ref="W1986:W2049" si="125">ABS(H1986-P1986)</f>
        <v>21.500000000000007</v>
      </c>
      <c r="X1986">
        <f t="shared" ref="X1986:X2049" si="126">ABS(G1986-O1986)</f>
        <v>2.6015253999999821E-2</v>
      </c>
      <c r="Y1986">
        <f t="shared" ref="Y1986:Y2049" si="127">ABS(I1986-Q1986)</f>
        <v>70.399999999999991</v>
      </c>
      <c r="Z1986" s="1">
        <v>18</v>
      </c>
      <c r="AA1986">
        <v>82</v>
      </c>
      <c r="AB1986">
        <v>0.2195</v>
      </c>
      <c r="AC1986">
        <v>20</v>
      </c>
      <c r="AD1986">
        <v>76</v>
      </c>
      <c r="AE1986">
        <v>0.26319999999999999</v>
      </c>
      <c r="AF1986" t="s">
        <v>2589</v>
      </c>
      <c r="AG1986" t="s">
        <v>2593</v>
      </c>
    </row>
    <row r="1987" spans="1:33">
      <c r="A1987" s="2" t="s">
        <v>69</v>
      </c>
      <c r="B1987" s="2" t="s">
        <v>21</v>
      </c>
      <c r="C1987" s="1">
        <v>0.50188385300000005</v>
      </c>
      <c r="D1987">
        <v>0.64580031500000001</v>
      </c>
      <c r="E1987">
        <v>0.66006355800000005</v>
      </c>
      <c r="F1987" s="1" t="s">
        <v>70</v>
      </c>
      <c r="G1987" s="1">
        <v>1.2401055409999999</v>
      </c>
      <c r="H1987" s="1">
        <v>43.4</v>
      </c>
      <c r="I1987" s="1">
        <v>75.8</v>
      </c>
      <c r="J1987" s="1">
        <v>0.60258257533333337</v>
      </c>
      <c r="K1987" s="1">
        <v>0.53276376800000003</v>
      </c>
      <c r="L1987" s="1">
        <v>0.65428149899999999</v>
      </c>
      <c r="M1987" s="3">
        <v>0.70160154799999996</v>
      </c>
      <c r="N1987" s="1" t="s">
        <v>22</v>
      </c>
      <c r="O1987" s="1">
        <v>1.2440604749999999</v>
      </c>
      <c r="P1987" s="1">
        <v>24.6</v>
      </c>
      <c r="Q1987" s="1">
        <v>46.3</v>
      </c>
      <c r="R1987" s="1">
        <v>0.62954893833333336</v>
      </c>
      <c r="S1987" s="1">
        <v>5.2449063344250223E-2</v>
      </c>
      <c r="T1987" t="s">
        <v>2134</v>
      </c>
      <c r="U1987" s="1">
        <v>41683</v>
      </c>
      <c r="V1987">
        <f t="shared" si="124"/>
        <v>0.51332877426292267</v>
      </c>
      <c r="W1987" s="1">
        <f t="shared" si="125"/>
        <v>18.799999999999997</v>
      </c>
      <c r="X1987">
        <f t="shared" si="126"/>
        <v>3.954934000000021E-3</v>
      </c>
      <c r="Y1987">
        <f t="shared" si="127"/>
        <v>29.5</v>
      </c>
      <c r="Z1987" s="1">
        <v>9</v>
      </c>
      <c r="AA1987">
        <v>91</v>
      </c>
      <c r="AB1987">
        <v>9.8900000000000002E-2</v>
      </c>
      <c r="AC1987">
        <v>10</v>
      </c>
      <c r="AD1987">
        <v>92</v>
      </c>
      <c r="AE1987">
        <v>0.1087</v>
      </c>
      <c r="AF1987" t="s">
        <v>2589</v>
      </c>
      <c r="AG1987" t="s">
        <v>2589</v>
      </c>
    </row>
    <row r="1988" spans="1:33">
      <c r="A1988" s="2" t="s">
        <v>69</v>
      </c>
      <c r="B1988" s="2" t="s">
        <v>23</v>
      </c>
      <c r="C1988" s="1">
        <v>0.50188385300000005</v>
      </c>
      <c r="D1988">
        <v>0.64580031500000001</v>
      </c>
      <c r="E1988">
        <v>0.66006355800000005</v>
      </c>
      <c r="F1988" s="1" t="s">
        <v>70</v>
      </c>
      <c r="G1988" s="1">
        <v>1.2401055409999999</v>
      </c>
      <c r="H1988" s="1">
        <v>43.4</v>
      </c>
      <c r="I1988" s="1">
        <v>75.8</v>
      </c>
      <c r="J1988" s="1">
        <v>0.60258257533333337</v>
      </c>
      <c r="K1988" s="1">
        <v>0.49415677200000002</v>
      </c>
      <c r="L1988" s="1">
        <v>0.62090818999999997</v>
      </c>
      <c r="M1988" s="3">
        <v>0.63381026900000004</v>
      </c>
      <c r="N1988" s="1" t="s">
        <v>24</v>
      </c>
      <c r="O1988" s="1">
        <v>1.141304348</v>
      </c>
      <c r="P1988" s="1">
        <v>44.4</v>
      </c>
      <c r="Q1988" s="1">
        <v>101.2</v>
      </c>
      <c r="R1988" s="1">
        <v>0.58295841033333329</v>
      </c>
      <c r="S1988" s="1">
        <v>3.6994065079600409E-2</v>
      </c>
      <c r="T1988" t="s">
        <v>2135</v>
      </c>
      <c r="U1988" s="1">
        <v>455</v>
      </c>
      <c r="V1988">
        <f t="shared" si="124"/>
        <v>0.29533459962856806</v>
      </c>
      <c r="W1988" s="1">
        <f t="shared" si="125"/>
        <v>1</v>
      </c>
      <c r="X1988">
        <f t="shared" si="126"/>
        <v>9.8801192999999898E-2</v>
      </c>
      <c r="Y1988">
        <f t="shared" si="127"/>
        <v>25.400000000000006</v>
      </c>
      <c r="Z1988" s="1">
        <v>4</v>
      </c>
      <c r="AA1988">
        <v>96</v>
      </c>
      <c r="AB1988">
        <v>4.1700000000000001E-2</v>
      </c>
      <c r="AC1988">
        <v>8</v>
      </c>
      <c r="AD1988">
        <v>90</v>
      </c>
      <c r="AE1988">
        <v>8.8900000000000007E-2</v>
      </c>
      <c r="AF1988" t="s">
        <v>2589</v>
      </c>
      <c r="AG1988" t="s">
        <v>2590</v>
      </c>
    </row>
    <row r="1989" spans="1:33">
      <c r="A1989" s="2" t="s">
        <v>69</v>
      </c>
      <c r="B1989" s="2" t="s">
        <v>25</v>
      </c>
      <c r="C1989" s="1">
        <v>0.50188385300000005</v>
      </c>
      <c r="D1989">
        <v>0.64580031500000001</v>
      </c>
      <c r="E1989">
        <v>0.66006355800000005</v>
      </c>
      <c r="F1989" s="1" t="s">
        <v>70</v>
      </c>
      <c r="G1989" s="1">
        <v>1.2401055409999999</v>
      </c>
      <c r="H1989" s="1">
        <v>43.4</v>
      </c>
      <c r="I1989" s="1">
        <v>75.8</v>
      </c>
      <c r="J1989" s="1">
        <v>0.60258257533333337</v>
      </c>
      <c r="K1989" s="1">
        <v>0.53959274199999996</v>
      </c>
      <c r="L1989" s="1">
        <v>0.64971567399999997</v>
      </c>
      <c r="M1989" s="3">
        <v>0.65028459999999999</v>
      </c>
      <c r="N1989" s="1" t="s">
        <v>26</v>
      </c>
      <c r="O1989" s="1">
        <v>1.623046875</v>
      </c>
      <c r="P1989" s="1">
        <v>34.700000000000003</v>
      </c>
      <c r="Q1989" s="1">
        <v>51.2</v>
      </c>
      <c r="R1989" s="1">
        <v>0.61319767199999997</v>
      </c>
      <c r="S1989" s="1">
        <v>3.9152501392362662E-2</v>
      </c>
      <c r="T1989" t="s">
        <v>2136</v>
      </c>
      <c r="U1989" s="1">
        <v>1874</v>
      </c>
      <c r="V1989">
        <f t="shared" si="124"/>
        <v>0.36364106517241773</v>
      </c>
      <c r="W1989" s="1">
        <f t="shared" si="125"/>
        <v>8.6999999999999957</v>
      </c>
      <c r="X1989">
        <f t="shared" si="126"/>
        <v>0.38294133400000008</v>
      </c>
      <c r="Y1989">
        <f t="shared" si="127"/>
        <v>24.599999999999994</v>
      </c>
      <c r="Z1989" s="1">
        <v>0</v>
      </c>
      <c r="AA1989">
        <v>100</v>
      </c>
      <c r="AB1989">
        <v>0</v>
      </c>
      <c r="AC1989">
        <v>0</v>
      </c>
      <c r="AD1989">
        <v>100</v>
      </c>
      <c r="AE1989">
        <v>0</v>
      </c>
      <c r="AF1989" t="s">
        <v>2589</v>
      </c>
      <c r="AG1989" t="s">
        <v>2594</v>
      </c>
    </row>
    <row r="1990" spans="1:33">
      <c r="A1990" s="2" t="s">
        <v>69</v>
      </c>
      <c r="B1990" s="2" t="s">
        <v>27</v>
      </c>
      <c r="C1990" s="1">
        <v>0.50188385300000005</v>
      </c>
      <c r="D1990">
        <v>0.64580031500000001</v>
      </c>
      <c r="E1990">
        <v>0.66006355800000005</v>
      </c>
      <c r="F1990" s="1" t="s">
        <v>70</v>
      </c>
      <c r="G1990" s="1">
        <v>1.2401055409999999</v>
      </c>
      <c r="H1990" s="1">
        <v>43.4</v>
      </c>
      <c r="I1990" s="1">
        <v>75.8</v>
      </c>
      <c r="J1990" s="1">
        <v>0.60258257533333337</v>
      </c>
      <c r="K1990" s="1">
        <v>0.518608662</v>
      </c>
      <c r="L1990" s="1">
        <v>0.64320369700000002</v>
      </c>
      <c r="M1990" s="3">
        <v>0.62228994199999998</v>
      </c>
      <c r="N1990" s="1" t="s">
        <v>28</v>
      </c>
      <c r="O1990" s="1">
        <v>1.8717391299999999</v>
      </c>
      <c r="P1990" s="1">
        <v>33.700000000000003</v>
      </c>
      <c r="Q1990" s="1">
        <v>46</v>
      </c>
      <c r="R1990" s="1">
        <v>0.59470076699999996</v>
      </c>
      <c r="S1990" s="1">
        <v>4.1392121555192896E-2</v>
      </c>
      <c r="T1990" t="s">
        <v>2137</v>
      </c>
      <c r="U1990" s="1">
        <v>535</v>
      </c>
      <c r="V1990">
        <f t="shared" si="124"/>
        <v>0.30315042022458094</v>
      </c>
      <c r="W1990" s="1">
        <f t="shared" si="125"/>
        <v>9.6999999999999957</v>
      </c>
      <c r="X1990">
        <f t="shared" si="126"/>
        <v>0.631633589</v>
      </c>
      <c r="Y1990">
        <f t="shared" si="127"/>
        <v>29.799999999999997</v>
      </c>
      <c r="Z1990" s="1">
        <v>3</v>
      </c>
      <c r="AA1990">
        <v>97</v>
      </c>
      <c r="AB1990">
        <v>3.09E-2</v>
      </c>
      <c r="AC1990">
        <v>5</v>
      </c>
      <c r="AD1990">
        <v>102</v>
      </c>
      <c r="AE1990">
        <v>4.9000000000000002E-2</v>
      </c>
      <c r="AF1990" t="s">
        <v>2589</v>
      </c>
      <c r="AG1990" t="s">
        <v>2590</v>
      </c>
    </row>
    <row r="1991" spans="1:33">
      <c r="A1991" s="2" t="s">
        <v>69</v>
      </c>
      <c r="B1991" s="2" t="s">
        <v>29</v>
      </c>
      <c r="C1991" s="1">
        <v>0.50188385300000005</v>
      </c>
      <c r="D1991">
        <v>0.64580031500000001</v>
      </c>
      <c r="E1991">
        <v>0.66006355800000005</v>
      </c>
      <c r="F1991" s="1" t="s">
        <v>70</v>
      </c>
      <c r="G1991" s="1">
        <v>1.2401055409999999</v>
      </c>
      <c r="H1991" s="1">
        <v>43.4</v>
      </c>
      <c r="I1991" s="1">
        <v>75.8</v>
      </c>
      <c r="J1991" s="1">
        <v>0.60258257533333337</v>
      </c>
      <c r="K1991" s="1">
        <v>0.59351545100000003</v>
      </c>
      <c r="L1991" s="1">
        <v>0.68136602400000001</v>
      </c>
      <c r="M1991" s="3">
        <v>0.73518087600000004</v>
      </c>
      <c r="N1991" s="1" t="s">
        <v>30</v>
      </c>
      <c r="O1991" s="1">
        <v>2.849112426</v>
      </c>
      <c r="P1991" s="1">
        <v>37.9</v>
      </c>
      <c r="Q1991" s="1">
        <v>33.799999999999997</v>
      </c>
      <c r="R1991" s="1">
        <v>0.67002078366666673</v>
      </c>
      <c r="S1991" s="1">
        <v>0.12370885527002262</v>
      </c>
      <c r="T1991" t="s">
        <v>2138</v>
      </c>
      <c r="U1991" s="1">
        <v>154</v>
      </c>
      <c r="V1991">
        <f t="shared" si="124"/>
        <v>0.24305785787071812</v>
      </c>
      <c r="W1991" s="1">
        <f t="shared" si="125"/>
        <v>5.5</v>
      </c>
      <c r="X1991">
        <f t="shared" si="126"/>
        <v>1.6090068850000001</v>
      </c>
      <c r="Y1991">
        <f t="shared" si="127"/>
        <v>42</v>
      </c>
      <c r="Z1991" s="1">
        <v>1</v>
      </c>
      <c r="AA1991">
        <v>99</v>
      </c>
      <c r="AB1991">
        <v>1.01E-2</v>
      </c>
      <c r="AC1991">
        <v>1</v>
      </c>
      <c r="AD1991">
        <v>95</v>
      </c>
      <c r="AE1991">
        <v>1.0500000000000001E-2</v>
      </c>
      <c r="AF1991" t="s">
        <v>2589</v>
      </c>
      <c r="AG1991" t="s">
        <v>2593</v>
      </c>
    </row>
    <row r="1992" spans="1:33">
      <c r="A1992" s="2" t="s">
        <v>69</v>
      </c>
      <c r="B1992" s="2" t="s">
        <v>31</v>
      </c>
      <c r="C1992" s="1">
        <v>0.50188385300000005</v>
      </c>
      <c r="D1992">
        <v>0.64580031500000001</v>
      </c>
      <c r="E1992">
        <v>0.66006355800000005</v>
      </c>
      <c r="F1992" s="1" t="s">
        <v>70</v>
      </c>
      <c r="G1992" s="1">
        <v>1.2401055409999999</v>
      </c>
      <c r="H1992" s="1">
        <v>43.4</v>
      </c>
      <c r="I1992" s="1">
        <v>75.8</v>
      </c>
      <c r="J1992" s="1">
        <v>0.60258257533333337</v>
      </c>
      <c r="K1992" s="1">
        <v>0.47727961800000002</v>
      </c>
      <c r="L1992" s="1">
        <v>0.66941086400000005</v>
      </c>
      <c r="M1992" s="3">
        <v>0.69294815300000001</v>
      </c>
      <c r="N1992" s="1" t="s">
        <v>32</v>
      </c>
      <c r="O1992" s="1">
        <v>1.341891892</v>
      </c>
      <c r="P1992" s="1">
        <v>42.1</v>
      </c>
      <c r="Q1992" s="1">
        <v>74</v>
      </c>
      <c r="R1992" s="1">
        <v>0.61321287833333338</v>
      </c>
      <c r="S1992" s="1">
        <v>4.7373230756732769E-2</v>
      </c>
      <c r="T1992" t="s">
        <v>2139</v>
      </c>
      <c r="U1992" s="1">
        <v>7592</v>
      </c>
      <c r="V1992">
        <f t="shared" si="124"/>
        <v>0.43115068882435958</v>
      </c>
      <c r="W1992" s="1">
        <f t="shared" si="125"/>
        <v>1.2999999999999972</v>
      </c>
      <c r="X1992">
        <f t="shared" si="126"/>
        <v>0.10178635100000011</v>
      </c>
      <c r="Y1992">
        <f t="shared" si="127"/>
        <v>1.7999999999999972</v>
      </c>
      <c r="Z1992" s="1">
        <v>12</v>
      </c>
      <c r="AA1992">
        <v>88</v>
      </c>
      <c r="AB1992">
        <v>0.13639999999999999</v>
      </c>
      <c r="AC1992">
        <v>13</v>
      </c>
      <c r="AD1992">
        <v>91</v>
      </c>
      <c r="AE1992">
        <v>0.1429</v>
      </c>
      <c r="AF1992" t="s">
        <v>2589</v>
      </c>
      <c r="AG1992" t="s">
        <v>2589</v>
      </c>
    </row>
    <row r="1993" spans="1:33">
      <c r="A1993" s="2" t="s">
        <v>69</v>
      </c>
      <c r="B1993" s="2" t="s">
        <v>33</v>
      </c>
      <c r="C1993" s="1">
        <v>0.50188385300000005</v>
      </c>
      <c r="D1993">
        <v>0.64580031500000001</v>
      </c>
      <c r="E1993">
        <v>0.66006355800000005</v>
      </c>
      <c r="F1993" s="1" t="s">
        <v>70</v>
      </c>
      <c r="G1993" s="1">
        <v>1.2401055409999999</v>
      </c>
      <c r="H1993" s="1">
        <v>43.4</v>
      </c>
      <c r="I1993" s="1">
        <v>75.8</v>
      </c>
      <c r="J1993" s="1">
        <v>0.60258257533333337</v>
      </c>
      <c r="K1993" s="1">
        <v>0.51347926600000005</v>
      </c>
      <c r="L1993" s="1">
        <v>0.63144379399999995</v>
      </c>
      <c r="M1993" s="3">
        <v>0.64189093500000005</v>
      </c>
      <c r="N1993" s="1" t="s">
        <v>34</v>
      </c>
      <c r="O1993" s="1">
        <v>2.3123667380000001</v>
      </c>
      <c r="P1993" s="1">
        <v>79.099999999999994</v>
      </c>
      <c r="Q1993" s="1">
        <v>93.8</v>
      </c>
      <c r="R1993" s="1">
        <v>0.59560466500000009</v>
      </c>
      <c r="S1993" s="1">
        <v>2.5899952211618865E-2</v>
      </c>
      <c r="T1993" t="s">
        <v>2140</v>
      </c>
      <c r="U1993" s="1">
        <v>1849</v>
      </c>
      <c r="V1993">
        <f t="shared" si="124"/>
        <v>0.36299299012879699</v>
      </c>
      <c r="W1993" s="1">
        <f t="shared" si="125"/>
        <v>35.699999999999996</v>
      </c>
      <c r="X1993">
        <f t="shared" si="126"/>
        <v>1.0722611970000002</v>
      </c>
      <c r="Y1993">
        <f t="shared" si="127"/>
        <v>18</v>
      </c>
      <c r="Z1993" s="1">
        <v>15</v>
      </c>
      <c r="AA1993">
        <v>85</v>
      </c>
      <c r="AB1993">
        <v>0.17649999999999999</v>
      </c>
      <c r="AC1993">
        <v>17</v>
      </c>
      <c r="AD1993">
        <v>81</v>
      </c>
      <c r="AE1993">
        <v>0.2099</v>
      </c>
      <c r="AF1993" t="s">
        <v>2589</v>
      </c>
      <c r="AG1993" t="s">
        <v>2590</v>
      </c>
    </row>
    <row r="1994" spans="1:33">
      <c r="A1994" s="2" t="s">
        <v>69</v>
      </c>
      <c r="B1994" s="2" t="s">
        <v>35</v>
      </c>
      <c r="C1994" s="1">
        <v>0.50188385300000005</v>
      </c>
      <c r="D1994">
        <v>0.64580031500000001</v>
      </c>
      <c r="E1994">
        <v>0.66006355800000005</v>
      </c>
      <c r="F1994" s="1" t="s">
        <v>70</v>
      </c>
      <c r="G1994" s="1">
        <v>1.2401055409999999</v>
      </c>
      <c r="H1994" s="1">
        <v>43.4</v>
      </c>
      <c r="I1994" s="1">
        <v>75.8</v>
      </c>
      <c r="J1994" s="1">
        <v>0.60258257533333337</v>
      </c>
      <c r="K1994" s="1">
        <v>0.52542897600000005</v>
      </c>
      <c r="L1994" s="1">
        <v>0.60774736299999998</v>
      </c>
      <c r="M1994" s="3">
        <v>0.62585751700000003</v>
      </c>
      <c r="N1994" s="1" t="s">
        <v>36</v>
      </c>
      <c r="O1994" s="1">
        <v>0.98848810399999998</v>
      </c>
      <c r="P1994" s="1">
        <v>54.2</v>
      </c>
      <c r="Q1994" s="1">
        <v>130.30000000000001</v>
      </c>
      <c r="R1994" s="1">
        <v>0.58634461866666665</v>
      </c>
      <c r="S1994" s="1">
        <v>5.6324534741914359E-2</v>
      </c>
      <c r="T1994" t="s">
        <v>2141</v>
      </c>
      <c r="U1994" s="1">
        <v>35276</v>
      </c>
      <c r="V1994">
        <f t="shared" si="124"/>
        <v>0.50527548154789181</v>
      </c>
      <c r="W1994" s="1">
        <f t="shared" si="125"/>
        <v>10.800000000000004</v>
      </c>
      <c r="X1994">
        <f t="shared" si="126"/>
        <v>0.25161743699999994</v>
      </c>
      <c r="Y1994">
        <f t="shared" si="127"/>
        <v>54.500000000000014</v>
      </c>
      <c r="Z1994" s="1">
        <v>14</v>
      </c>
      <c r="AA1994">
        <v>86</v>
      </c>
      <c r="AB1994">
        <v>0.1628</v>
      </c>
      <c r="AC1994">
        <v>15</v>
      </c>
      <c r="AD1994">
        <v>82</v>
      </c>
      <c r="AE1994">
        <v>0.18290000000000001</v>
      </c>
      <c r="AF1994" t="s">
        <v>2589</v>
      </c>
      <c r="AG1994" t="s">
        <v>2589</v>
      </c>
    </row>
    <row r="1995" spans="1:33">
      <c r="A1995" s="2" t="s">
        <v>69</v>
      </c>
      <c r="B1995" s="2" t="s">
        <v>37</v>
      </c>
      <c r="C1995" s="1">
        <v>0.50188385300000005</v>
      </c>
      <c r="D1995">
        <v>0.64580031500000001</v>
      </c>
      <c r="E1995">
        <v>0.66006355800000005</v>
      </c>
      <c r="F1995" s="1" t="s">
        <v>70</v>
      </c>
      <c r="G1995" s="1">
        <v>1.2401055409999999</v>
      </c>
      <c r="H1995" s="1">
        <v>43.4</v>
      </c>
      <c r="I1995" s="1">
        <v>75.8</v>
      </c>
      <c r="J1995" s="1">
        <v>0.60258257533333337</v>
      </c>
      <c r="K1995" s="1">
        <v>0.50856695500000004</v>
      </c>
      <c r="L1995" s="1">
        <v>0.654733224</v>
      </c>
      <c r="M1995" s="3">
        <v>0.61418267199999999</v>
      </c>
      <c r="N1995" s="1" t="s">
        <v>38</v>
      </c>
      <c r="O1995" s="1">
        <v>0.64065708399999999</v>
      </c>
      <c r="P1995" s="1">
        <v>41.9</v>
      </c>
      <c r="Q1995" s="1">
        <v>146.1</v>
      </c>
      <c r="R1995" s="1">
        <v>0.59249428366666679</v>
      </c>
      <c r="S1995" s="1">
        <v>4.7217755301260211E-2</v>
      </c>
      <c r="T1995" t="s">
        <v>2142</v>
      </c>
      <c r="U1995" s="1">
        <v>874</v>
      </c>
      <c r="V1995">
        <f t="shared" si="124"/>
        <v>0.32683460362604477</v>
      </c>
      <c r="W1995" s="1">
        <f t="shared" si="125"/>
        <v>1.5</v>
      </c>
      <c r="X1995">
        <f t="shared" si="126"/>
        <v>0.59944845699999993</v>
      </c>
      <c r="Y1995">
        <f t="shared" si="127"/>
        <v>70.3</v>
      </c>
      <c r="Z1995" s="1">
        <v>15</v>
      </c>
      <c r="AA1995">
        <v>85</v>
      </c>
      <c r="AB1995">
        <v>0.17649999999999999</v>
      </c>
      <c r="AC1995">
        <v>17</v>
      </c>
      <c r="AD1995">
        <v>79</v>
      </c>
      <c r="AE1995">
        <v>0.2152</v>
      </c>
      <c r="AF1995" t="s">
        <v>2589</v>
      </c>
      <c r="AG1995" t="s">
        <v>2590</v>
      </c>
    </row>
    <row r="1996" spans="1:33">
      <c r="A1996" s="2" t="s">
        <v>69</v>
      </c>
      <c r="B1996" s="2" t="s">
        <v>39</v>
      </c>
      <c r="C1996" s="1">
        <v>0.50188385300000005</v>
      </c>
      <c r="D1996">
        <v>0.64580031500000001</v>
      </c>
      <c r="E1996">
        <v>0.66006355800000005</v>
      </c>
      <c r="F1996" s="1" t="s">
        <v>70</v>
      </c>
      <c r="G1996" s="1">
        <v>1.2401055409999999</v>
      </c>
      <c r="H1996" s="1">
        <v>43.4</v>
      </c>
      <c r="I1996" s="1">
        <v>75.8</v>
      </c>
      <c r="J1996" s="1">
        <v>0.60258257533333337</v>
      </c>
      <c r="K1996" s="1">
        <v>0.60811616199999996</v>
      </c>
      <c r="L1996" s="1">
        <v>0.721105683</v>
      </c>
      <c r="M1996" s="3">
        <v>0.741016169</v>
      </c>
      <c r="N1996" s="1" t="s">
        <v>40</v>
      </c>
      <c r="O1996" s="1">
        <v>1.0601915180000001</v>
      </c>
      <c r="P1996" s="1">
        <v>34</v>
      </c>
      <c r="Q1996" s="1">
        <v>73.099999999999994</v>
      </c>
      <c r="R1996" s="1">
        <v>0.69007933799999999</v>
      </c>
      <c r="S1996" s="1">
        <v>0.15332816816490114</v>
      </c>
      <c r="T1996" t="s">
        <v>2143</v>
      </c>
      <c r="U1996" s="1">
        <v>4211</v>
      </c>
      <c r="V1996">
        <f t="shared" si="124"/>
        <v>0.40270947126891832</v>
      </c>
      <c r="W1996" s="1">
        <f t="shared" si="125"/>
        <v>9.3999999999999986</v>
      </c>
      <c r="X1996">
        <f t="shared" si="126"/>
        <v>0.17991402299999981</v>
      </c>
      <c r="Y1996">
        <f t="shared" si="127"/>
        <v>2.7000000000000028</v>
      </c>
      <c r="Z1996" s="1">
        <v>7</v>
      </c>
      <c r="AA1996">
        <v>93</v>
      </c>
      <c r="AB1996">
        <v>7.5300000000000006E-2</v>
      </c>
      <c r="AC1996">
        <v>9</v>
      </c>
      <c r="AD1996">
        <v>90</v>
      </c>
      <c r="AE1996">
        <v>0.1</v>
      </c>
      <c r="AF1996" t="s">
        <v>2589</v>
      </c>
      <c r="AG1996" t="s">
        <v>2589</v>
      </c>
    </row>
    <row r="1997" spans="1:33">
      <c r="A1997" s="2" t="s">
        <v>69</v>
      </c>
      <c r="B1997" s="2" t="s">
        <v>41</v>
      </c>
      <c r="C1997" s="1">
        <v>0.50188385300000005</v>
      </c>
      <c r="D1997">
        <v>0.64580031500000001</v>
      </c>
      <c r="E1997">
        <v>0.66006355800000005</v>
      </c>
      <c r="F1997" s="1" t="s">
        <v>70</v>
      </c>
      <c r="G1997" s="1">
        <v>1.2401055409999999</v>
      </c>
      <c r="H1997" s="1">
        <v>43.4</v>
      </c>
      <c r="I1997" s="1">
        <v>75.8</v>
      </c>
      <c r="J1997" s="1">
        <v>0.60258257533333337</v>
      </c>
      <c r="K1997" s="1">
        <v>0.60402244999999999</v>
      </c>
      <c r="L1997" s="1">
        <v>0.669189213</v>
      </c>
      <c r="M1997" s="3">
        <v>0.69821693799999995</v>
      </c>
      <c r="N1997" s="1" t="s">
        <v>42</v>
      </c>
      <c r="O1997" s="1">
        <v>1.3243902439999999</v>
      </c>
      <c r="P1997" s="1">
        <v>23</v>
      </c>
      <c r="Q1997" s="1">
        <v>41</v>
      </c>
      <c r="R1997" s="1">
        <v>0.65714286700000002</v>
      </c>
      <c r="S1997" s="1">
        <v>0.11151239371570854</v>
      </c>
      <c r="T1997" t="s">
        <v>2144</v>
      </c>
      <c r="U1997" s="1">
        <v>271</v>
      </c>
      <c r="V1997">
        <f t="shared" si="124"/>
        <v>0.27032992120826732</v>
      </c>
      <c r="W1997" s="1">
        <f t="shared" si="125"/>
        <v>20.399999999999999</v>
      </c>
      <c r="X1997">
        <f t="shared" si="126"/>
        <v>8.4284703000000016E-2</v>
      </c>
      <c r="Y1997">
        <f t="shared" si="127"/>
        <v>34.799999999999997</v>
      </c>
      <c r="Z1997" s="1">
        <v>1</v>
      </c>
      <c r="AA1997">
        <v>99</v>
      </c>
      <c r="AB1997">
        <v>1.01E-2</v>
      </c>
      <c r="AC1997">
        <v>1</v>
      </c>
      <c r="AD1997">
        <v>112</v>
      </c>
      <c r="AE1997">
        <v>8.8999999999999999E-3</v>
      </c>
      <c r="AF1997" t="s">
        <v>2589</v>
      </c>
      <c r="AG1997" t="s">
        <v>2591</v>
      </c>
    </row>
    <row r="1998" spans="1:33">
      <c r="A1998" s="2" t="s">
        <v>69</v>
      </c>
      <c r="B1998" s="2" t="s">
        <v>43</v>
      </c>
      <c r="C1998" s="1">
        <v>0.50188385300000005</v>
      </c>
      <c r="D1998">
        <v>0.64580031500000001</v>
      </c>
      <c r="E1998">
        <v>0.66006355800000005</v>
      </c>
      <c r="F1998" s="1" t="s">
        <v>70</v>
      </c>
      <c r="G1998" s="1">
        <v>1.2401055409999999</v>
      </c>
      <c r="H1998" s="1">
        <v>43.4</v>
      </c>
      <c r="I1998" s="1">
        <v>75.8</v>
      </c>
      <c r="J1998" s="1">
        <v>0.60258257533333337</v>
      </c>
      <c r="K1998" s="1">
        <v>0.54180634699999997</v>
      </c>
      <c r="L1998" s="1">
        <v>0.59470779900000004</v>
      </c>
      <c r="M1998" s="3">
        <v>0.69518155599999998</v>
      </c>
      <c r="N1998" s="1" t="s">
        <v>44</v>
      </c>
      <c r="O1998" s="1">
        <v>1.7403685090000001</v>
      </c>
      <c r="P1998" s="1">
        <v>41.2</v>
      </c>
      <c r="Q1998" s="1">
        <v>59.7</v>
      </c>
      <c r="R1998" s="1">
        <v>0.61056523400000007</v>
      </c>
      <c r="S1998" s="1">
        <v>7.3739572157141525E-2</v>
      </c>
      <c r="T1998" t="s">
        <v>2145</v>
      </c>
      <c r="U1998" s="1">
        <v>7887</v>
      </c>
      <c r="V1998">
        <f t="shared" si="124"/>
        <v>0.432990204536225</v>
      </c>
      <c r="W1998" s="1">
        <f t="shared" si="125"/>
        <v>2.1999999999999957</v>
      </c>
      <c r="X1998">
        <f t="shared" si="126"/>
        <v>0.50026296800000014</v>
      </c>
      <c r="Y1998">
        <f t="shared" si="127"/>
        <v>16.099999999999994</v>
      </c>
      <c r="Z1998" s="1">
        <v>10</v>
      </c>
      <c r="AA1998">
        <v>90</v>
      </c>
      <c r="AB1998">
        <v>0.1111</v>
      </c>
      <c r="AC1998">
        <v>12</v>
      </c>
      <c r="AD1998">
        <v>123</v>
      </c>
      <c r="AE1998">
        <v>9.7600000000000006E-2</v>
      </c>
      <c r="AF1998" t="s">
        <v>2589</v>
      </c>
      <c r="AG1998" t="s">
        <v>2589</v>
      </c>
    </row>
    <row r="1999" spans="1:33">
      <c r="A1999" s="2" t="s">
        <v>69</v>
      </c>
      <c r="B1999" s="2" t="s">
        <v>45</v>
      </c>
      <c r="C1999" s="1">
        <v>0.50188385300000005</v>
      </c>
      <c r="D1999">
        <v>0.64580031500000001</v>
      </c>
      <c r="E1999">
        <v>0.66006355800000005</v>
      </c>
      <c r="F1999" s="1" t="s">
        <v>70</v>
      </c>
      <c r="G1999" s="1">
        <v>1.2401055409999999</v>
      </c>
      <c r="H1999" s="1">
        <v>43.4</v>
      </c>
      <c r="I1999" s="1">
        <v>75.8</v>
      </c>
      <c r="J1999" s="1">
        <v>0.60258257533333337</v>
      </c>
      <c r="K1999" s="1">
        <v>0.50907007599999998</v>
      </c>
      <c r="L1999" s="1">
        <v>0.68428041399999995</v>
      </c>
      <c r="M1999" s="3">
        <v>0.67454742099999998</v>
      </c>
      <c r="N1999" s="1" t="s">
        <v>46</v>
      </c>
      <c r="O1999" s="1">
        <v>0.98140043799999999</v>
      </c>
      <c r="P1999" s="1">
        <v>38.9</v>
      </c>
      <c r="Q1999" s="1">
        <v>91.4</v>
      </c>
      <c r="R1999" s="1">
        <v>0.62263263699999993</v>
      </c>
      <c r="S1999" s="1">
        <v>4.1738975879365932E-2</v>
      </c>
      <c r="T1999" t="s">
        <v>2146</v>
      </c>
      <c r="U1999" s="1">
        <v>9346</v>
      </c>
      <c r="V1999">
        <f t="shared" si="124"/>
        <v>0.44118064185425498</v>
      </c>
      <c r="W1999" s="1">
        <f t="shared" si="125"/>
        <v>4.5</v>
      </c>
      <c r="X1999">
        <f t="shared" si="126"/>
        <v>0.25870510299999994</v>
      </c>
      <c r="Y1999">
        <f t="shared" si="127"/>
        <v>15.600000000000009</v>
      </c>
      <c r="Z1999" s="1">
        <v>14</v>
      </c>
      <c r="AA1999">
        <v>86</v>
      </c>
      <c r="AB1999">
        <v>0.1628</v>
      </c>
      <c r="AC1999">
        <v>16</v>
      </c>
      <c r="AD1999">
        <v>99</v>
      </c>
      <c r="AE1999">
        <v>0.16159999999999999</v>
      </c>
      <c r="AF1999" t="s">
        <v>2589</v>
      </c>
      <c r="AG1999" t="s">
        <v>2589</v>
      </c>
    </row>
    <row r="2000" spans="1:33">
      <c r="A2000" s="2" t="s">
        <v>69</v>
      </c>
      <c r="B2000" s="2" t="s">
        <v>47</v>
      </c>
      <c r="C2000" s="1">
        <v>0.50188385300000005</v>
      </c>
      <c r="D2000">
        <v>0.64580031500000001</v>
      </c>
      <c r="E2000">
        <v>0.66006355800000005</v>
      </c>
      <c r="F2000" s="1" t="s">
        <v>70</v>
      </c>
      <c r="G2000" s="1">
        <v>1.2401055409999999</v>
      </c>
      <c r="H2000" s="1">
        <v>43.4</v>
      </c>
      <c r="I2000" s="1">
        <v>75.8</v>
      </c>
      <c r="J2000" s="1">
        <v>0.60258257533333337</v>
      </c>
      <c r="K2000" s="1">
        <v>0.50612154099999995</v>
      </c>
      <c r="L2000" s="1">
        <v>0.55940039100000005</v>
      </c>
      <c r="M2000" s="3">
        <v>0.66789001699999995</v>
      </c>
      <c r="N2000" s="1" t="s">
        <v>48</v>
      </c>
      <c r="O2000" s="1">
        <v>1.242622951</v>
      </c>
      <c r="P2000" s="1">
        <v>17.8</v>
      </c>
      <c r="Q2000" s="1">
        <v>30.5</v>
      </c>
      <c r="R2000" s="1">
        <v>0.57780398300000002</v>
      </c>
      <c r="S2000" s="1">
        <v>8.6857114430942226E-2</v>
      </c>
      <c r="T2000" t="s">
        <v>2147</v>
      </c>
      <c r="U2000" s="1">
        <v>741</v>
      </c>
      <c r="V2000">
        <f t="shared" si="124"/>
        <v>0.31886868977548088</v>
      </c>
      <c r="W2000" s="1">
        <f t="shared" si="125"/>
        <v>25.599999999999998</v>
      </c>
      <c r="X2000">
        <f t="shared" si="126"/>
        <v>2.5174100000000532E-3</v>
      </c>
      <c r="Y2000">
        <f t="shared" si="127"/>
        <v>45.3</v>
      </c>
      <c r="Z2000" s="1">
        <v>1</v>
      </c>
      <c r="AA2000">
        <v>99</v>
      </c>
      <c r="AB2000">
        <v>1.01E-2</v>
      </c>
      <c r="AC2000">
        <v>2</v>
      </c>
      <c r="AD2000">
        <v>120</v>
      </c>
      <c r="AE2000">
        <v>1.67E-2</v>
      </c>
      <c r="AF2000" t="s">
        <v>2589</v>
      </c>
      <c r="AG2000" t="s">
        <v>2590</v>
      </c>
    </row>
    <row r="2001" spans="1:33">
      <c r="A2001" s="2" t="s">
        <v>69</v>
      </c>
      <c r="B2001" s="2" t="s">
        <v>49</v>
      </c>
      <c r="C2001" s="1">
        <v>0.50188385300000005</v>
      </c>
      <c r="D2001">
        <v>0.64580031500000001</v>
      </c>
      <c r="E2001">
        <v>0.66006355800000005</v>
      </c>
      <c r="F2001" s="1" t="s">
        <v>70</v>
      </c>
      <c r="G2001" s="1">
        <v>1.2401055409999999</v>
      </c>
      <c r="H2001" s="1">
        <v>43.4</v>
      </c>
      <c r="I2001" s="1">
        <v>75.8</v>
      </c>
      <c r="J2001" s="1">
        <v>0.60258257533333337</v>
      </c>
      <c r="K2001" s="1">
        <v>0.50647110500000003</v>
      </c>
      <c r="L2001" s="1">
        <v>0.55713136799999996</v>
      </c>
      <c r="M2001" s="3">
        <v>0.63402682300000002</v>
      </c>
      <c r="N2001" s="1" t="s">
        <v>50</v>
      </c>
      <c r="O2001" s="1">
        <v>1.876675603</v>
      </c>
      <c r="P2001" s="1">
        <v>28.8</v>
      </c>
      <c r="Q2001" s="1">
        <v>37.299999999999997</v>
      </c>
      <c r="R2001" s="1">
        <v>0.56587643200000004</v>
      </c>
      <c r="S2001" s="1">
        <v>9.2526410351102192E-2</v>
      </c>
      <c r="T2001" t="s">
        <v>2148</v>
      </c>
      <c r="U2001" s="1">
        <v>415</v>
      </c>
      <c r="V2001">
        <f t="shared" si="124"/>
        <v>0.29089423296801026</v>
      </c>
      <c r="W2001" s="1">
        <f t="shared" si="125"/>
        <v>14.599999999999998</v>
      </c>
      <c r="X2001">
        <f t="shared" si="126"/>
        <v>0.6365700620000001</v>
      </c>
      <c r="Y2001">
        <f t="shared" si="127"/>
        <v>38.5</v>
      </c>
      <c r="Z2001" s="1">
        <v>3</v>
      </c>
      <c r="AA2001">
        <v>97</v>
      </c>
      <c r="AB2001">
        <v>3.09E-2</v>
      </c>
      <c r="AC2001">
        <v>6</v>
      </c>
      <c r="AD2001">
        <v>90</v>
      </c>
      <c r="AE2001">
        <v>6.6699999999999995E-2</v>
      </c>
      <c r="AF2001" t="s">
        <v>2589</v>
      </c>
      <c r="AG2001" t="s">
        <v>2590</v>
      </c>
    </row>
    <row r="2002" spans="1:33">
      <c r="A2002" s="2" t="s">
        <v>69</v>
      </c>
      <c r="B2002" s="2" t="s">
        <v>51</v>
      </c>
      <c r="C2002" s="1">
        <v>0.50188385300000005</v>
      </c>
      <c r="D2002">
        <v>0.64580031500000001</v>
      </c>
      <c r="E2002">
        <v>0.66006355800000005</v>
      </c>
      <c r="F2002" s="1" t="s">
        <v>70</v>
      </c>
      <c r="G2002" s="1">
        <v>1.2401055409999999</v>
      </c>
      <c r="H2002" s="1">
        <v>43.4</v>
      </c>
      <c r="I2002" s="1">
        <v>75.8</v>
      </c>
      <c r="J2002" s="1">
        <v>0.60258257533333337</v>
      </c>
      <c r="K2002" s="1">
        <v>0.60067161999999996</v>
      </c>
      <c r="L2002" s="1">
        <v>0.68094129999999997</v>
      </c>
      <c r="M2002" s="3">
        <v>0.73595931299999995</v>
      </c>
      <c r="N2002" s="1" t="s">
        <v>52</v>
      </c>
      <c r="O2002" s="1">
        <v>1.858638743</v>
      </c>
      <c r="P2002" s="1">
        <v>29.4</v>
      </c>
      <c r="Q2002" s="1">
        <v>38.200000000000003</v>
      </c>
      <c r="R2002" s="1">
        <v>0.67252407766666666</v>
      </c>
      <c r="S2002" s="1">
        <v>0.12943754232306987</v>
      </c>
      <c r="T2002" t="s">
        <v>2149</v>
      </c>
      <c r="U2002" s="1">
        <v>325</v>
      </c>
      <c r="V2002">
        <f t="shared" si="124"/>
        <v>0.27909815121987491</v>
      </c>
      <c r="W2002" s="1">
        <f t="shared" si="125"/>
        <v>14</v>
      </c>
      <c r="X2002">
        <f t="shared" si="126"/>
        <v>0.61853320200000006</v>
      </c>
      <c r="Y2002">
        <f t="shared" si="127"/>
        <v>37.599999999999994</v>
      </c>
      <c r="Z2002" s="1">
        <v>4</v>
      </c>
      <c r="AA2002">
        <v>96</v>
      </c>
      <c r="AB2002">
        <v>4.1700000000000001E-2</v>
      </c>
      <c r="AC2002">
        <v>5</v>
      </c>
      <c r="AD2002">
        <v>100</v>
      </c>
      <c r="AE2002">
        <v>0.05</v>
      </c>
      <c r="AF2002" t="s">
        <v>2589</v>
      </c>
      <c r="AG2002" t="s">
        <v>2591</v>
      </c>
    </row>
    <row r="2003" spans="1:33">
      <c r="A2003" s="2" t="s">
        <v>69</v>
      </c>
      <c r="B2003" s="2" t="s">
        <v>53</v>
      </c>
      <c r="C2003" s="1">
        <v>0.50188385300000005</v>
      </c>
      <c r="D2003">
        <v>0.64580031500000001</v>
      </c>
      <c r="E2003">
        <v>0.66006355800000005</v>
      </c>
      <c r="F2003" s="1" t="s">
        <v>70</v>
      </c>
      <c r="G2003" s="1">
        <v>1.2401055409999999</v>
      </c>
      <c r="H2003" s="1">
        <v>43.4</v>
      </c>
      <c r="I2003" s="1">
        <v>75.8</v>
      </c>
      <c r="J2003" s="1">
        <v>0.60258257533333337</v>
      </c>
      <c r="K2003" s="1">
        <v>0.54695832700000002</v>
      </c>
      <c r="L2003" s="1">
        <v>0.659790137</v>
      </c>
      <c r="M2003" s="3">
        <v>0.70662085500000005</v>
      </c>
      <c r="N2003" s="1" t="s">
        <v>54</v>
      </c>
      <c r="O2003" s="1">
        <v>2.5053995680000001</v>
      </c>
      <c r="P2003" s="1">
        <v>43.9</v>
      </c>
      <c r="Q2003" s="1">
        <v>46.3</v>
      </c>
      <c r="R2003" s="1">
        <v>0.63778977300000006</v>
      </c>
      <c r="S2003" s="1">
        <v>6.6294835620239426E-2</v>
      </c>
      <c r="T2003" t="s">
        <v>2150</v>
      </c>
      <c r="U2003" s="1">
        <v>669</v>
      </c>
      <c r="V2003">
        <f t="shared" si="124"/>
        <v>0.31393623530753589</v>
      </c>
      <c r="W2003" s="1">
        <f t="shared" si="125"/>
        <v>0.5</v>
      </c>
      <c r="X2003">
        <f t="shared" si="126"/>
        <v>1.2652940270000002</v>
      </c>
      <c r="Y2003">
        <f t="shared" si="127"/>
        <v>29.5</v>
      </c>
      <c r="Z2003" s="1">
        <v>1</v>
      </c>
      <c r="AA2003">
        <v>99</v>
      </c>
      <c r="AB2003">
        <v>1.01E-2</v>
      </c>
      <c r="AC2003">
        <v>2</v>
      </c>
      <c r="AD2003">
        <v>103</v>
      </c>
      <c r="AE2003">
        <v>1.9400000000000001E-2</v>
      </c>
      <c r="AF2003" t="s">
        <v>2589</v>
      </c>
      <c r="AG2003" t="s">
        <v>2593</v>
      </c>
    </row>
    <row r="2004" spans="1:33">
      <c r="A2004" s="2" t="s">
        <v>69</v>
      </c>
      <c r="B2004" s="2" t="s">
        <v>55</v>
      </c>
      <c r="C2004" s="1">
        <v>0.50188385300000005</v>
      </c>
      <c r="D2004">
        <v>0.64580031500000001</v>
      </c>
      <c r="E2004">
        <v>0.66006355800000005</v>
      </c>
      <c r="F2004" s="1" t="s">
        <v>70</v>
      </c>
      <c r="G2004" s="1">
        <v>1.2401055409999999</v>
      </c>
      <c r="H2004" s="1">
        <v>43.4</v>
      </c>
      <c r="I2004" s="1">
        <v>75.8</v>
      </c>
      <c r="J2004" s="1">
        <v>0.60258257533333337</v>
      </c>
      <c r="K2004" s="1">
        <v>0.52971861799999997</v>
      </c>
      <c r="L2004" s="1">
        <v>0.62258244500000004</v>
      </c>
      <c r="M2004" s="3">
        <v>0.63939760400000001</v>
      </c>
      <c r="N2004" s="1" t="s">
        <v>56</v>
      </c>
      <c r="O2004" s="1">
        <v>1.0796934869999999</v>
      </c>
      <c r="P2004" s="1">
        <v>55.3</v>
      </c>
      <c r="Q2004" s="1">
        <v>130.5</v>
      </c>
      <c r="R2004" s="1">
        <v>0.59723288899999993</v>
      </c>
      <c r="S2004" s="1">
        <v>4.1724396756241275E-2</v>
      </c>
      <c r="T2004" t="s">
        <v>2151</v>
      </c>
      <c r="U2004" s="1">
        <v>5251</v>
      </c>
      <c r="V2004">
        <f t="shared" si="124"/>
        <v>0.41336022425411745</v>
      </c>
      <c r="W2004" s="1">
        <f t="shared" si="125"/>
        <v>11.899999999999999</v>
      </c>
      <c r="X2004">
        <f t="shared" si="126"/>
        <v>0.16041205400000003</v>
      </c>
      <c r="Y2004">
        <f t="shared" si="127"/>
        <v>54.7</v>
      </c>
      <c r="Z2004" s="1">
        <v>21</v>
      </c>
      <c r="AA2004">
        <v>79</v>
      </c>
      <c r="AB2004">
        <v>0.26579999999999998</v>
      </c>
      <c r="AC2004">
        <v>23</v>
      </c>
      <c r="AD2004">
        <v>74</v>
      </c>
      <c r="AE2004">
        <v>0.31080000000000002</v>
      </c>
      <c r="AF2004" t="s">
        <v>2589</v>
      </c>
      <c r="AG2004" t="s">
        <v>2592</v>
      </c>
    </row>
    <row r="2005" spans="1:33">
      <c r="A2005" s="2" t="s">
        <v>69</v>
      </c>
      <c r="B2005" s="2" t="s">
        <v>57</v>
      </c>
      <c r="C2005" s="1">
        <v>0.50188385300000005</v>
      </c>
      <c r="D2005">
        <v>0.64580031500000001</v>
      </c>
      <c r="E2005">
        <v>0.66006355800000005</v>
      </c>
      <c r="F2005" s="1" t="s">
        <v>70</v>
      </c>
      <c r="G2005" s="1">
        <v>1.2401055409999999</v>
      </c>
      <c r="H2005" s="1">
        <v>43.4</v>
      </c>
      <c r="I2005" s="1">
        <v>75.8</v>
      </c>
      <c r="J2005" s="1">
        <v>0.60258257533333337</v>
      </c>
      <c r="K2005" s="1">
        <v>0.528732855</v>
      </c>
      <c r="L2005" s="1">
        <v>0.63387497599999998</v>
      </c>
      <c r="M2005" s="3">
        <v>0.63337360200000004</v>
      </c>
      <c r="N2005" s="1" t="s">
        <v>58</v>
      </c>
      <c r="O2005" s="1">
        <v>1.386610879</v>
      </c>
      <c r="P2005" s="1">
        <v>69</v>
      </c>
      <c r="Q2005" s="1">
        <v>119.5</v>
      </c>
      <c r="R2005" s="1">
        <v>0.59866047766666663</v>
      </c>
      <c r="S2005" s="1">
        <v>3.9691767029736279E-2</v>
      </c>
      <c r="T2005" t="s">
        <v>2152</v>
      </c>
      <c r="U2005" s="1">
        <v>86246</v>
      </c>
      <c r="V2005">
        <f t="shared" si="124"/>
        <v>0.54841544023165456</v>
      </c>
      <c r="W2005" s="1">
        <f t="shared" si="125"/>
        <v>25.6</v>
      </c>
      <c r="X2005">
        <f t="shared" si="126"/>
        <v>0.1465053380000001</v>
      </c>
      <c r="Y2005">
        <f t="shared" si="127"/>
        <v>43.7</v>
      </c>
      <c r="Z2005" s="1">
        <v>18</v>
      </c>
      <c r="AA2005">
        <v>82</v>
      </c>
      <c r="AB2005">
        <v>0.2195</v>
      </c>
      <c r="AC2005">
        <v>19</v>
      </c>
      <c r="AD2005">
        <v>84</v>
      </c>
      <c r="AE2005">
        <v>0.22620000000000001</v>
      </c>
      <c r="AF2005" t="s">
        <v>2589</v>
      </c>
      <c r="AG2005" t="s">
        <v>2589</v>
      </c>
    </row>
    <row r="2006" spans="1:33">
      <c r="A2006" s="2" t="s">
        <v>69</v>
      </c>
      <c r="B2006" s="2" t="s">
        <v>59</v>
      </c>
      <c r="C2006" s="1">
        <v>0.50188385300000005</v>
      </c>
      <c r="D2006">
        <v>0.64580031500000001</v>
      </c>
      <c r="E2006">
        <v>0.66006355800000005</v>
      </c>
      <c r="F2006" s="1" t="s">
        <v>70</v>
      </c>
      <c r="G2006" s="1">
        <v>1.2401055409999999</v>
      </c>
      <c r="H2006" s="1">
        <v>43.4</v>
      </c>
      <c r="I2006" s="1">
        <v>75.8</v>
      </c>
      <c r="J2006" s="1">
        <v>0.60258257533333337</v>
      </c>
      <c r="K2006" s="1">
        <v>0.56225432799999997</v>
      </c>
      <c r="L2006" s="1">
        <v>0.68100706499999997</v>
      </c>
      <c r="M2006" s="3">
        <v>0.67505263699999996</v>
      </c>
      <c r="N2006" s="1" t="s">
        <v>60</v>
      </c>
      <c r="O2006" s="1">
        <v>1.1501154730000001</v>
      </c>
      <c r="P2006" s="1">
        <v>60.5</v>
      </c>
      <c r="Q2006" s="1">
        <v>129.9</v>
      </c>
      <c r="R2006" s="1">
        <v>0.63943801</v>
      </c>
      <c r="S2006" s="1">
        <v>7.1475744043391048E-2</v>
      </c>
      <c r="T2006" t="s">
        <v>2153</v>
      </c>
      <c r="U2006" s="1">
        <v>35078</v>
      </c>
      <c r="V2006">
        <f t="shared" si="124"/>
        <v>0.50500386930615937</v>
      </c>
      <c r="W2006" s="1">
        <f t="shared" si="125"/>
        <v>17.100000000000001</v>
      </c>
      <c r="X2006">
        <f t="shared" si="126"/>
        <v>8.9990067999999868E-2</v>
      </c>
      <c r="Y2006">
        <f t="shared" si="127"/>
        <v>54.100000000000009</v>
      </c>
      <c r="Z2006" s="1">
        <v>13</v>
      </c>
      <c r="AA2006">
        <v>87</v>
      </c>
      <c r="AB2006">
        <v>0.14940000000000001</v>
      </c>
      <c r="AC2006">
        <v>14</v>
      </c>
      <c r="AD2006">
        <v>108</v>
      </c>
      <c r="AE2006">
        <v>0.12959999999999999</v>
      </c>
      <c r="AF2006" t="s">
        <v>2589</v>
      </c>
      <c r="AG2006" t="s">
        <v>2589</v>
      </c>
    </row>
    <row r="2007" spans="1:33">
      <c r="A2007" s="2" t="s">
        <v>69</v>
      </c>
      <c r="B2007" s="2" t="s">
        <v>61</v>
      </c>
      <c r="C2007" s="1">
        <v>0.50188385300000005</v>
      </c>
      <c r="D2007">
        <v>0.64580031500000001</v>
      </c>
      <c r="E2007">
        <v>0.66006355800000005</v>
      </c>
      <c r="F2007" s="1" t="s">
        <v>70</v>
      </c>
      <c r="G2007" s="1">
        <v>1.2401055409999999</v>
      </c>
      <c r="H2007" s="1">
        <v>43.4</v>
      </c>
      <c r="I2007" s="1">
        <v>75.8</v>
      </c>
      <c r="J2007" s="1">
        <v>0.60258257533333337</v>
      </c>
      <c r="K2007" s="1">
        <v>0.62063455999999995</v>
      </c>
      <c r="L2007" s="1">
        <v>0.67798104299999995</v>
      </c>
      <c r="M2007" s="3">
        <v>0.72175371600000005</v>
      </c>
      <c r="N2007" s="1" t="s">
        <v>62</v>
      </c>
      <c r="O2007" s="1">
        <v>7.5471698109999998</v>
      </c>
      <c r="P2007" s="1">
        <v>26.4</v>
      </c>
      <c r="Q2007" s="1">
        <v>10.6</v>
      </c>
      <c r="R2007" s="1">
        <v>0.6734564396666668</v>
      </c>
      <c r="S2007" s="1">
        <v>0.13763359060082234</v>
      </c>
      <c r="T2007" t="s">
        <v>2154</v>
      </c>
      <c r="U2007" s="1">
        <v>616</v>
      </c>
      <c r="V2007">
        <f t="shared" si="124"/>
        <v>0.30995341246271396</v>
      </c>
      <c r="W2007" s="1">
        <f t="shared" si="125"/>
        <v>17</v>
      </c>
      <c r="X2007">
        <f t="shared" si="126"/>
        <v>6.3070642699999997</v>
      </c>
      <c r="Y2007">
        <f t="shared" si="127"/>
        <v>65.2</v>
      </c>
      <c r="Z2007" s="1">
        <v>0</v>
      </c>
      <c r="AA2007">
        <v>100</v>
      </c>
      <c r="AB2007">
        <v>0</v>
      </c>
      <c r="AC2007">
        <v>0</v>
      </c>
      <c r="AD2007">
        <v>97</v>
      </c>
      <c r="AE2007">
        <v>0</v>
      </c>
      <c r="AF2007" t="s">
        <v>2589</v>
      </c>
      <c r="AG2007" t="s">
        <v>2588</v>
      </c>
    </row>
    <row r="2008" spans="1:33">
      <c r="A2008" s="2" t="s">
        <v>69</v>
      </c>
      <c r="B2008" s="2" t="s">
        <v>63</v>
      </c>
      <c r="C2008" s="1">
        <v>0.50188385300000005</v>
      </c>
      <c r="D2008">
        <v>0.64580031500000001</v>
      </c>
      <c r="E2008">
        <v>0.66006355800000005</v>
      </c>
      <c r="F2008" s="1" t="s">
        <v>70</v>
      </c>
      <c r="G2008" s="1">
        <v>1.2401055409999999</v>
      </c>
      <c r="H2008" s="1">
        <v>43.4</v>
      </c>
      <c r="I2008" s="1">
        <v>75.8</v>
      </c>
      <c r="J2008" s="1">
        <v>0.60258257533333337</v>
      </c>
      <c r="K2008" s="1">
        <v>0.44311141399999998</v>
      </c>
      <c r="L2008" s="1">
        <v>0.57053969199999999</v>
      </c>
      <c r="M2008" s="3">
        <v>0.59266330599999995</v>
      </c>
      <c r="N2008" s="1" t="s">
        <v>64</v>
      </c>
      <c r="O2008" s="1">
        <v>0.89618138400000003</v>
      </c>
      <c r="P2008" s="1">
        <v>29.7</v>
      </c>
      <c r="Q2008" s="1">
        <v>83.8</v>
      </c>
      <c r="R2008" s="1">
        <v>0.53543813733333334</v>
      </c>
      <c r="S2008" s="1">
        <v>0.11688094339977061</v>
      </c>
      <c r="T2008" t="s">
        <v>2155</v>
      </c>
      <c r="U2008" s="1">
        <v>381</v>
      </c>
      <c r="V2008">
        <f t="shared" si="124"/>
        <v>0.28676944174173546</v>
      </c>
      <c r="W2008" s="1">
        <f t="shared" si="125"/>
        <v>13.7</v>
      </c>
      <c r="X2008">
        <f t="shared" si="126"/>
        <v>0.3439241569999999</v>
      </c>
      <c r="Y2008">
        <f t="shared" si="127"/>
        <v>8</v>
      </c>
      <c r="Z2008" s="1">
        <v>9</v>
      </c>
      <c r="AA2008">
        <v>91</v>
      </c>
      <c r="AB2008">
        <v>9.8900000000000002E-2</v>
      </c>
      <c r="AC2008">
        <v>12</v>
      </c>
      <c r="AD2008">
        <v>92</v>
      </c>
      <c r="AE2008">
        <v>0.13039999999999999</v>
      </c>
      <c r="AF2008" t="s">
        <v>2589</v>
      </c>
      <c r="AG2008" t="s">
        <v>2590</v>
      </c>
    </row>
    <row r="2009" spans="1:33">
      <c r="A2009" s="2" t="s">
        <v>69</v>
      </c>
      <c r="B2009" s="2" t="s">
        <v>65</v>
      </c>
      <c r="C2009" s="1">
        <v>0.50188385300000005</v>
      </c>
      <c r="D2009">
        <v>0.64580031500000001</v>
      </c>
      <c r="E2009">
        <v>0.66006355800000005</v>
      </c>
      <c r="F2009" s="1" t="s">
        <v>70</v>
      </c>
      <c r="G2009" s="1">
        <v>1.2401055409999999</v>
      </c>
      <c r="H2009" s="1">
        <v>43.4</v>
      </c>
      <c r="I2009" s="1">
        <v>75.8</v>
      </c>
      <c r="J2009" s="1">
        <v>0.60258257533333337</v>
      </c>
      <c r="K2009" s="1">
        <v>0.67377447499999998</v>
      </c>
      <c r="L2009" s="1">
        <v>0.69144672900000004</v>
      </c>
      <c r="M2009" s="3">
        <v>0.73046409700000003</v>
      </c>
      <c r="N2009" s="1" t="s">
        <v>66</v>
      </c>
      <c r="O2009" s="1">
        <v>1.8507462690000001</v>
      </c>
      <c r="P2009" s="1">
        <v>34.5</v>
      </c>
      <c r="Q2009" s="1">
        <v>46.9</v>
      </c>
      <c r="R2009" s="1">
        <v>0.69856176700000006</v>
      </c>
      <c r="S2009" s="1">
        <v>0.19127523868524327</v>
      </c>
      <c r="T2009" t="s">
        <v>2156</v>
      </c>
      <c r="U2009" s="1">
        <v>315</v>
      </c>
      <c r="V2009">
        <f t="shared" si="124"/>
        <v>0.2775900615321778</v>
      </c>
      <c r="W2009" s="1">
        <f t="shared" si="125"/>
        <v>8.8999999999999986</v>
      </c>
      <c r="X2009">
        <f t="shared" si="126"/>
        <v>0.61064072800000013</v>
      </c>
      <c r="Y2009">
        <f t="shared" si="127"/>
        <v>28.9</v>
      </c>
      <c r="Z2009" s="1">
        <v>0</v>
      </c>
      <c r="AA2009">
        <v>100</v>
      </c>
      <c r="AB2009">
        <v>0</v>
      </c>
      <c r="AC2009">
        <v>0</v>
      </c>
      <c r="AD2009">
        <v>86</v>
      </c>
      <c r="AE2009">
        <v>0</v>
      </c>
      <c r="AF2009" t="s">
        <v>2589</v>
      </c>
      <c r="AG2009" t="s">
        <v>2593</v>
      </c>
    </row>
    <row r="2010" spans="1:33">
      <c r="A2010" s="2" t="s">
        <v>69</v>
      </c>
      <c r="B2010" s="2" t="s">
        <v>67</v>
      </c>
      <c r="C2010" s="1">
        <v>0.50188385300000005</v>
      </c>
      <c r="D2010">
        <v>0.64580031500000001</v>
      </c>
      <c r="E2010">
        <v>0.66006355800000005</v>
      </c>
      <c r="F2010" s="1" t="s">
        <v>70</v>
      </c>
      <c r="G2010" s="1">
        <v>1.2401055409999999</v>
      </c>
      <c r="H2010" s="1">
        <v>43.4</v>
      </c>
      <c r="I2010" s="1">
        <v>75.8</v>
      </c>
      <c r="J2010" s="1">
        <v>0.60258257533333337</v>
      </c>
      <c r="K2010" s="1">
        <v>0.53971122199999999</v>
      </c>
      <c r="L2010" s="1">
        <v>0.621203065</v>
      </c>
      <c r="M2010" s="3">
        <v>0.67806811499999997</v>
      </c>
      <c r="N2010" s="1" t="s">
        <v>68</v>
      </c>
      <c r="O2010" s="1">
        <v>1.5131894480000001</v>
      </c>
      <c r="P2010" s="1">
        <v>27.2</v>
      </c>
      <c r="Q2010" s="1">
        <v>41.7</v>
      </c>
      <c r="R2010" s="1">
        <v>0.61299413400000002</v>
      </c>
      <c r="S2010" s="1">
        <v>4.8580846285248093E-2</v>
      </c>
      <c r="T2010" t="s">
        <v>2157</v>
      </c>
      <c r="U2010" s="1">
        <v>1268</v>
      </c>
      <c r="V2010">
        <f t="shared" si="124"/>
        <v>0.34479102817174595</v>
      </c>
      <c r="W2010" s="1">
        <f t="shared" si="125"/>
        <v>16.2</v>
      </c>
      <c r="X2010">
        <f t="shared" si="126"/>
        <v>0.27308390700000018</v>
      </c>
      <c r="Y2010">
        <f t="shared" si="127"/>
        <v>34.099999999999994</v>
      </c>
      <c r="Z2010" s="1">
        <v>2</v>
      </c>
      <c r="AA2010">
        <v>98</v>
      </c>
      <c r="AB2010">
        <v>2.0400000000000001E-2</v>
      </c>
      <c r="AC2010">
        <v>3</v>
      </c>
      <c r="AD2010">
        <v>94</v>
      </c>
      <c r="AE2010">
        <v>3.1899999999999998E-2</v>
      </c>
      <c r="AF2010" t="s">
        <v>2589</v>
      </c>
      <c r="AG2010" t="s">
        <v>2588</v>
      </c>
    </row>
    <row r="2011" spans="1:33">
      <c r="A2011" s="2" t="s">
        <v>67</v>
      </c>
      <c r="B2011" s="2" t="s">
        <v>10</v>
      </c>
      <c r="C2011" s="1">
        <v>0.53971122199999999</v>
      </c>
      <c r="D2011">
        <v>0.621203065</v>
      </c>
      <c r="E2011">
        <v>0.67806811499999997</v>
      </c>
      <c r="F2011" s="1" t="s">
        <v>68</v>
      </c>
      <c r="G2011" s="1">
        <v>1.5131894480000001</v>
      </c>
      <c r="H2011" s="1">
        <v>27.2</v>
      </c>
      <c r="I2011" s="1">
        <v>41.7</v>
      </c>
      <c r="J2011" s="1">
        <v>0.61299413400000002</v>
      </c>
      <c r="K2011" s="1">
        <v>0.52456325500000001</v>
      </c>
      <c r="L2011" s="1">
        <v>0.61925627999999999</v>
      </c>
      <c r="M2011" s="3">
        <v>0.72111139899999999</v>
      </c>
      <c r="N2011" s="1" t="s">
        <v>12</v>
      </c>
      <c r="O2011" s="1">
        <v>0.61690647499999995</v>
      </c>
      <c r="P2011" s="1">
        <v>30</v>
      </c>
      <c r="Q2011" s="1">
        <v>111.2</v>
      </c>
      <c r="R2011" s="1">
        <v>0.62164364466666666</v>
      </c>
      <c r="S2011" s="1">
        <v>4.5672477199884515E-2</v>
      </c>
      <c r="T2011" t="s">
        <v>2158</v>
      </c>
      <c r="U2011" s="1">
        <v>903</v>
      </c>
      <c r="V2011">
        <f t="shared" si="124"/>
        <v>0.32840975003483397</v>
      </c>
      <c r="W2011" s="1">
        <f t="shared" si="125"/>
        <v>2.8000000000000007</v>
      </c>
      <c r="X2011">
        <f t="shared" si="126"/>
        <v>0.89628297300000015</v>
      </c>
      <c r="Y2011">
        <f t="shared" si="127"/>
        <v>69.5</v>
      </c>
      <c r="Z2011" s="1">
        <v>1</v>
      </c>
      <c r="AA2011">
        <v>99</v>
      </c>
      <c r="AB2011">
        <v>1.01E-2</v>
      </c>
      <c r="AC2011">
        <v>2</v>
      </c>
      <c r="AD2011">
        <v>150</v>
      </c>
      <c r="AE2011">
        <v>1.3299999999999999E-2</v>
      </c>
      <c r="AF2011" t="s">
        <v>2588</v>
      </c>
      <c r="AG2011" t="s">
        <v>2588</v>
      </c>
    </row>
    <row r="2012" spans="1:33">
      <c r="A2012" s="2" t="s">
        <v>67</v>
      </c>
      <c r="B2012" s="2" t="s">
        <v>13</v>
      </c>
      <c r="C2012" s="1">
        <v>0.53971122199999999</v>
      </c>
      <c r="D2012">
        <v>0.621203065</v>
      </c>
      <c r="E2012">
        <v>0.67806811499999997</v>
      </c>
      <c r="F2012" s="1" t="s">
        <v>68</v>
      </c>
      <c r="G2012" s="1">
        <v>1.5131894480000001</v>
      </c>
      <c r="H2012" s="1">
        <v>27.2</v>
      </c>
      <c r="I2012" s="1">
        <v>41.7</v>
      </c>
      <c r="J2012" s="1">
        <v>0.61299413400000002</v>
      </c>
      <c r="K2012" s="1">
        <v>0.48695497399999998</v>
      </c>
      <c r="L2012" s="1">
        <v>0.54991327199999995</v>
      </c>
      <c r="M2012" s="3">
        <v>0.67282609299999996</v>
      </c>
      <c r="N2012" s="1" t="s">
        <v>14</v>
      </c>
      <c r="O2012" s="1">
        <v>1.6052009460000001</v>
      </c>
      <c r="P2012" s="1">
        <v>26.6</v>
      </c>
      <c r="Q2012" s="1">
        <v>42.3</v>
      </c>
      <c r="R2012" s="1">
        <v>0.56989811299999993</v>
      </c>
      <c r="S2012" s="1">
        <v>8.884219202422261E-2</v>
      </c>
      <c r="T2012" t="s">
        <v>2159</v>
      </c>
      <c r="U2012" s="1">
        <v>401</v>
      </c>
      <c r="V2012">
        <f t="shared" si="124"/>
        <v>0.2892382636244647</v>
      </c>
      <c r="W2012" s="1">
        <f t="shared" si="125"/>
        <v>0.59999999999999787</v>
      </c>
      <c r="X2012">
        <f t="shared" si="126"/>
        <v>9.2011497999999969E-2</v>
      </c>
      <c r="Y2012">
        <f t="shared" si="127"/>
        <v>0.59999999999999432</v>
      </c>
      <c r="Z2012" s="1">
        <v>1</v>
      </c>
      <c r="AA2012">
        <v>99</v>
      </c>
      <c r="AB2012">
        <v>1.01E-2</v>
      </c>
      <c r="AC2012">
        <v>2</v>
      </c>
      <c r="AD2012">
        <v>97</v>
      </c>
      <c r="AE2012">
        <v>2.06E-2</v>
      </c>
      <c r="AF2012" t="s">
        <v>2588</v>
      </c>
      <c r="AG2012" t="s">
        <v>2590</v>
      </c>
    </row>
    <row r="2013" spans="1:33">
      <c r="A2013" s="2" t="s">
        <v>67</v>
      </c>
      <c r="B2013" s="2" t="s">
        <v>15</v>
      </c>
      <c r="C2013" s="1">
        <v>0.53971122199999999</v>
      </c>
      <c r="D2013">
        <v>0.621203065</v>
      </c>
      <c r="E2013">
        <v>0.67806811499999997</v>
      </c>
      <c r="F2013" s="1" t="s">
        <v>68</v>
      </c>
      <c r="G2013" s="1">
        <v>1.5131894480000001</v>
      </c>
      <c r="H2013" s="1">
        <v>27.2</v>
      </c>
      <c r="I2013" s="1">
        <v>41.7</v>
      </c>
      <c r="J2013" s="1">
        <v>0.61299413400000002</v>
      </c>
      <c r="K2013" s="1">
        <v>0.54560998800000005</v>
      </c>
      <c r="L2013" s="1">
        <v>0.66721428400000005</v>
      </c>
      <c r="M2013" s="3">
        <v>0.72650398400000005</v>
      </c>
      <c r="N2013" s="1" t="s">
        <v>16</v>
      </c>
      <c r="O2013" s="1">
        <v>5.1392405060000002</v>
      </c>
      <c r="P2013" s="1">
        <v>35.9</v>
      </c>
      <c r="Q2013" s="1">
        <v>15.8</v>
      </c>
      <c r="R2013" s="1">
        <v>0.64644275200000012</v>
      </c>
      <c r="S2013" s="1">
        <v>6.7066095159729486E-2</v>
      </c>
      <c r="T2013" t="s">
        <v>2160</v>
      </c>
      <c r="U2013" s="1">
        <v>6377</v>
      </c>
      <c r="V2013">
        <f t="shared" si="124"/>
        <v>0.42273515744302836</v>
      </c>
      <c r="W2013" s="1">
        <f t="shared" si="125"/>
        <v>8.6999999999999993</v>
      </c>
      <c r="X2013">
        <f t="shared" si="126"/>
        <v>3.6260510579999998</v>
      </c>
      <c r="Y2013">
        <f t="shared" si="127"/>
        <v>25.900000000000002</v>
      </c>
      <c r="Z2013" s="1">
        <v>1</v>
      </c>
      <c r="AA2013">
        <v>99</v>
      </c>
      <c r="AB2013">
        <v>1.01E-2</v>
      </c>
      <c r="AC2013">
        <v>1</v>
      </c>
      <c r="AD2013">
        <v>94</v>
      </c>
      <c r="AE2013">
        <v>1.06E-2</v>
      </c>
      <c r="AF2013" t="s">
        <v>2588</v>
      </c>
      <c r="AG2013" t="s">
        <v>2591</v>
      </c>
    </row>
    <row r="2014" spans="1:33">
      <c r="A2014" s="2" t="s">
        <v>67</v>
      </c>
      <c r="B2014" s="2" t="s">
        <v>17</v>
      </c>
      <c r="C2014" s="1">
        <v>0.53971122199999999</v>
      </c>
      <c r="D2014">
        <v>0.621203065</v>
      </c>
      <c r="E2014">
        <v>0.67806811499999997</v>
      </c>
      <c r="F2014" s="1" t="s">
        <v>68</v>
      </c>
      <c r="G2014" s="1">
        <v>1.5131894480000001</v>
      </c>
      <c r="H2014" s="1">
        <v>27.2</v>
      </c>
      <c r="I2014" s="1">
        <v>41.7</v>
      </c>
      <c r="J2014" s="1">
        <v>0.61299413400000002</v>
      </c>
      <c r="K2014" s="1">
        <v>0.659112378</v>
      </c>
      <c r="L2014" s="1">
        <v>0.68333493499999998</v>
      </c>
      <c r="M2014" s="3">
        <v>0.70345495199999997</v>
      </c>
      <c r="N2014" s="1" t="s">
        <v>18</v>
      </c>
      <c r="O2014" s="1">
        <v>1.9463955639999999</v>
      </c>
      <c r="P2014" s="1">
        <v>46.3</v>
      </c>
      <c r="Q2014" s="1">
        <v>54.1</v>
      </c>
      <c r="R2014" s="1">
        <v>0.68196742166666668</v>
      </c>
      <c r="S2014" s="1">
        <v>0.1369726133820108</v>
      </c>
      <c r="T2014" t="s">
        <v>2161</v>
      </c>
      <c r="U2014" s="1">
        <v>1575</v>
      </c>
      <c r="V2014">
        <f t="shared" si="124"/>
        <v>0.355253395347291</v>
      </c>
      <c r="W2014" s="1">
        <f t="shared" si="125"/>
        <v>19.099999999999998</v>
      </c>
      <c r="X2014">
        <f t="shared" si="126"/>
        <v>0.43320611599999981</v>
      </c>
      <c r="Y2014">
        <f t="shared" si="127"/>
        <v>12.399999999999999</v>
      </c>
      <c r="Z2014" s="1">
        <v>1</v>
      </c>
      <c r="AA2014">
        <v>99</v>
      </c>
      <c r="AB2014">
        <v>1.01E-2</v>
      </c>
      <c r="AC2014">
        <v>1</v>
      </c>
      <c r="AD2014">
        <v>108</v>
      </c>
      <c r="AE2014">
        <v>9.2999999999999992E-3</v>
      </c>
      <c r="AF2014" t="s">
        <v>2588</v>
      </c>
      <c r="AG2014" t="s">
        <v>2591</v>
      </c>
    </row>
    <row r="2015" spans="1:33">
      <c r="A2015" s="2" t="s">
        <v>67</v>
      </c>
      <c r="B2015" s="2" t="s">
        <v>19</v>
      </c>
      <c r="C2015" s="1">
        <v>0.53971122199999999</v>
      </c>
      <c r="D2015">
        <v>0.621203065</v>
      </c>
      <c r="E2015">
        <v>0.67806811499999997</v>
      </c>
      <c r="F2015" s="1" t="s">
        <v>68</v>
      </c>
      <c r="G2015" s="1">
        <v>1.5131894480000001</v>
      </c>
      <c r="H2015" s="1">
        <v>27.2</v>
      </c>
      <c r="I2015" s="1">
        <v>41.7</v>
      </c>
      <c r="J2015" s="1">
        <v>0.61299413400000002</v>
      </c>
      <c r="K2015" s="1">
        <v>0.49391595300000002</v>
      </c>
      <c r="L2015" s="1">
        <v>0.603599314</v>
      </c>
      <c r="M2015" s="3">
        <v>0.63481471599999995</v>
      </c>
      <c r="N2015" s="1" t="s">
        <v>20</v>
      </c>
      <c r="O2015" s="1">
        <v>1.2140902870000001</v>
      </c>
      <c r="P2015" s="1">
        <v>64.900000000000006</v>
      </c>
      <c r="Q2015" s="1">
        <v>146.19999999999999</v>
      </c>
      <c r="R2015" s="1">
        <v>0.57744332766666662</v>
      </c>
      <c r="S2015" s="1">
        <v>6.5406079511812681E-2</v>
      </c>
      <c r="T2015" t="s">
        <v>2162</v>
      </c>
      <c r="U2015" s="1">
        <v>1525</v>
      </c>
      <c r="V2015">
        <f t="shared" si="124"/>
        <v>0.35369664929808942</v>
      </c>
      <c r="W2015" s="1">
        <f t="shared" si="125"/>
        <v>37.700000000000003</v>
      </c>
      <c r="X2015">
        <f t="shared" si="126"/>
        <v>0.299099161</v>
      </c>
      <c r="Y2015">
        <f t="shared" si="127"/>
        <v>104.49999999999999</v>
      </c>
      <c r="Z2015" s="1">
        <v>1</v>
      </c>
      <c r="AA2015">
        <v>99</v>
      </c>
      <c r="AB2015">
        <v>1.01E-2</v>
      </c>
      <c r="AC2015">
        <v>2</v>
      </c>
      <c r="AD2015">
        <v>87</v>
      </c>
      <c r="AE2015">
        <v>2.3E-2</v>
      </c>
      <c r="AF2015" t="s">
        <v>2588</v>
      </c>
      <c r="AG2015" t="s">
        <v>2593</v>
      </c>
    </row>
    <row r="2016" spans="1:33">
      <c r="A2016" s="2" t="s">
        <v>67</v>
      </c>
      <c r="B2016" s="2" t="s">
        <v>21</v>
      </c>
      <c r="C2016" s="1">
        <v>0.53971122199999999</v>
      </c>
      <c r="D2016">
        <v>0.621203065</v>
      </c>
      <c r="E2016">
        <v>0.67806811499999997</v>
      </c>
      <c r="F2016" s="1" t="s">
        <v>68</v>
      </c>
      <c r="G2016" s="1">
        <v>1.5131894480000001</v>
      </c>
      <c r="H2016" s="1">
        <v>27.2</v>
      </c>
      <c r="I2016" s="1">
        <v>41.7</v>
      </c>
      <c r="J2016" s="1">
        <v>0.61299413400000002</v>
      </c>
      <c r="K2016" s="1">
        <v>0.53276376800000003</v>
      </c>
      <c r="L2016" s="1">
        <v>0.65428149899999999</v>
      </c>
      <c r="M2016" s="3">
        <v>0.70160154799999996</v>
      </c>
      <c r="N2016" s="1" t="s">
        <v>22</v>
      </c>
      <c r="O2016" s="1">
        <v>1.2440604749999999</v>
      </c>
      <c r="P2016" s="1">
        <v>24.6</v>
      </c>
      <c r="Q2016" s="1">
        <v>46.3</v>
      </c>
      <c r="R2016" s="1">
        <v>0.62954893833333336</v>
      </c>
      <c r="S2016" s="1">
        <v>4.1185827437845164E-2</v>
      </c>
      <c r="T2016" t="s">
        <v>2163</v>
      </c>
      <c r="U2016" s="1">
        <v>7309</v>
      </c>
      <c r="V2016">
        <f t="shared" si="124"/>
        <v>0.42931755132044142</v>
      </c>
      <c r="W2016" s="1">
        <f t="shared" si="125"/>
        <v>2.5999999999999979</v>
      </c>
      <c r="X2016">
        <f t="shared" si="126"/>
        <v>0.26912897300000016</v>
      </c>
      <c r="Y2016">
        <f t="shared" si="127"/>
        <v>4.5999999999999943</v>
      </c>
      <c r="Z2016" s="1">
        <v>1</v>
      </c>
      <c r="AA2016">
        <v>99</v>
      </c>
      <c r="AB2016">
        <v>1.01E-2</v>
      </c>
      <c r="AC2016">
        <v>2</v>
      </c>
      <c r="AD2016">
        <v>93</v>
      </c>
      <c r="AE2016">
        <v>2.1499999999999998E-2</v>
      </c>
      <c r="AF2016" t="s">
        <v>2588</v>
      </c>
      <c r="AG2016" t="s">
        <v>2589</v>
      </c>
    </row>
    <row r="2017" spans="1:33">
      <c r="A2017" s="2" t="s">
        <v>67</v>
      </c>
      <c r="B2017" s="2" t="s">
        <v>23</v>
      </c>
      <c r="C2017" s="1">
        <v>0.53971122199999999</v>
      </c>
      <c r="D2017">
        <v>0.621203065</v>
      </c>
      <c r="E2017">
        <v>0.67806811499999997</v>
      </c>
      <c r="F2017" s="1" t="s">
        <v>68</v>
      </c>
      <c r="G2017" s="1">
        <v>1.5131894480000001</v>
      </c>
      <c r="H2017" s="1">
        <v>27.2</v>
      </c>
      <c r="I2017" s="1">
        <v>41.7</v>
      </c>
      <c r="J2017" s="1">
        <v>0.61299413400000002</v>
      </c>
      <c r="K2017" s="1">
        <v>0.49415677200000002</v>
      </c>
      <c r="L2017" s="1">
        <v>0.62090818999999997</v>
      </c>
      <c r="M2017" s="3">
        <v>0.63381026900000004</v>
      </c>
      <c r="N2017" s="1" t="s">
        <v>24</v>
      </c>
      <c r="O2017" s="1">
        <v>1.141304348</v>
      </c>
      <c r="P2017" s="1">
        <v>44.4</v>
      </c>
      <c r="Q2017" s="1">
        <v>101.2</v>
      </c>
      <c r="R2017" s="1">
        <v>0.58295841033333329</v>
      </c>
      <c r="S2017" s="1">
        <v>6.3514185806226253E-2</v>
      </c>
      <c r="T2017" t="s">
        <v>2164</v>
      </c>
      <c r="U2017" s="1">
        <v>343</v>
      </c>
      <c r="V2017">
        <f t="shared" si="124"/>
        <v>0.28169934667141894</v>
      </c>
      <c r="W2017" s="1">
        <f t="shared" si="125"/>
        <v>17.2</v>
      </c>
      <c r="X2017">
        <f t="shared" si="126"/>
        <v>0.37188510000000008</v>
      </c>
      <c r="Y2017">
        <f t="shared" si="127"/>
        <v>59.5</v>
      </c>
      <c r="Z2017" s="1">
        <v>2</v>
      </c>
      <c r="AA2017">
        <v>98</v>
      </c>
      <c r="AB2017">
        <v>2.0400000000000001E-2</v>
      </c>
      <c r="AC2017">
        <v>3</v>
      </c>
      <c r="AD2017">
        <v>88</v>
      </c>
      <c r="AE2017">
        <v>3.4099999999999998E-2</v>
      </c>
      <c r="AF2017" t="s">
        <v>2588</v>
      </c>
      <c r="AG2017" t="s">
        <v>2590</v>
      </c>
    </row>
    <row r="2018" spans="1:33">
      <c r="A2018" s="2" t="s">
        <v>67</v>
      </c>
      <c r="B2018" s="2" t="s">
        <v>25</v>
      </c>
      <c r="C2018" s="1">
        <v>0.53971122199999999</v>
      </c>
      <c r="D2018">
        <v>0.621203065</v>
      </c>
      <c r="E2018">
        <v>0.67806811499999997</v>
      </c>
      <c r="F2018" s="1" t="s">
        <v>68</v>
      </c>
      <c r="G2018" s="1">
        <v>1.5131894480000001</v>
      </c>
      <c r="H2018" s="1">
        <v>27.2</v>
      </c>
      <c r="I2018" s="1">
        <v>41.7</v>
      </c>
      <c r="J2018" s="1">
        <v>0.61299413400000002</v>
      </c>
      <c r="K2018" s="1">
        <v>0.53959274199999996</v>
      </c>
      <c r="L2018" s="1">
        <v>0.64971567399999997</v>
      </c>
      <c r="M2018" s="3">
        <v>0.65028459999999999</v>
      </c>
      <c r="N2018" s="1" t="s">
        <v>26</v>
      </c>
      <c r="O2018" s="1">
        <v>1.623046875</v>
      </c>
      <c r="P2018" s="1">
        <v>34.700000000000003</v>
      </c>
      <c r="Q2018" s="1">
        <v>51.2</v>
      </c>
      <c r="R2018" s="1">
        <v>0.61319767199999997</v>
      </c>
      <c r="S2018" s="1">
        <v>3.9810885637630612E-2</v>
      </c>
      <c r="T2018" t="s">
        <v>2165</v>
      </c>
      <c r="U2018" s="1">
        <v>3445</v>
      </c>
      <c r="V2018">
        <f t="shared" si="124"/>
        <v>0.39302102513818271</v>
      </c>
      <c r="W2018" s="1">
        <f t="shared" si="125"/>
        <v>7.5000000000000036</v>
      </c>
      <c r="X2018">
        <f t="shared" si="126"/>
        <v>0.1098574269999999</v>
      </c>
      <c r="Y2018">
        <f t="shared" si="127"/>
        <v>9.5</v>
      </c>
      <c r="Z2018" s="1">
        <v>0</v>
      </c>
      <c r="AA2018">
        <v>100</v>
      </c>
      <c r="AB2018">
        <v>0</v>
      </c>
      <c r="AC2018">
        <v>0</v>
      </c>
      <c r="AD2018">
        <v>93</v>
      </c>
      <c r="AE2018">
        <v>0</v>
      </c>
      <c r="AF2018" t="s">
        <v>2588</v>
      </c>
      <c r="AG2018" t="s">
        <v>2594</v>
      </c>
    </row>
    <row r="2019" spans="1:33">
      <c r="A2019" s="2" t="s">
        <v>67</v>
      </c>
      <c r="B2019" s="2" t="s">
        <v>27</v>
      </c>
      <c r="C2019" s="1">
        <v>0.53971122199999999</v>
      </c>
      <c r="D2019">
        <v>0.621203065</v>
      </c>
      <c r="E2019">
        <v>0.67806811499999997</v>
      </c>
      <c r="F2019" s="1" t="s">
        <v>68</v>
      </c>
      <c r="G2019" s="1">
        <v>1.5131894480000001</v>
      </c>
      <c r="H2019" s="1">
        <v>27.2</v>
      </c>
      <c r="I2019" s="1">
        <v>41.7</v>
      </c>
      <c r="J2019" s="1">
        <v>0.61299413400000002</v>
      </c>
      <c r="K2019" s="1">
        <v>0.518608662</v>
      </c>
      <c r="L2019" s="1">
        <v>0.64320369700000002</v>
      </c>
      <c r="M2019" s="3">
        <v>0.62228994199999998</v>
      </c>
      <c r="N2019" s="1" t="s">
        <v>28</v>
      </c>
      <c r="O2019" s="1">
        <v>1.8717391299999999</v>
      </c>
      <c r="P2019" s="1">
        <v>33.700000000000003</v>
      </c>
      <c r="Q2019" s="1">
        <v>46</v>
      </c>
      <c r="R2019" s="1">
        <v>0.59470076699999996</v>
      </c>
      <c r="S2019" s="1">
        <v>6.3565324117563909E-2</v>
      </c>
      <c r="T2019" t="s">
        <v>2166</v>
      </c>
      <c r="U2019" s="1">
        <v>472</v>
      </c>
      <c r="V2019">
        <f t="shared" si="124"/>
        <v>0.29710466651489864</v>
      </c>
      <c r="W2019" s="1">
        <f t="shared" si="125"/>
        <v>6.5000000000000036</v>
      </c>
      <c r="X2019">
        <f t="shared" si="126"/>
        <v>0.35854968199999981</v>
      </c>
      <c r="Y2019">
        <f t="shared" si="127"/>
        <v>4.2999999999999972</v>
      </c>
      <c r="Z2019" s="1">
        <v>2</v>
      </c>
      <c r="AA2019">
        <v>98</v>
      </c>
      <c r="AB2019">
        <v>2.0400000000000001E-2</v>
      </c>
      <c r="AC2019">
        <v>3</v>
      </c>
      <c r="AD2019">
        <v>97</v>
      </c>
      <c r="AE2019">
        <v>3.09E-2</v>
      </c>
      <c r="AF2019" t="s">
        <v>2588</v>
      </c>
      <c r="AG2019" t="s">
        <v>2590</v>
      </c>
    </row>
    <row r="2020" spans="1:33">
      <c r="A2020" s="2" t="s">
        <v>67</v>
      </c>
      <c r="B2020" s="2" t="s">
        <v>29</v>
      </c>
      <c r="C2020" s="1">
        <v>0.53971122199999999</v>
      </c>
      <c r="D2020">
        <v>0.621203065</v>
      </c>
      <c r="E2020">
        <v>0.67806811499999997</v>
      </c>
      <c r="F2020" s="1" t="s">
        <v>68</v>
      </c>
      <c r="G2020" s="1">
        <v>1.5131894480000001</v>
      </c>
      <c r="H2020" s="1">
        <v>27.2</v>
      </c>
      <c r="I2020" s="1">
        <v>41.7</v>
      </c>
      <c r="J2020" s="1">
        <v>0.61299413400000002</v>
      </c>
      <c r="K2020" s="1">
        <v>0.59351545100000003</v>
      </c>
      <c r="L2020" s="1">
        <v>0.68136602400000001</v>
      </c>
      <c r="M2020" s="3">
        <v>0.73518087600000004</v>
      </c>
      <c r="N2020" s="1" t="s">
        <v>30</v>
      </c>
      <c r="O2020" s="1">
        <v>2.849112426</v>
      </c>
      <c r="P2020" s="1">
        <v>37.9</v>
      </c>
      <c r="Q2020" s="1">
        <v>33.799999999999997</v>
      </c>
      <c r="R2020" s="1">
        <v>0.67002078366666673</v>
      </c>
      <c r="S2020" s="1">
        <v>9.8875397157044367E-2</v>
      </c>
      <c r="T2020" t="s">
        <v>2167</v>
      </c>
      <c r="U2020" s="1">
        <v>2902</v>
      </c>
      <c r="V2020">
        <f t="shared" si="124"/>
        <v>0.38474415645574633</v>
      </c>
      <c r="W2020" s="1">
        <f t="shared" si="125"/>
        <v>10.7</v>
      </c>
      <c r="X2020">
        <f t="shared" si="126"/>
        <v>1.3359229779999999</v>
      </c>
      <c r="Y2020">
        <f t="shared" si="127"/>
        <v>7.9000000000000057</v>
      </c>
      <c r="Z2020" s="1">
        <v>1</v>
      </c>
      <c r="AA2020">
        <v>99</v>
      </c>
      <c r="AB2020">
        <v>1.01E-2</v>
      </c>
      <c r="AC2020">
        <v>1</v>
      </c>
      <c r="AD2020">
        <v>88</v>
      </c>
      <c r="AE2020">
        <v>1.14E-2</v>
      </c>
      <c r="AF2020" t="s">
        <v>2588</v>
      </c>
      <c r="AG2020" t="s">
        <v>2593</v>
      </c>
    </row>
    <row r="2021" spans="1:33">
      <c r="A2021" s="2" t="s">
        <v>67</v>
      </c>
      <c r="B2021" s="2" t="s">
        <v>31</v>
      </c>
      <c r="C2021" s="1">
        <v>0.53971122199999999</v>
      </c>
      <c r="D2021">
        <v>0.621203065</v>
      </c>
      <c r="E2021">
        <v>0.67806811499999997</v>
      </c>
      <c r="F2021" s="1" t="s">
        <v>68</v>
      </c>
      <c r="G2021" s="1">
        <v>1.5131894480000001</v>
      </c>
      <c r="H2021" s="1">
        <v>27.2</v>
      </c>
      <c r="I2021" s="1">
        <v>41.7</v>
      </c>
      <c r="J2021" s="1">
        <v>0.61299413400000002</v>
      </c>
      <c r="K2021" s="1">
        <v>0.47727961800000002</v>
      </c>
      <c r="L2021" s="1">
        <v>0.66941086400000005</v>
      </c>
      <c r="M2021" s="3">
        <v>0.69294815300000001</v>
      </c>
      <c r="N2021" s="1" t="s">
        <v>32</v>
      </c>
      <c r="O2021" s="1">
        <v>1.341891892</v>
      </c>
      <c r="P2021" s="1">
        <v>42.1</v>
      </c>
      <c r="Q2021" s="1">
        <v>74</v>
      </c>
      <c r="R2021" s="1">
        <v>0.61321287833333338</v>
      </c>
      <c r="S2021" s="1">
        <v>8.0269001447125676E-2</v>
      </c>
      <c r="T2021" t="s">
        <v>2168</v>
      </c>
      <c r="U2021" s="1">
        <v>891</v>
      </c>
      <c r="V2021">
        <f t="shared" si="124"/>
        <v>0.32776418933743057</v>
      </c>
      <c r="W2021" s="1">
        <f t="shared" si="125"/>
        <v>14.900000000000002</v>
      </c>
      <c r="X2021">
        <f t="shared" si="126"/>
        <v>0.17129755600000007</v>
      </c>
      <c r="Y2021">
        <f t="shared" si="127"/>
        <v>32.299999999999997</v>
      </c>
      <c r="Z2021" s="1">
        <v>1</v>
      </c>
      <c r="AA2021">
        <v>99</v>
      </c>
      <c r="AB2021">
        <v>1.01E-2</v>
      </c>
      <c r="AC2021">
        <v>2</v>
      </c>
      <c r="AD2021">
        <v>95</v>
      </c>
      <c r="AE2021">
        <v>2.1100000000000001E-2</v>
      </c>
      <c r="AF2021" t="s">
        <v>2588</v>
      </c>
      <c r="AG2021" t="s">
        <v>2589</v>
      </c>
    </row>
    <row r="2022" spans="1:33">
      <c r="A2022" s="2" t="s">
        <v>67</v>
      </c>
      <c r="B2022" s="2" t="s">
        <v>33</v>
      </c>
      <c r="C2022" s="1">
        <v>0.53971122199999999</v>
      </c>
      <c r="D2022">
        <v>0.621203065</v>
      </c>
      <c r="E2022">
        <v>0.67806811499999997</v>
      </c>
      <c r="F2022" s="1" t="s">
        <v>68</v>
      </c>
      <c r="G2022" s="1">
        <v>1.5131894480000001</v>
      </c>
      <c r="H2022" s="1">
        <v>27.2</v>
      </c>
      <c r="I2022" s="1">
        <v>41.7</v>
      </c>
      <c r="J2022" s="1">
        <v>0.61299413400000002</v>
      </c>
      <c r="K2022" s="1">
        <v>0.51347926600000005</v>
      </c>
      <c r="L2022" s="1">
        <v>0.63144379399999995</v>
      </c>
      <c r="M2022" s="3">
        <v>0.64189093500000005</v>
      </c>
      <c r="N2022" s="1" t="s">
        <v>34</v>
      </c>
      <c r="O2022" s="1">
        <v>2.3123667380000001</v>
      </c>
      <c r="P2022" s="1">
        <v>79.099999999999994</v>
      </c>
      <c r="Q2022" s="1">
        <v>93.8</v>
      </c>
      <c r="R2022" s="1">
        <v>0.59560466500000009</v>
      </c>
      <c r="S2022" s="1">
        <v>4.5845134952247305E-2</v>
      </c>
      <c r="T2022" t="s">
        <v>2169</v>
      </c>
      <c r="U2022" s="1">
        <v>1126</v>
      </c>
      <c r="V2022">
        <f t="shared" si="124"/>
        <v>0.33905982116836975</v>
      </c>
      <c r="W2022" s="1">
        <f t="shared" si="125"/>
        <v>51.899999999999991</v>
      </c>
      <c r="X2022">
        <f t="shared" si="126"/>
        <v>0.79917729000000004</v>
      </c>
      <c r="Y2022">
        <f t="shared" si="127"/>
        <v>52.099999999999994</v>
      </c>
      <c r="Z2022" s="1">
        <v>2</v>
      </c>
      <c r="AA2022">
        <v>98</v>
      </c>
      <c r="AB2022">
        <v>2.0400000000000001E-2</v>
      </c>
      <c r="AC2022">
        <v>3</v>
      </c>
      <c r="AD2022">
        <v>88</v>
      </c>
      <c r="AE2022">
        <v>3.4099999999999998E-2</v>
      </c>
      <c r="AF2022" t="s">
        <v>2588</v>
      </c>
      <c r="AG2022" t="s">
        <v>2590</v>
      </c>
    </row>
    <row r="2023" spans="1:33">
      <c r="A2023" s="2" t="s">
        <v>67</v>
      </c>
      <c r="B2023" s="2" t="s">
        <v>35</v>
      </c>
      <c r="C2023" s="1">
        <v>0.53971122199999999</v>
      </c>
      <c r="D2023">
        <v>0.621203065</v>
      </c>
      <c r="E2023">
        <v>0.67806811499999997</v>
      </c>
      <c r="F2023" s="1" t="s">
        <v>68</v>
      </c>
      <c r="G2023" s="1">
        <v>1.5131894480000001</v>
      </c>
      <c r="H2023" s="1">
        <v>27.2</v>
      </c>
      <c r="I2023" s="1">
        <v>41.7</v>
      </c>
      <c r="J2023" s="1">
        <v>0.61299413400000002</v>
      </c>
      <c r="K2023" s="1">
        <v>0.52542897600000005</v>
      </c>
      <c r="L2023" s="1">
        <v>0.60774736299999998</v>
      </c>
      <c r="M2023" s="3">
        <v>0.62585751700000003</v>
      </c>
      <c r="N2023" s="1" t="s">
        <v>36</v>
      </c>
      <c r="O2023" s="1">
        <v>0.98848810399999998</v>
      </c>
      <c r="P2023" s="1">
        <v>54.2</v>
      </c>
      <c r="Q2023" s="1">
        <v>130.30000000000001</v>
      </c>
      <c r="R2023" s="1">
        <v>0.58634461866666665</v>
      </c>
      <c r="S2023" s="1">
        <v>5.5776204699091142E-2</v>
      </c>
      <c r="T2023" t="s">
        <v>2170</v>
      </c>
      <c r="U2023" s="1">
        <v>2078</v>
      </c>
      <c r="V2023">
        <f t="shared" si="124"/>
        <v>0.36862728258012872</v>
      </c>
      <c r="W2023" s="1">
        <f t="shared" si="125"/>
        <v>27.000000000000004</v>
      </c>
      <c r="X2023">
        <f t="shared" si="126"/>
        <v>0.52470134400000012</v>
      </c>
      <c r="Y2023">
        <f t="shared" si="127"/>
        <v>88.600000000000009</v>
      </c>
      <c r="Z2023" s="1">
        <v>1</v>
      </c>
      <c r="AA2023">
        <v>99</v>
      </c>
      <c r="AB2023">
        <v>1.01E-2</v>
      </c>
      <c r="AC2023">
        <v>2</v>
      </c>
      <c r="AD2023">
        <v>88</v>
      </c>
      <c r="AE2023">
        <v>2.2700000000000001E-2</v>
      </c>
      <c r="AF2023" t="s">
        <v>2588</v>
      </c>
      <c r="AG2023" t="s">
        <v>2589</v>
      </c>
    </row>
    <row r="2024" spans="1:33">
      <c r="A2024" s="2" t="s">
        <v>67</v>
      </c>
      <c r="B2024" s="2" t="s">
        <v>37</v>
      </c>
      <c r="C2024" s="1">
        <v>0.53971122199999999</v>
      </c>
      <c r="D2024">
        <v>0.621203065</v>
      </c>
      <c r="E2024">
        <v>0.67806811499999997</v>
      </c>
      <c r="F2024" s="1" t="s">
        <v>68</v>
      </c>
      <c r="G2024" s="1">
        <v>1.5131894480000001</v>
      </c>
      <c r="H2024" s="1">
        <v>27.2</v>
      </c>
      <c r="I2024" s="1">
        <v>41.7</v>
      </c>
      <c r="J2024" s="1">
        <v>0.61299413400000002</v>
      </c>
      <c r="K2024" s="1">
        <v>0.50856695500000004</v>
      </c>
      <c r="L2024" s="1">
        <v>0.654733224</v>
      </c>
      <c r="M2024" s="3">
        <v>0.61418267199999999</v>
      </c>
      <c r="N2024" s="1" t="s">
        <v>38</v>
      </c>
      <c r="O2024" s="1">
        <v>0.64065708399999999</v>
      </c>
      <c r="P2024" s="1">
        <v>41.9</v>
      </c>
      <c r="Q2024" s="1">
        <v>146.1</v>
      </c>
      <c r="R2024" s="1">
        <v>0.59249428366666679</v>
      </c>
      <c r="S2024" s="1">
        <v>7.8584901583184624E-2</v>
      </c>
      <c r="T2024" t="s">
        <v>2171</v>
      </c>
      <c r="U2024" s="1">
        <v>14759</v>
      </c>
      <c r="V2024">
        <f t="shared" si="124"/>
        <v>0.46322854808276137</v>
      </c>
      <c r="W2024" s="1">
        <f t="shared" si="125"/>
        <v>14.7</v>
      </c>
      <c r="X2024">
        <f t="shared" si="126"/>
        <v>0.87253236400000012</v>
      </c>
      <c r="Y2024">
        <f t="shared" si="127"/>
        <v>104.39999999999999</v>
      </c>
      <c r="Z2024" s="1">
        <v>1</v>
      </c>
      <c r="AA2024">
        <v>99</v>
      </c>
      <c r="AB2024">
        <v>1.01E-2</v>
      </c>
      <c r="AC2024">
        <v>2</v>
      </c>
      <c r="AD2024">
        <v>87</v>
      </c>
      <c r="AE2024">
        <v>2.3E-2</v>
      </c>
      <c r="AF2024" t="s">
        <v>2588</v>
      </c>
      <c r="AG2024" t="s">
        <v>2590</v>
      </c>
    </row>
    <row r="2025" spans="1:33">
      <c r="A2025" s="2" t="s">
        <v>67</v>
      </c>
      <c r="B2025" s="2" t="s">
        <v>39</v>
      </c>
      <c r="C2025" s="1">
        <v>0.53971122199999999</v>
      </c>
      <c r="D2025">
        <v>0.621203065</v>
      </c>
      <c r="E2025">
        <v>0.67806811499999997</v>
      </c>
      <c r="F2025" s="1" t="s">
        <v>68</v>
      </c>
      <c r="G2025" s="1">
        <v>1.5131894480000001</v>
      </c>
      <c r="H2025" s="1">
        <v>27.2</v>
      </c>
      <c r="I2025" s="1">
        <v>41.7</v>
      </c>
      <c r="J2025" s="1">
        <v>0.61299413400000002</v>
      </c>
      <c r="K2025" s="1">
        <v>0.60811616199999996</v>
      </c>
      <c r="L2025" s="1">
        <v>0.721105683</v>
      </c>
      <c r="M2025" s="3">
        <v>0.741016169</v>
      </c>
      <c r="N2025" s="1" t="s">
        <v>40</v>
      </c>
      <c r="O2025" s="1">
        <v>1.0601915180000001</v>
      </c>
      <c r="P2025" s="1">
        <v>34</v>
      </c>
      <c r="Q2025" s="1">
        <v>73.099999999999994</v>
      </c>
      <c r="R2025" s="1">
        <v>0.69007933799999999</v>
      </c>
      <c r="S2025" s="1">
        <v>0.13646327858454976</v>
      </c>
      <c r="T2025" t="s">
        <v>2172</v>
      </c>
      <c r="U2025" s="1">
        <v>1552</v>
      </c>
      <c r="V2025">
        <f t="shared" si="124"/>
        <v>0.35454352410246331</v>
      </c>
      <c r="W2025" s="1">
        <f t="shared" si="125"/>
        <v>6.8000000000000007</v>
      </c>
      <c r="X2025">
        <f t="shared" si="126"/>
        <v>0.45299792999999999</v>
      </c>
      <c r="Y2025">
        <f t="shared" si="127"/>
        <v>31.399999999999991</v>
      </c>
      <c r="Z2025" s="1">
        <v>2</v>
      </c>
      <c r="AA2025">
        <v>98</v>
      </c>
      <c r="AB2025">
        <v>2.0400000000000001E-2</v>
      </c>
      <c r="AC2025">
        <v>3</v>
      </c>
      <c r="AD2025">
        <v>89</v>
      </c>
      <c r="AE2025">
        <v>3.3700000000000001E-2</v>
      </c>
      <c r="AF2025" t="s">
        <v>2588</v>
      </c>
      <c r="AG2025" t="s">
        <v>2589</v>
      </c>
    </row>
    <row r="2026" spans="1:33">
      <c r="A2026" s="2" t="s">
        <v>67</v>
      </c>
      <c r="B2026" s="2" t="s">
        <v>41</v>
      </c>
      <c r="C2026" s="1">
        <v>0.53971122199999999</v>
      </c>
      <c r="D2026">
        <v>0.621203065</v>
      </c>
      <c r="E2026">
        <v>0.67806811499999997</v>
      </c>
      <c r="F2026" s="1" t="s">
        <v>68</v>
      </c>
      <c r="G2026" s="1">
        <v>1.5131894480000001</v>
      </c>
      <c r="H2026" s="1">
        <v>27.2</v>
      </c>
      <c r="I2026" s="1">
        <v>41.7</v>
      </c>
      <c r="J2026" s="1">
        <v>0.61299413400000002</v>
      </c>
      <c r="K2026" s="1">
        <v>0.60402244999999999</v>
      </c>
      <c r="L2026" s="1">
        <v>0.669189213</v>
      </c>
      <c r="M2026" s="3">
        <v>0.69821693799999995</v>
      </c>
      <c r="N2026" s="1" t="s">
        <v>42</v>
      </c>
      <c r="O2026" s="1">
        <v>1.3243902439999999</v>
      </c>
      <c r="P2026" s="1">
        <v>23</v>
      </c>
      <c r="Q2026" s="1">
        <v>41</v>
      </c>
      <c r="R2026" s="1">
        <v>0.65714286700000002</v>
      </c>
      <c r="S2026" s="1">
        <v>8.2731973958266078E-2</v>
      </c>
      <c r="T2026" t="s">
        <v>2173</v>
      </c>
      <c r="U2026" s="1">
        <v>4930</v>
      </c>
      <c r="V2026">
        <f t="shared" si="124"/>
        <v>0.41031632436413668</v>
      </c>
      <c r="W2026" s="1">
        <f t="shared" si="125"/>
        <v>4.1999999999999993</v>
      </c>
      <c r="X2026">
        <f t="shared" si="126"/>
        <v>0.18879920400000016</v>
      </c>
      <c r="Y2026">
        <f t="shared" si="127"/>
        <v>0.70000000000000284</v>
      </c>
      <c r="Z2026" s="1">
        <v>1</v>
      </c>
      <c r="AA2026">
        <v>99</v>
      </c>
      <c r="AB2026">
        <v>1.01E-2</v>
      </c>
      <c r="AC2026">
        <v>1</v>
      </c>
      <c r="AD2026">
        <v>105</v>
      </c>
      <c r="AE2026">
        <v>9.4999999999999998E-3</v>
      </c>
      <c r="AF2026" t="s">
        <v>2588</v>
      </c>
      <c r="AG2026" t="s">
        <v>2591</v>
      </c>
    </row>
    <row r="2027" spans="1:33">
      <c r="A2027" s="2" t="s">
        <v>67</v>
      </c>
      <c r="B2027" s="2" t="s">
        <v>43</v>
      </c>
      <c r="C2027" s="1">
        <v>0.53971122199999999</v>
      </c>
      <c r="D2027">
        <v>0.621203065</v>
      </c>
      <c r="E2027">
        <v>0.67806811499999997</v>
      </c>
      <c r="F2027" s="1" t="s">
        <v>68</v>
      </c>
      <c r="G2027" s="1">
        <v>1.5131894480000001</v>
      </c>
      <c r="H2027" s="1">
        <v>27.2</v>
      </c>
      <c r="I2027" s="1">
        <v>41.7</v>
      </c>
      <c r="J2027" s="1">
        <v>0.61299413400000002</v>
      </c>
      <c r="K2027" s="1">
        <v>0.54180634699999997</v>
      </c>
      <c r="L2027" s="1">
        <v>0.59470779900000004</v>
      </c>
      <c r="M2027" s="3">
        <v>0.69518155599999998</v>
      </c>
      <c r="N2027" s="1" t="s">
        <v>44</v>
      </c>
      <c r="O2027" s="1">
        <v>1.7403685090000001</v>
      </c>
      <c r="P2027" s="1">
        <v>41.2</v>
      </c>
      <c r="Q2027" s="1">
        <v>59.7</v>
      </c>
      <c r="R2027" s="1">
        <v>0.61056523400000007</v>
      </c>
      <c r="S2027" s="1">
        <v>3.1611050789824437E-2</v>
      </c>
      <c r="T2027" t="s">
        <v>2174</v>
      </c>
      <c r="U2027" s="1">
        <v>4357</v>
      </c>
      <c r="V2027">
        <f t="shared" si="124"/>
        <v>0.40435417332619489</v>
      </c>
      <c r="W2027" s="1">
        <f t="shared" si="125"/>
        <v>14.000000000000004</v>
      </c>
      <c r="X2027">
        <f t="shared" si="126"/>
        <v>0.22717906099999996</v>
      </c>
      <c r="Y2027">
        <f t="shared" si="127"/>
        <v>18</v>
      </c>
      <c r="Z2027" s="1">
        <v>1</v>
      </c>
      <c r="AA2027">
        <v>99</v>
      </c>
      <c r="AB2027">
        <v>1.01E-2</v>
      </c>
      <c r="AC2027">
        <v>2</v>
      </c>
      <c r="AD2027">
        <v>126</v>
      </c>
      <c r="AE2027">
        <v>1.5900000000000001E-2</v>
      </c>
      <c r="AF2027" t="s">
        <v>2588</v>
      </c>
      <c r="AG2027" t="s">
        <v>2589</v>
      </c>
    </row>
    <row r="2028" spans="1:33">
      <c r="A2028" s="2" t="s">
        <v>67</v>
      </c>
      <c r="B2028" s="2" t="s">
        <v>45</v>
      </c>
      <c r="C2028" s="1">
        <v>0.53971122199999999</v>
      </c>
      <c r="D2028">
        <v>0.621203065</v>
      </c>
      <c r="E2028">
        <v>0.67806811499999997</v>
      </c>
      <c r="F2028" s="1" t="s">
        <v>68</v>
      </c>
      <c r="G2028" s="1">
        <v>1.5131894480000001</v>
      </c>
      <c r="H2028" s="1">
        <v>27.2</v>
      </c>
      <c r="I2028" s="1">
        <v>41.7</v>
      </c>
      <c r="J2028" s="1">
        <v>0.61299413400000002</v>
      </c>
      <c r="K2028" s="1">
        <v>0.50907007599999998</v>
      </c>
      <c r="L2028" s="1">
        <v>0.68428041399999995</v>
      </c>
      <c r="M2028" s="3">
        <v>0.67454742099999998</v>
      </c>
      <c r="N2028" s="1" t="s">
        <v>46</v>
      </c>
      <c r="O2028" s="1">
        <v>0.98140043799999999</v>
      </c>
      <c r="P2028" s="1">
        <v>38.9</v>
      </c>
      <c r="Q2028" s="1">
        <v>91.4</v>
      </c>
      <c r="R2028" s="1">
        <v>0.62263263699999993</v>
      </c>
      <c r="S2028" s="1">
        <v>7.0214151503117564E-2</v>
      </c>
      <c r="T2028" t="s">
        <v>2175</v>
      </c>
      <c r="U2028" s="1">
        <v>3794</v>
      </c>
      <c r="V2028">
        <f t="shared" si="124"/>
        <v>0.39767748072807152</v>
      </c>
      <c r="W2028" s="1">
        <f t="shared" si="125"/>
        <v>11.7</v>
      </c>
      <c r="X2028">
        <f t="shared" si="126"/>
        <v>0.53178901000000012</v>
      </c>
      <c r="Y2028">
        <f t="shared" si="127"/>
        <v>49.7</v>
      </c>
      <c r="Z2028" s="1">
        <v>1</v>
      </c>
      <c r="AA2028">
        <v>99</v>
      </c>
      <c r="AB2028">
        <v>1.01E-2</v>
      </c>
      <c r="AC2028">
        <v>2</v>
      </c>
      <c r="AD2028">
        <v>106</v>
      </c>
      <c r="AE2028">
        <v>1.89E-2</v>
      </c>
      <c r="AF2028" t="s">
        <v>2588</v>
      </c>
      <c r="AG2028" t="s">
        <v>2589</v>
      </c>
    </row>
    <row r="2029" spans="1:33">
      <c r="A2029" s="2" t="s">
        <v>67</v>
      </c>
      <c r="B2029" s="2" t="s">
        <v>47</v>
      </c>
      <c r="C2029" s="1">
        <v>0.53971122199999999</v>
      </c>
      <c r="D2029">
        <v>0.621203065</v>
      </c>
      <c r="E2029">
        <v>0.67806811499999997</v>
      </c>
      <c r="F2029" s="1" t="s">
        <v>68</v>
      </c>
      <c r="G2029" s="1">
        <v>1.5131894480000001</v>
      </c>
      <c r="H2029" s="1">
        <v>27.2</v>
      </c>
      <c r="I2029" s="1">
        <v>41.7</v>
      </c>
      <c r="J2029" s="1">
        <v>0.61299413400000002</v>
      </c>
      <c r="K2029" s="1">
        <v>0.50612154099999995</v>
      </c>
      <c r="L2029" s="1">
        <v>0.55940039100000005</v>
      </c>
      <c r="M2029" s="3">
        <v>0.66789001699999995</v>
      </c>
      <c r="N2029" s="1" t="s">
        <v>48</v>
      </c>
      <c r="O2029" s="1">
        <v>1.242622951</v>
      </c>
      <c r="P2029" s="1">
        <v>17.8</v>
      </c>
      <c r="Q2029" s="1">
        <v>30.5</v>
      </c>
      <c r="R2029" s="1">
        <v>0.57780398300000002</v>
      </c>
      <c r="S2029" s="1">
        <v>7.1073418815543396E-2</v>
      </c>
      <c r="T2029" t="s">
        <v>2176</v>
      </c>
      <c r="U2029" s="1">
        <v>5323</v>
      </c>
      <c r="V2029">
        <f t="shared" si="124"/>
        <v>0.41401738513030606</v>
      </c>
      <c r="W2029" s="1">
        <f t="shared" si="125"/>
        <v>9.3999999999999986</v>
      </c>
      <c r="X2029">
        <f t="shared" si="126"/>
        <v>0.27056649700000013</v>
      </c>
      <c r="Y2029">
        <f t="shared" si="127"/>
        <v>11.200000000000003</v>
      </c>
      <c r="Z2029" s="1">
        <v>1</v>
      </c>
      <c r="AA2029">
        <v>99</v>
      </c>
      <c r="AB2029">
        <v>1.01E-2</v>
      </c>
      <c r="AC2029">
        <v>2</v>
      </c>
      <c r="AD2029">
        <v>113</v>
      </c>
      <c r="AE2029">
        <v>1.77E-2</v>
      </c>
      <c r="AF2029" t="s">
        <v>2588</v>
      </c>
      <c r="AG2029" t="s">
        <v>2590</v>
      </c>
    </row>
    <row r="2030" spans="1:33">
      <c r="A2030" s="2" t="s">
        <v>67</v>
      </c>
      <c r="B2030" s="2" t="s">
        <v>49</v>
      </c>
      <c r="C2030" s="1">
        <v>0.53971122199999999</v>
      </c>
      <c r="D2030">
        <v>0.621203065</v>
      </c>
      <c r="E2030">
        <v>0.67806811499999997</v>
      </c>
      <c r="F2030" s="1" t="s">
        <v>68</v>
      </c>
      <c r="G2030" s="1">
        <v>1.5131894480000001</v>
      </c>
      <c r="H2030" s="1">
        <v>27.2</v>
      </c>
      <c r="I2030" s="1">
        <v>41.7</v>
      </c>
      <c r="J2030" s="1">
        <v>0.61299413400000002</v>
      </c>
      <c r="K2030" s="1">
        <v>0.50647110500000003</v>
      </c>
      <c r="L2030" s="1">
        <v>0.55713136799999996</v>
      </c>
      <c r="M2030" s="3">
        <v>0.63402682300000002</v>
      </c>
      <c r="N2030" s="1" t="s">
        <v>50</v>
      </c>
      <c r="O2030" s="1">
        <v>1.876675603</v>
      </c>
      <c r="P2030" s="1">
        <v>28.8</v>
      </c>
      <c r="Q2030" s="1">
        <v>37.299999999999997</v>
      </c>
      <c r="R2030" s="1">
        <v>0.56587643200000004</v>
      </c>
      <c r="S2030" s="1">
        <v>8.4556035477443961E-2</v>
      </c>
      <c r="T2030" t="s">
        <v>2177</v>
      </c>
      <c r="U2030" s="1">
        <v>1595</v>
      </c>
      <c r="V2030">
        <f t="shared" si="124"/>
        <v>0.3558622985992444</v>
      </c>
      <c r="W2030" s="1">
        <f t="shared" si="125"/>
        <v>1.6000000000000014</v>
      </c>
      <c r="X2030">
        <f t="shared" si="126"/>
        <v>0.36348615499999992</v>
      </c>
      <c r="Y2030">
        <f t="shared" si="127"/>
        <v>4.4000000000000057</v>
      </c>
      <c r="Z2030" s="1">
        <v>1</v>
      </c>
      <c r="AA2030">
        <v>99</v>
      </c>
      <c r="AB2030">
        <v>1.01E-2</v>
      </c>
      <c r="AC2030">
        <v>2</v>
      </c>
      <c r="AD2030">
        <v>87</v>
      </c>
      <c r="AE2030">
        <v>2.3E-2</v>
      </c>
      <c r="AF2030" t="s">
        <v>2588</v>
      </c>
      <c r="AG2030" t="s">
        <v>2590</v>
      </c>
    </row>
    <row r="2031" spans="1:33">
      <c r="A2031" s="2" t="s">
        <v>67</v>
      </c>
      <c r="B2031" s="2" t="s">
        <v>51</v>
      </c>
      <c r="C2031" s="1">
        <v>0.53971122199999999</v>
      </c>
      <c r="D2031">
        <v>0.621203065</v>
      </c>
      <c r="E2031">
        <v>0.67806811499999997</v>
      </c>
      <c r="F2031" s="1" t="s">
        <v>68</v>
      </c>
      <c r="G2031" s="1">
        <v>1.5131894480000001</v>
      </c>
      <c r="H2031" s="1">
        <v>27.2</v>
      </c>
      <c r="I2031" s="1">
        <v>41.7</v>
      </c>
      <c r="J2031" s="1">
        <v>0.61299413400000002</v>
      </c>
      <c r="K2031" s="1">
        <v>0.60067161999999996</v>
      </c>
      <c r="L2031" s="1">
        <v>0.68094129999999997</v>
      </c>
      <c r="M2031" s="3">
        <v>0.73595931299999995</v>
      </c>
      <c r="N2031" s="1" t="s">
        <v>52</v>
      </c>
      <c r="O2031" s="1">
        <v>1.858638743</v>
      </c>
      <c r="P2031" s="1">
        <v>29.4</v>
      </c>
      <c r="Q2031" s="1">
        <v>38.200000000000003</v>
      </c>
      <c r="R2031" s="1">
        <v>0.67252407766666666</v>
      </c>
      <c r="S2031" s="1">
        <v>0.10313203988629732</v>
      </c>
      <c r="T2031" t="s">
        <v>2178</v>
      </c>
      <c r="U2031" s="1">
        <v>2492</v>
      </c>
      <c r="V2031">
        <f t="shared" si="124"/>
        <v>0.37739422644301462</v>
      </c>
      <c r="W2031" s="1">
        <f t="shared" si="125"/>
        <v>2.1999999999999993</v>
      </c>
      <c r="X2031">
        <f t="shared" si="126"/>
        <v>0.34544929499999988</v>
      </c>
      <c r="Y2031">
        <f t="shared" si="127"/>
        <v>3.5</v>
      </c>
      <c r="Z2031" s="1">
        <v>2</v>
      </c>
      <c r="AA2031">
        <v>98</v>
      </c>
      <c r="AB2031">
        <v>2.0400000000000001E-2</v>
      </c>
      <c r="AC2031">
        <v>3</v>
      </c>
      <c r="AD2031">
        <v>95</v>
      </c>
      <c r="AE2031">
        <v>3.1600000000000003E-2</v>
      </c>
      <c r="AF2031" t="s">
        <v>2588</v>
      </c>
      <c r="AG2031" t="s">
        <v>2591</v>
      </c>
    </row>
    <row r="2032" spans="1:33">
      <c r="A2032" s="2" t="s">
        <v>67</v>
      </c>
      <c r="B2032" s="2" t="s">
        <v>53</v>
      </c>
      <c r="C2032" s="1">
        <v>0.53971122199999999</v>
      </c>
      <c r="D2032">
        <v>0.621203065</v>
      </c>
      <c r="E2032">
        <v>0.67806811499999997</v>
      </c>
      <c r="F2032" s="1" t="s">
        <v>68</v>
      </c>
      <c r="G2032" s="1">
        <v>1.5131894480000001</v>
      </c>
      <c r="H2032" s="1">
        <v>27.2</v>
      </c>
      <c r="I2032" s="1">
        <v>41.7</v>
      </c>
      <c r="J2032" s="1">
        <v>0.61299413400000002</v>
      </c>
      <c r="K2032" s="1">
        <v>0.54695832700000002</v>
      </c>
      <c r="L2032" s="1">
        <v>0.659790137</v>
      </c>
      <c r="M2032" s="3">
        <v>0.70662085500000005</v>
      </c>
      <c r="N2032" s="1" t="s">
        <v>54</v>
      </c>
      <c r="O2032" s="1">
        <v>2.5053995680000001</v>
      </c>
      <c r="P2032" s="1">
        <v>43.9</v>
      </c>
      <c r="Q2032" s="1">
        <v>46.3</v>
      </c>
      <c r="R2032" s="1">
        <v>0.63778977300000006</v>
      </c>
      <c r="S2032" s="1">
        <v>4.8546283255485316E-2</v>
      </c>
      <c r="T2032" t="s">
        <v>2179</v>
      </c>
      <c r="U2032" s="1">
        <v>4821</v>
      </c>
      <c r="V2032">
        <f t="shared" si="124"/>
        <v>0.40923745905366743</v>
      </c>
      <c r="W2032" s="1">
        <f t="shared" si="125"/>
        <v>16.7</v>
      </c>
      <c r="X2032">
        <f t="shared" si="126"/>
        <v>0.99221011999999997</v>
      </c>
      <c r="Y2032">
        <f t="shared" si="127"/>
        <v>4.5999999999999943</v>
      </c>
      <c r="Z2032" s="1">
        <v>1</v>
      </c>
      <c r="AA2032">
        <v>99</v>
      </c>
      <c r="AB2032">
        <v>1.01E-2</v>
      </c>
      <c r="AC2032">
        <v>2</v>
      </c>
      <c r="AD2032">
        <v>96</v>
      </c>
      <c r="AE2032">
        <v>2.0799999999999999E-2</v>
      </c>
      <c r="AF2032" t="s">
        <v>2588</v>
      </c>
      <c r="AG2032" t="s">
        <v>2593</v>
      </c>
    </row>
    <row r="2033" spans="1:33">
      <c r="A2033" s="2" t="s">
        <v>67</v>
      </c>
      <c r="B2033" s="2" t="s">
        <v>55</v>
      </c>
      <c r="C2033" s="1">
        <v>0.53971122199999999</v>
      </c>
      <c r="D2033">
        <v>0.621203065</v>
      </c>
      <c r="E2033">
        <v>0.67806811499999997</v>
      </c>
      <c r="F2033" s="1" t="s">
        <v>68</v>
      </c>
      <c r="G2033" s="1">
        <v>1.5131894480000001</v>
      </c>
      <c r="H2033" s="1">
        <v>27.2</v>
      </c>
      <c r="I2033" s="1">
        <v>41.7</v>
      </c>
      <c r="J2033" s="1">
        <v>0.61299413400000002</v>
      </c>
      <c r="K2033" s="1">
        <v>0.52971861799999997</v>
      </c>
      <c r="L2033" s="1">
        <v>0.62258244500000004</v>
      </c>
      <c r="M2033" s="3">
        <v>0.63939760400000001</v>
      </c>
      <c r="N2033" s="1" t="s">
        <v>56</v>
      </c>
      <c r="O2033" s="1">
        <v>1.0796934869999999</v>
      </c>
      <c r="P2033" s="1">
        <v>55.3</v>
      </c>
      <c r="Q2033" s="1">
        <v>130.5</v>
      </c>
      <c r="R2033" s="1">
        <v>0.59723288899999993</v>
      </c>
      <c r="S2033" s="1">
        <v>3.996452482998309E-2</v>
      </c>
      <c r="T2033" t="s">
        <v>2180</v>
      </c>
      <c r="U2033" s="1">
        <v>530</v>
      </c>
      <c r="V2033">
        <f t="shared" si="124"/>
        <v>0.3026973188445321</v>
      </c>
      <c r="W2033" s="1">
        <f t="shared" si="125"/>
        <v>28.099999999999998</v>
      </c>
      <c r="X2033">
        <f t="shared" si="126"/>
        <v>0.43349596100000021</v>
      </c>
      <c r="Y2033">
        <f t="shared" si="127"/>
        <v>88.8</v>
      </c>
      <c r="Z2033" s="1">
        <v>1</v>
      </c>
      <c r="AA2033">
        <v>99</v>
      </c>
      <c r="AB2033">
        <v>1.01E-2</v>
      </c>
      <c r="AC2033">
        <v>2</v>
      </c>
      <c r="AD2033">
        <v>88</v>
      </c>
      <c r="AE2033">
        <v>2.2700000000000001E-2</v>
      </c>
      <c r="AF2033" t="s">
        <v>2588</v>
      </c>
      <c r="AG2033" t="s">
        <v>2592</v>
      </c>
    </row>
    <row r="2034" spans="1:33">
      <c r="A2034" s="2" t="s">
        <v>67</v>
      </c>
      <c r="B2034" s="2" t="s">
        <v>57</v>
      </c>
      <c r="C2034" s="1">
        <v>0.53971122199999999</v>
      </c>
      <c r="D2034">
        <v>0.621203065</v>
      </c>
      <c r="E2034">
        <v>0.67806811499999997</v>
      </c>
      <c r="F2034" s="1" t="s">
        <v>68</v>
      </c>
      <c r="G2034" s="1">
        <v>1.5131894480000001</v>
      </c>
      <c r="H2034" s="1">
        <v>27.2</v>
      </c>
      <c r="I2034" s="1">
        <v>41.7</v>
      </c>
      <c r="J2034" s="1">
        <v>0.61299413400000002</v>
      </c>
      <c r="K2034" s="1">
        <v>0.528732855</v>
      </c>
      <c r="L2034" s="1">
        <v>0.63387497599999998</v>
      </c>
      <c r="M2034" s="3">
        <v>0.63337360200000004</v>
      </c>
      <c r="N2034" s="1" t="s">
        <v>58</v>
      </c>
      <c r="O2034" s="1">
        <v>1.386610879</v>
      </c>
      <c r="P2034" s="1">
        <v>69</v>
      </c>
      <c r="Q2034" s="1">
        <v>119.5</v>
      </c>
      <c r="R2034" s="1">
        <v>0.59866047766666663</v>
      </c>
      <c r="S2034" s="1">
        <v>4.7735745125490316E-2</v>
      </c>
      <c r="T2034" t="s">
        <v>2181</v>
      </c>
      <c r="U2034" s="1">
        <v>1491</v>
      </c>
      <c r="V2034">
        <f t="shared" si="124"/>
        <v>0.35260862705033275</v>
      </c>
      <c r="W2034" s="1">
        <f t="shared" si="125"/>
        <v>41.8</v>
      </c>
      <c r="X2034">
        <f t="shared" si="126"/>
        <v>0.12657856900000009</v>
      </c>
      <c r="Y2034">
        <f t="shared" si="127"/>
        <v>77.8</v>
      </c>
      <c r="Z2034" s="1">
        <v>1</v>
      </c>
      <c r="AA2034">
        <v>99</v>
      </c>
      <c r="AB2034">
        <v>1.01E-2</v>
      </c>
      <c r="AC2034">
        <v>2</v>
      </c>
      <c r="AD2034">
        <v>94</v>
      </c>
      <c r="AE2034">
        <v>2.1299999999999999E-2</v>
      </c>
      <c r="AF2034" t="s">
        <v>2588</v>
      </c>
      <c r="AG2034" t="s">
        <v>2589</v>
      </c>
    </row>
    <row r="2035" spans="1:33">
      <c r="A2035" s="2" t="s">
        <v>67</v>
      </c>
      <c r="B2035" s="2" t="s">
        <v>59</v>
      </c>
      <c r="C2035" s="1">
        <v>0.53971122199999999</v>
      </c>
      <c r="D2035">
        <v>0.621203065</v>
      </c>
      <c r="E2035">
        <v>0.67806811499999997</v>
      </c>
      <c r="F2035" s="1" t="s">
        <v>68</v>
      </c>
      <c r="G2035" s="1">
        <v>1.5131894480000001</v>
      </c>
      <c r="H2035" s="1">
        <v>27.2</v>
      </c>
      <c r="I2035" s="1">
        <v>41.7</v>
      </c>
      <c r="J2035" s="1">
        <v>0.61299413400000002</v>
      </c>
      <c r="K2035" s="1">
        <v>0.56225432799999997</v>
      </c>
      <c r="L2035" s="1">
        <v>0.68100706499999997</v>
      </c>
      <c r="M2035" s="3">
        <v>0.67505263699999996</v>
      </c>
      <c r="N2035" s="1" t="s">
        <v>60</v>
      </c>
      <c r="O2035" s="1">
        <v>1.1501154730000001</v>
      </c>
      <c r="P2035" s="1">
        <v>60.5</v>
      </c>
      <c r="Q2035" s="1">
        <v>129.9</v>
      </c>
      <c r="R2035" s="1">
        <v>0.63943801</v>
      </c>
      <c r="S2035" s="1">
        <v>6.3982834820721382E-2</v>
      </c>
      <c r="T2035" t="s">
        <v>2182</v>
      </c>
      <c r="U2035" s="1">
        <v>8205</v>
      </c>
      <c r="V2035">
        <f t="shared" si="124"/>
        <v>0.43489762059879022</v>
      </c>
      <c r="W2035" s="1">
        <f t="shared" si="125"/>
        <v>33.299999999999997</v>
      </c>
      <c r="X2035">
        <f t="shared" si="126"/>
        <v>0.36307397500000005</v>
      </c>
      <c r="Y2035">
        <f t="shared" si="127"/>
        <v>88.2</v>
      </c>
      <c r="Z2035" s="1">
        <v>1</v>
      </c>
      <c r="AA2035">
        <v>99</v>
      </c>
      <c r="AB2035">
        <v>1.01E-2</v>
      </c>
      <c r="AC2035">
        <v>2</v>
      </c>
      <c r="AD2035">
        <v>113</v>
      </c>
      <c r="AE2035">
        <v>1.77E-2</v>
      </c>
      <c r="AF2035" t="s">
        <v>2588</v>
      </c>
      <c r="AG2035" t="s">
        <v>2589</v>
      </c>
    </row>
    <row r="2036" spans="1:33">
      <c r="A2036" s="2" t="s">
        <v>67</v>
      </c>
      <c r="B2036" s="2" t="s">
        <v>61</v>
      </c>
      <c r="C2036" s="1">
        <v>0.53971122199999999</v>
      </c>
      <c r="D2036">
        <v>0.621203065</v>
      </c>
      <c r="E2036">
        <v>0.67806811499999997</v>
      </c>
      <c r="F2036" s="1" t="s">
        <v>68</v>
      </c>
      <c r="G2036" s="1">
        <v>1.5131894480000001</v>
      </c>
      <c r="H2036" s="1">
        <v>27.2</v>
      </c>
      <c r="I2036" s="1">
        <v>41.7</v>
      </c>
      <c r="J2036" s="1">
        <v>0.61299413400000002</v>
      </c>
      <c r="K2036" s="1">
        <v>0.62063455999999995</v>
      </c>
      <c r="L2036" s="1">
        <v>0.67798104299999995</v>
      </c>
      <c r="M2036" s="3">
        <v>0.72175371600000005</v>
      </c>
      <c r="N2036" s="1" t="s">
        <v>62</v>
      </c>
      <c r="O2036" s="1">
        <v>7.5471698109999998</v>
      </c>
      <c r="P2036" s="1">
        <v>26.4</v>
      </c>
      <c r="Q2036" s="1">
        <v>10.6</v>
      </c>
      <c r="R2036" s="1">
        <v>0.6734564396666668</v>
      </c>
      <c r="S2036" s="1">
        <v>0.10807755157090634</v>
      </c>
      <c r="T2036" t="s">
        <v>2183</v>
      </c>
      <c r="U2036" s="1">
        <v>3208</v>
      </c>
      <c r="V2036">
        <f t="shared" si="124"/>
        <v>0.38958159551245841</v>
      </c>
      <c r="W2036" s="1">
        <f t="shared" si="125"/>
        <v>0.80000000000000071</v>
      </c>
      <c r="X2036">
        <f t="shared" si="126"/>
        <v>6.0339803629999995</v>
      </c>
      <c r="Y2036">
        <f t="shared" si="127"/>
        <v>31.1</v>
      </c>
      <c r="Z2036" s="1">
        <v>0</v>
      </c>
      <c r="AA2036">
        <v>100</v>
      </c>
      <c r="AB2036">
        <v>0</v>
      </c>
      <c r="AC2036">
        <v>0</v>
      </c>
      <c r="AD2036">
        <v>90</v>
      </c>
      <c r="AE2036">
        <v>0</v>
      </c>
      <c r="AF2036" t="s">
        <v>2588</v>
      </c>
      <c r="AG2036" t="s">
        <v>2588</v>
      </c>
    </row>
    <row r="2037" spans="1:33">
      <c r="A2037" s="2" t="s">
        <v>67</v>
      </c>
      <c r="B2037" s="2" t="s">
        <v>63</v>
      </c>
      <c r="C2037" s="1">
        <v>0.53971122199999999</v>
      </c>
      <c r="D2037">
        <v>0.621203065</v>
      </c>
      <c r="E2037">
        <v>0.67806811499999997</v>
      </c>
      <c r="F2037" s="1" t="s">
        <v>68</v>
      </c>
      <c r="G2037" s="1">
        <v>1.5131894480000001</v>
      </c>
      <c r="H2037" s="1">
        <v>27.2</v>
      </c>
      <c r="I2037" s="1">
        <v>41.7</v>
      </c>
      <c r="J2037" s="1">
        <v>0.61299413400000002</v>
      </c>
      <c r="K2037" s="1">
        <v>0.44311141399999998</v>
      </c>
      <c r="L2037" s="1">
        <v>0.57053969199999999</v>
      </c>
      <c r="M2037" s="3">
        <v>0.59266330599999995</v>
      </c>
      <c r="N2037" s="1" t="s">
        <v>64</v>
      </c>
      <c r="O2037" s="1">
        <v>0.89618138400000003</v>
      </c>
      <c r="P2037" s="1">
        <v>29.7</v>
      </c>
      <c r="Q2037" s="1">
        <v>83.8</v>
      </c>
      <c r="R2037" s="1">
        <v>0.53543813733333334</v>
      </c>
      <c r="S2037" s="1">
        <v>0.13853621068045885</v>
      </c>
      <c r="T2037" t="s">
        <v>2184</v>
      </c>
      <c r="U2037" s="1">
        <v>1040</v>
      </c>
      <c r="V2037">
        <f t="shared" si="124"/>
        <v>0.33522592658875339</v>
      </c>
      <c r="W2037" s="1">
        <f t="shared" si="125"/>
        <v>2.5</v>
      </c>
      <c r="X2037">
        <f t="shared" si="126"/>
        <v>0.61700806400000008</v>
      </c>
      <c r="Y2037">
        <f t="shared" si="127"/>
        <v>42.099999999999994</v>
      </c>
      <c r="Z2037" s="1">
        <v>1</v>
      </c>
      <c r="AA2037">
        <v>99</v>
      </c>
      <c r="AB2037">
        <v>1.01E-2</v>
      </c>
      <c r="AC2037">
        <v>2</v>
      </c>
      <c r="AD2037">
        <v>95</v>
      </c>
      <c r="AE2037">
        <v>2.1100000000000001E-2</v>
      </c>
      <c r="AF2037" t="s">
        <v>2588</v>
      </c>
      <c r="AG2037" t="s">
        <v>2590</v>
      </c>
    </row>
    <row r="2038" spans="1:33">
      <c r="A2038" s="2" t="s">
        <v>67</v>
      </c>
      <c r="B2038" s="2" t="s">
        <v>65</v>
      </c>
      <c r="C2038" s="1">
        <v>0.53971122199999999</v>
      </c>
      <c r="D2038">
        <v>0.621203065</v>
      </c>
      <c r="E2038">
        <v>0.67806811499999997</v>
      </c>
      <c r="F2038" s="1" t="s">
        <v>68</v>
      </c>
      <c r="G2038" s="1">
        <v>1.5131894480000001</v>
      </c>
      <c r="H2038" s="1">
        <v>27.2</v>
      </c>
      <c r="I2038" s="1">
        <v>41.7</v>
      </c>
      <c r="J2038" s="1">
        <v>0.61299413400000002</v>
      </c>
      <c r="K2038" s="1">
        <v>0.67377447499999998</v>
      </c>
      <c r="L2038" s="1">
        <v>0.69144672900000004</v>
      </c>
      <c r="M2038" s="3">
        <v>0.73046409700000003</v>
      </c>
      <c r="N2038" s="1" t="s">
        <v>66</v>
      </c>
      <c r="O2038" s="1">
        <v>1.8507462690000001</v>
      </c>
      <c r="P2038" s="1">
        <v>34.5</v>
      </c>
      <c r="Q2038" s="1">
        <v>46.9</v>
      </c>
      <c r="R2038" s="1">
        <v>0.69856176700000006</v>
      </c>
      <c r="S2038" s="1">
        <v>0.16016387566124654</v>
      </c>
      <c r="T2038" t="s">
        <v>2185</v>
      </c>
      <c r="U2038" s="1">
        <v>2052</v>
      </c>
      <c r="V2038">
        <f t="shared" si="124"/>
        <v>0.36801970627108654</v>
      </c>
      <c r="W2038" s="1">
        <f t="shared" si="125"/>
        <v>7.3000000000000007</v>
      </c>
      <c r="X2038">
        <f t="shared" si="126"/>
        <v>0.33755682099999995</v>
      </c>
      <c r="Y2038">
        <f t="shared" si="127"/>
        <v>5.1999999999999957</v>
      </c>
      <c r="Z2038" s="1">
        <v>0</v>
      </c>
      <c r="AA2038">
        <v>100</v>
      </c>
      <c r="AB2038">
        <v>0</v>
      </c>
      <c r="AC2038">
        <v>0</v>
      </c>
      <c r="AD2038">
        <v>79</v>
      </c>
      <c r="AE2038">
        <v>0</v>
      </c>
      <c r="AF2038" t="s">
        <v>2588</v>
      </c>
      <c r="AG2038" t="s">
        <v>2593</v>
      </c>
    </row>
    <row r="2039" spans="1:33">
      <c r="A2039" s="2" t="s">
        <v>65</v>
      </c>
      <c r="B2039" s="2" t="s">
        <v>10</v>
      </c>
      <c r="C2039" s="1">
        <v>0.67377447499999998</v>
      </c>
      <c r="D2039">
        <v>0.69144672900000004</v>
      </c>
      <c r="E2039">
        <v>0.73046409700000003</v>
      </c>
      <c r="F2039" s="1" t="s">
        <v>66</v>
      </c>
      <c r="G2039" s="1">
        <v>1.8507462690000001</v>
      </c>
      <c r="H2039" s="1">
        <v>34.5</v>
      </c>
      <c r="I2039" s="1">
        <v>46.9</v>
      </c>
      <c r="J2039" s="1">
        <v>0.69856176700000006</v>
      </c>
      <c r="K2039" s="1">
        <v>0.52456325500000001</v>
      </c>
      <c r="L2039" s="1">
        <v>0.61925627999999999</v>
      </c>
      <c r="M2039" s="3">
        <v>0.72111139899999999</v>
      </c>
      <c r="N2039" s="1" t="s">
        <v>12</v>
      </c>
      <c r="O2039" s="1">
        <v>0.61690647499999995</v>
      </c>
      <c r="P2039" s="1">
        <v>30</v>
      </c>
      <c r="Q2039" s="1">
        <v>111.2</v>
      </c>
      <c r="R2039" s="1">
        <v>0.62164364466666666</v>
      </c>
      <c r="S2039" s="1">
        <v>0.16602084827090002</v>
      </c>
      <c r="T2039" t="s">
        <v>2186</v>
      </c>
      <c r="U2039" s="1">
        <v>120</v>
      </c>
      <c r="V2039">
        <f t="shared" si="124"/>
        <v>0.23102013844973607</v>
      </c>
      <c r="W2039" s="1">
        <f t="shared" si="125"/>
        <v>4.5</v>
      </c>
      <c r="X2039">
        <f t="shared" si="126"/>
        <v>1.2338397940000001</v>
      </c>
      <c r="Y2039">
        <f t="shared" si="127"/>
        <v>64.300000000000011</v>
      </c>
      <c r="Z2039" s="1">
        <v>0</v>
      </c>
      <c r="AA2039">
        <v>100</v>
      </c>
      <c r="AB2039">
        <v>0</v>
      </c>
      <c r="AC2039">
        <v>0</v>
      </c>
      <c r="AD2039">
        <v>141</v>
      </c>
      <c r="AE2039">
        <v>0</v>
      </c>
      <c r="AF2039" t="s">
        <v>2593</v>
      </c>
      <c r="AG2039" t="s">
        <v>2588</v>
      </c>
    </row>
    <row r="2040" spans="1:33">
      <c r="A2040" s="2" t="s">
        <v>65</v>
      </c>
      <c r="B2040" s="2" t="s">
        <v>13</v>
      </c>
      <c r="C2040" s="1">
        <v>0.67377447499999998</v>
      </c>
      <c r="D2040">
        <v>0.69144672900000004</v>
      </c>
      <c r="E2040">
        <v>0.73046409700000003</v>
      </c>
      <c r="F2040" s="1" t="s">
        <v>66</v>
      </c>
      <c r="G2040" s="1">
        <v>1.8507462690000001</v>
      </c>
      <c r="H2040" s="1">
        <v>34.5</v>
      </c>
      <c r="I2040" s="1">
        <v>46.9</v>
      </c>
      <c r="J2040" s="1">
        <v>0.69856176700000006</v>
      </c>
      <c r="K2040" s="1">
        <v>0.48695497399999998</v>
      </c>
      <c r="L2040" s="1">
        <v>0.54991327199999995</v>
      </c>
      <c r="M2040" s="3">
        <v>0.67282609299999996</v>
      </c>
      <c r="N2040" s="1" t="s">
        <v>14</v>
      </c>
      <c r="O2040" s="1">
        <v>1.6052009460000001</v>
      </c>
      <c r="P2040" s="1">
        <v>26.6</v>
      </c>
      <c r="Q2040" s="1">
        <v>42.3</v>
      </c>
      <c r="R2040" s="1">
        <v>0.56989811299999993</v>
      </c>
      <c r="S2040" s="1">
        <v>0.24136152325787946</v>
      </c>
      <c r="T2040" t="s">
        <v>2187</v>
      </c>
      <c r="U2040" s="1">
        <v>124</v>
      </c>
      <c r="V2040">
        <f t="shared" si="124"/>
        <v>0.23260240946247057</v>
      </c>
      <c r="W2040" s="1">
        <f t="shared" si="125"/>
        <v>7.8999999999999986</v>
      </c>
      <c r="X2040">
        <f t="shared" si="126"/>
        <v>0.24554532299999998</v>
      </c>
      <c r="Y2040">
        <f t="shared" si="127"/>
        <v>4.6000000000000014</v>
      </c>
      <c r="Z2040" s="1">
        <v>0</v>
      </c>
      <c r="AA2040">
        <v>100</v>
      </c>
      <c r="AB2040">
        <v>0</v>
      </c>
      <c r="AC2040">
        <v>0</v>
      </c>
      <c r="AD2040">
        <v>88</v>
      </c>
      <c r="AE2040">
        <v>0</v>
      </c>
      <c r="AF2040" t="s">
        <v>2593</v>
      </c>
      <c r="AG2040" t="s">
        <v>2590</v>
      </c>
    </row>
    <row r="2041" spans="1:33">
      <c r="A2041" s="2" t="s">
        <v>65</v>
      </c>
      <c r="B2041" s="2" t="s">
        <v>15</v>
      </c>
      <c r="C2041" s="1">
        <v>0.67377447499999998</v>
      </c>
      <c r="D2041">
        <v>0.69144672900000004</v>
      </c>
      <c r="E2041">
        <v>0.73046409700000003</v>
      </c>
      <c r="F2041" s="1" t="s">
        <v>66</v>
      </c>
      <c r="G2041" s="1">
        <v>1.8507462690000001</v>
      </c>
      <c r="H2041" s="1">
        <v>34.5</v>
      </c>
      <c r="I2041" s="1">
        <v>46.9</v>
      </c>
      <c r="J2041" s="1">
        <v>0.69856176700000006</v>
      </c>
      <c r="K2041" s="1">
        <v>0.54560998800000005</v>
      </c>
      <c r="L2041" s="1">
        <v>0.66721428400000005</v>
      </c>
      <c r="M2041" s="3">
        <v>0.72650398400000005</v>
      </c>
      <c r="N2041" s="1" t="s">
        <v>16</v>
      </c>
      <c r="O2041" s="1">
        <v>5.1392405060000002</v>
      </c>
      <c r="P2041" s="1">
        <v>35.9</v>
      </c>
      <c r="Q2041" s="1">
        <v>15.8</v>
      </c>
      <c r="R2041" s="1">
        <v>0.64644275200000012</v>
      </c>
      <c r="S2041" s="1">
        <v>0.13049532410636003</v>
      </c>
      <c r="T2041" t="s">
        <v>2188</v>
      </c>
      <c r="U2041" s="1">
        <v>10950</v>
      </c>
      <c r="V2041">
        <f t="shared" si="124"/>
        <v>0.44882379101957082</v>
      </c>
      <c r="W2041" s="1">
        <f t="shared" si="125"/>
        <v>1.3999999999999986</v>
      </c>
      <c r="X2041">
        <f t="shared" si="126"/>
        <v>3.2884942370000001</v>
      </c>
      <c r="Y2041">
        <f t="shared" si="127"/>
        <v>31.099999999999998</v>
      </c>
      <c r="Z2041" s="1">
        <v>5</v>
      </c>
      <c r="AA2041">
        <v>95</v>
      </c>
      <c r="AB2041">
        <v>5.2600000000000001E-2</v>
      </c>
      <c r="AC2041">
        <v>5</v>
      </c>
      <c r="AD2041">
        <v>79</v>
      </c>
      <c r="AE2041">
        <v>6.3299999999999995E-2</v>
      </c>
      <c r="AF2041" t="s">
        <v>2593</v>
      </c>
      <c r="AG2041" t="s">
        <v>2591</v>
      </c>
    </row>
    <row r="2042" spans="1:33">
      <c r="A2042" s="2" t="s">
        <v>65</v>
      </c>
      <c r="B2042" s="2" t="s">
        <v>17</v>
      </c>
      <c r="C2042" s="1">
        <v>0.67377447499999998</v>
      </c>
      <c r="D2042">
        <v>0.69144672900000004</v>
      </c>
      <c r="E2042">
        <v>0.73046409700000003</v>
      </c>
      <c r="F2042" s="1" t="s">
        <v>66</v>
      </c>
      <c r="G2042" s="1">
        <v>1.8507462690000001</v>
      </c>
      <c r="H2042" s="1">
        <v>34.5</v>
      </c>
      <c r="I2042" s="1">
        <v>46.9</v>
      </c>
      <c r="J2042" s="1">
        <v>0.69856176700000006</v>
      </c>
      <c r="K2042" s="1">
        <v>0.659112378</v>
      </c>
      <c r="L2042" s="1">
        <v>0.68333493499999998</v>
      </c>
      <c r="M2042" s="3">
        <v>0.70345495199999997</v>
      </c>
      <c r="N2042" s="1" t="s">
        <v>18</v>
      </c>
      <c r="O2042" s="1">
        <v>1.9463955639999999</v>
      </c>
      <c r="P2042" s="1">
        <v>46.3</v>
      </c>
      <c r="Q2042" s="1">
        <v>54.1</v>
      </c>
      <c r="R2042" s="1">
        <v>0.68196742166666668</v>
      </c>
      <c r="S2042" s="1">
        <v>3.1784779438701068E-2</v>
      </c>
      <c r="T2042" t="s">
        <v>2189</v>
      </c>
      <c r="U2042" s="1">
        <v>4589</v>
      </c>
      <c r="V2042">
        <f t="shared" si="124"/>
        <v>0.40685756196607326</v>
      </c>
      <c r="W2042" s="1">
        <f t="shared" si="125"/>
        <v>11.799999999999997</v>
      </c>
      <c r="X2042">
        <f t="shared" si="126"/>
        <v>9.5649294999999857E-2</v>
      </c>
      <c r="Y2042">
        <f t="shared" si="127"/>
        <v>7.2000000000000028</v>
      </c>
      <c r="Z2042" s="1">
        <v>5</v>
      </c>
      <c r="AA2042">
        <v>95</v>
      </c>
      <c r="AB2042">
        <v>5.2600000000000001E-2</v>
      </c>
      <c r="AC2042">
        <v>5</v>
      </c>
      <c r="AD2042">
        <v>93</v>
      </c>
      <c r="AE2042">
        <v>5.3800000000000001E-2</v>
      </c>
      <c r="AF2042" t="s">
        <v>2593</v>
      </c>
      <c r="AG2042" t="s">
        <v>2591</v>
      </c>
    </row>
    <row r="2043" spans="1:33">
      <c r="A2043" s="2" t="s">
        <v>65</v>
      </c>
      <c r="B2043" s="2" t="s">
        <v>19</v>
      </c>
      <c r="C2043" s="1">
        <v>0.67377447499999998</v>
      </c>
      <c r="D2043">
        <v>0.69144672900000004</v>
      </c>
      <c r="E2043">
        <v>0.73046409700000003</v>
      </c>
      <c r="F2043" s="1" t="s">
        <v>66</v>
      </c>
      <c r="G2043" s="1">
        <v>1.8507462690000001</v>
      </c>
      <c r="H2043" s="1">
        <v>34.5</v>
      </c>
      <c r="I2043" s="1">
        <v>46.9</v>
      </c>
      <c r="J2043" s="1">
        <v>0.69856176700000006</v>
      </c>
      <c r="K2043" s="1">
        <v>0.49391595300000002</v>
      </c>
      <c r="L2043" s="1">
        <v>0.603599314</v>
      </c>
      <c r="M2043" s="3">
        <v>0.63481471599999995</v>
      </c>
      <c r="N2043" s="1" t="s">
        <v>20</v>
      </c>
      <c r="O2043" s="1">
        <v>1.2140902870000001</v>
      </c>
      <c r="P2043" s="1">
        <v>64.900000000000006</v>
      </c>
      <c r="Q2043" s="1">
        <v>146.19999999999999</v>
      </c>
      <c r="R2043" s="1">
        <v>0.57744332766666662</v>
      </c>
      <c r="S2043" s="1">
        <v>0.22184467616756071</v>
      </c>
      <c r="T2043" t="s">
        <v>2190</v>
      </c>
      <c r="U2043" s="1">
        <v>18783</v>
      </c>
      <c r="V2043">
        <f t="shared" si="124"/>
        <v>0.4748627731671976</v>
      </c>
      <c r="W2043" s="1">
        <f t="shared" si="125"/>
        <v>30.400000000000006</v>
      </c>
      <c r="X2043">
        <f t="shared" si="126"/>
        <v>0.63665598199999995</v>
      </c>
      <c r="Y2043">
        <f t="shared" si="127"/>
        <v>99.299999999999983</v>
      </c>
      <c r="Z2043" s="1">
        <v>3</v>
      </c>
      <c r="AA2043">
        <v>97</v>
      </c>
      <c r="AB2043">
        <v>3.09E-2</v>
      </c>
      <c r="AC2043">
        <v>3</v>
      </c>
      <c r="AD2043">
        <v>75</v>
      </c>
      <c r="AE2043">
        <v>0.04</v>
      </c>
      <c r="AF2043" t="s">
        <v>2593</v>
      </c>
      <c r="AG2043" t="s">
        <v>2593</v>
      </c>
    </row>
    <row r="2044" spans="1:33">
      <c r="A2044" s="2" t="s">
        <v>65</v>
      </c>
      <c r="B2044" s="2" t="s">
        <v>21</v>
      </c>
      <c r="C2044" s="1">
        <v>0.67377447499999998</v>
      </c>
      <c r="D2044">
        <v>0.69144672900000004</v>
      </c>
      <c r="E2044">
        <v>0.73046409700000003</v>
      </c>
      <c r="F2044" s="1" t="s">
        <v>66</v>
      </c>
      <c r="G2044" s="1">
        <v>1.8507462690000001</v>
      </c>
      <c r="H2044" s="1">
        <v>34.5</v>
      </c>
      <c r="I2044" s="1">
        <v>46.9</v>
      </c>
      <c r="J2044" s="1">
        <v>0.69856176700000006</v>
      </c>
      <c r="K2044" s="1">
        <v>0.53276376800000003</v>
      </c>
      <c r="L2044" s="1">
        <v>0.65428149899999999</v>
      </c>
      <c r="M2044" s="3">
        <v>0.70160154799999996</v>
      </c>
      <c r="N2044" s="1" t="s">
        <v>22</v>
      </c>
      <c r="O2044" s="1">
        <v>1.2440604749999999</v>
      </c>
      <c r="P2044" s="1">
        <v>24.6</v>
      </c>
      <c r="Q2044" s="1">
        <v>46.3</v>
      </c>
      <c r="R2044" s="1">
        <v>0.62954893833333336</v>
      </c>
      <c r="S2044" s="1">
        <v>0.14865503874531177</v>
      </c>
      <c r="T2044" t="s">
        <v>2191</v>
      </c>
      <c r="U2044" s="1">
        <v>529</v>
      </c>
      <c r="V2044">
        <f t="shared" si="124"/>
        <v>0.3026061857816873</v>
      </c>
      <c r="W2044" s="1">
        <f t="shared" si="125"/>
        <v>9.8999999999999986</v>
      </c>
      <c r="X2044">
        <f t="shared" si="126"/>
        <v>0.60668579400000011</v>
      </c>
      <c r="Y2044">
        <f t="shared" si="127"/>
        <v>0.60000000000000142</v>
      </c>
      <c r="Z2044" s="1">
        <v>0</v>
      </c>
      <c r="AA2044">
        <v>100</v>
      </c>
      <c r="AB2044">
        <v>0</v>
      </c>
      <c r="AC2044">
        <v>0</v>
      </c>
      <c r="AD2044">
        <v>84</v>
      </c>
      <c r="AE2044">
        <v>0</v>
      </c>
      <c r="AF2044" t="s">
        <v>2593</v>
      </c>
      <c r="AG2044" t="s">
        <v>2589</v>
      </c>
    </row>
    <row r="2045" spans="1:33">
      <c r="A2045" s="2" t="s">
        <v>65</v>
      </c>
      <c r="B2045" s="2" t="s">
        <v>23</v>
      </c>
      <c r="C2045" s="1">
        <v>0.67377447499999998</v>
      </c>
      <c r="D2045">
        <v>0.69144672900000004</v>
      </c>
      <c r="E2045">
        <v>0.73046409700000003</v>
      </c>
      <c r="F2045" s="1" t="s">
        <v>66</v>
      </c>
      <c r="G2045" s="1">
        <v>1.8507462690000001</v>
      </c>
      <c r="H2045" s="1">
        <v>34.5</v>
      </c>
      <c r="I2045" s="1">
        <v>46.9</v>
      </c>
      <c r="J2045" s="1">
        <v>0.69856176700000006</v>
      </c>
      <c r="K2045" s="1">
        <v>0.49415677200000002</v>
      </c>
      <c r="L2045" s="1">
        <v>0.62090818999999997</v>
      </c>
      <c r="M2045" s="3">
        <v>0.63381026900000004</v>
      </c>
      <c r="N2045" s="1" t="s">
        <v>24</v>
      </c>
      <c r="O2045" s="1">
        <v>1.141304348</v>
      </c>
      <c r="P2045" s="1">
        <v>44.4</v>
      </c>
      <c r="Q2045" s="1">
        <v>101.2</v>
      </c>
      <c r="R2045" s="1">
        <v>0.58295841033333329</v>
      </c>
      <c r="S2045" s="1">
        <v>0.21582438968361364</v>
      </c>
      <c r="T2045" t="s">
        <v>2192</v>
      </c>
      <c r="U2045" s="1">
        <v>191</v>
      </c>
      <c r="V2045">
        <f t="shared" si="124"/>
        <v>0.25344815191641418</v>
      </c>
      <c r="W2045" s="1">
        <f t="shared" si="125"/>
        <v>9.8999999999999986</v>
      </c>
      <c r="X2045">
        <f t="shared" si="126"/>
        <v>0.70944192100000003</v>
      </c>
      <c r="Y2045">
        <f t="shared" si="127"/>
        <v>54.300000000000004</v>
      </c>
      <c r="Z2045" s="1">
        <v>0</v>
      </c>
      <c r="AA2045">
        <v>100</v>
      </c>
      <c r="AB2045">
        <v>0</v>
      </c>
      <c r="AC2045">
        <v>0</v>
      </c>
      <c r="AD2045">
        <v>80</v>
      </c>
      <c r="AE2045">
        <v>0</v>
      </c>
      <c r="AF2045" t="s">
        <v>2593</v>
      </c>
      <c r="AG2045" t="s">
        <v>2590</v>
      </c>
    </row>
    <row r="2046" spans="1:33">
      <c r="A2046" s="2" t="s">
        <v>65</v>
      </c>
      <c r="B2046" s="2" t="s">
        <v>25</v>
      </c>
      <c r="C2046" s="1">
        <v>0.67377447499999998</v>
      </c>
      <c r="D2046">
        <v>0.69144672900000004</v>
      </c>
      <c r="E2046">
        <v>0.73046409700000003</v>
      </c>
      <c r="F2046" s="1" t="s">
        <v>66</v>
      </c>
      <c r="G2046" s="1">
        <v>1.8507462690000001</v>
      </c>
      <c r="H2046" s="1">
        <v>34.5</v>
      </c>
      <c r="I2046" s="1">
        <v>46.9</v>
      </c>
      <c r="J2046" s="1">
        <v>0.69856176700000006</v>
      </c>
      <c r="K2046" s="1">
        <v>0.53959274199999996</v>
      </c>
      <c r="L2046" s="1">
        <v>0.64971567399999997</v>
      </c>
      <c r="M2046" s="3">
        <v>0.65028459999999999</v>
      </c>
      <c r="N2046" s="1" t="s">
        <v>26</v>
      </c>
      <c r="O2046" s="1">
        <v>1.623046875</v>
      </c>
      <c r="P2046" s="1">
        <v>34.700000000000003</v>
      </c>
      <c r="Q2046" s="1">
        <v>51.2</v>
      </c>
      <c r="R2046" s="1">
        <v>0.61319767199999997</v>
      </c>
      <c r="S2046" s="1">
        <v>0.1617868046580726</v>
      </c>
      <c r="T2046" t="s">
        <v>2193</v>
      </c>
      <c r="U2046" s="1">
        <v>180</v>
      </c>
      <c r="V2046">
        <f t="shared" si="124"/>
        <v>0.25058583390036732</v>
      </c>
      <c r="W2046" s="1">
        <f t="shared" si="125"/>
        <v>0.20000000000000284</v>
      </c>
      <c r="X2046">
        <f t="shared" si="126"/>
        <v>0.22769939400000005</v>
      </c>
      <c r="Y2046">
        <f t="shared" si="127"/>
        <v>4.3000000000000043</v>
      </c>
      <c r="Z2046" s="1">
        <v>0</v>
      </c>
      <c r="AA2046">
        <v>100</v>
      </c>
      <c r="AB2046">
        <v>0</v>
      </c>
      <c r="AC2046">
        <v>0</v>
      </c>
      <c r="AD2046">
        <v>82</v>
      </c>
      <c r="AE2046">
        <v>0</v>
      </c>
      <c r="AF2046" t="s">
        <v>2593</v>
      </c>
      <c r="AG2046" t="s">
        <v>2594</v>
      </c>
    </row>
    <row r="2047" spans="1:33">
      <c r="A2047" s="2" t="s">
        <v>65</v>
      </c>
      <c r="B2047" s="2" t="s">
        <v>27</v>
      </c>
      <c r="C2047" s="1">
        <v>0.67377447499999998</v>
      </c>
      <c r="D2047">
        <v>0.69144672900000004</v>
      </c>
      <c r="E2047">
        <v>0.73046409700000003</v>
      </c>
      <c r="F2047" s="1" t="s">
        <v>66</v>
      </c>
      <c r="G2047" s="1">
        <v>1.8507462690000001</v>
      </c>
      <c r="H2047" s="1">
        <v>34.5</v>
      </c>
      <c r="I2047" s="1">
        <v>46.9</v>
      </c>
      <c r="J2047" s="1">
        <v>0.69856176700000006</v>
      </c>
      <c r="K2047" s="1">
        <v>0.518608662</v>
      </c>
      <c r="L2047" s="1">
        <v>0.64320369700000002</v>
      </c>
      <c r="M2047" s="3">
        <v>0.62228994199999998</v>
      </c>
      <c r="N2047" s="1" t="s">
        <v>28</v>
      </c>
      <c r="O2047" s="1">
        <v>1.8717391299999999</v>
      </c>
      <c r="P2047" s="1">
        <v>33.700000000000003</v>
      </c>
      <c r="Q2047" s="1">
        <v>46</v>
      </c>
      <c r="R2047" s="1">
        <v>0.59470076699999996</v>
      </c>
      <c r="S2047" s="1">
        <v>0.19520621780688244</v>
      </c>
      <c r="T2047" t="s">
        <v>2194</v>
      </c>
      <c r="U2047" s="1">
        <v>106</v>
      </c>
      <c r="V2047">
        <f t="shared" si="124"/>
        <v>0.22503398502941893</v>
      </c>
      <c r="W2047" s="1">
        <f t="shared" si="125"/>
        <v>0.79999999999999716</v>
      </c>
      <c r="X2047">
        <f t="shared" si="126"/>
        <v>2.0992860999999863E-2</v>
      </c>
      <c r="Y2047">
        <f t="shared" si="127"/>
        <v>0.89999999999999858</v>
      </c>
      <c r="Z2047" s="1">
        <v>0</v>
      </c>
      <c r="AA2047">
        <v>100</v>
      </c>
      <c r="AB2047">
        <v>0</v>
      </c>
      <c r="AC2047">
        <v>0</v>
      </c>
      <c r="AD2047">
        <v>89</v>
      </c>
      <c r="AE2047">
        <v>0</v>
      </c>
      <c r="AF2047" t="s">
        <v>2593</v>
      </c>
      <c r="AG2047" t="s">
        <v>2590</v>
      </c>
    </row>
    <row r="2048" spans="1:33">
      <c r="A2048" s="2" t="s">
        <v>65</v>
      </c>
      <c r="B2048" s="2" t="s">
        <v>29</v>
      </c>
      <c r="C2048" s="1">
        <v>0.67377447499999998</v>
      </c>
      <c r="D2048">
        <v>0.69144672900000004</v>
      </c>
      <c r="E2048">
        <v>0.73046409700000003</v>
      </c>
      <c r="F2048" s="1" t="s">
        <v>66</v>
      </c>
      <c r="G2048" s="1">
        <v>1.8507462690000001</v>
      </c>
      <c r="H2048" s="1">
        <v>34.5</v>
      </c>
      <c r="I2048" s="1">
        <v>46.9</v>
      </c>
      <c r="J2048" s="1">
        <v>0.69856176700000006</v>
      </c>
      <c r="K2048" s="1">
        <v>0.59351545100000003</v>
      </c>
      <c r="L2048" s="1">
        <v>0.68136602400000001</v>
      </c>
      <c r="M2048" s="3">
        <v>0.73518087600000004</v>
      </c>
      <c r="N2048" s="1" t="s">
        <v>30</v>
      </c>
      <c r="O2048" s="1">
        <v>2.849112426</v>
      </c>
      <c r="P2048" s="1">
        <v>37.9</v>
      </c>
      <c r="Q2048" s="1">
        <v>33.799999999999997</v>
      </c>
      <c r="R2048" s="1">
        <v>0.67002078366666673</v>
      </c>
      <c r="S2048" s="1">
        <v>8.102702975467159E-2</v>
      </c>
      <c r="T2048" t="s">
        <v>2195</v>
      </c>
      <c r="U2048" s="1">
        <v>14392</v>
      </c>
      <c r="V2048">
        <f t="shared" si="124"/>
        <v>0.46201346114861053</v>
      </c>
      <c r="W2048" s="1">
        <f t="shared" si="125"/>
        <v>3.3999999999999986</v>
      </c>
      <c r="X2048">
        <f t="shared" si="126"/>
        <v>0.99836615699999998</v>
      </c>
      <c r="Y2048">
        <f t="shared" si="127"/>
        <v>13.100000000000001</v>
      </c>
      <c r="Z2048" s="1">
        <v>23</v>
      </c>
      <c r="AA2048">
        <v>77</v>
      </c>
      <c r="AB2048">
        <v>0.29870000000000002</v>
      </c>
      <c r="AC2048">
        <v>20</v>
      </c>
      <c r="AD2048">
        <v>58</v>
      </c>
      <c r="AE2048">
        <v>0.3448</v>
      </c>
      <c r="AF2048" t="s">
        <v>2593</v>
      </c>
      <c r="AG2048" t="s">
        <v>2593</v>
      </c>
    </row>
    <row r="2049" spans="1:33">
      <c r="A2049" s="2" t="s">
        <v>65</v>
      </c>
      <c r="B2049" s="2" t="s">
        <v>31</v>
      </c>
      <c r="C2049" s="1">
        <v>0.67377447499999998</v>
      </c>
      <c r="D2049">
        <v>0.69144672900000004</v>
      </c>
      <c r="E2049">
        <v>0.73046409700000003</v>
      </c>
      <c r="F2049" s="1" t="s">
        <v>66</v>
      </c>
      <c r="G2049" s="1">
        <v>1.8507462690000001</v>
      </c>
      <c r="H2049" s="1">
        <v>34.5</v>
      </c>
      <c r="I2049" s="1">
        <v>46.9</v>
      </c>
      <c r="J2049" s="1">
        <v>0.69856176700000006</v>
      </c>
      <c r="K2049" s="1">
        <v>0.47727961800000002</v>
      </c>
      <c r="L2049" s="1">
        <v>0.66941086400000005</v>
      </c>
      <c r="M2049" s="3">
        <v>0.69294815300000001</v>
      </c>
      <c r="N2049" s="1" t="s">
        <v>32</v>
      </c>
      <c r="O2049" s="1">
        <v>1.341891892</v>
      </c>
      <c r="P2049" s="1">
        <v>42.1</v>
      </c>
      <c r="Q2049" s="1">
        <v>74</v>
      </c>
      <c r="R2049" s="1">
        <v>0.61321287833333338</v>
      </c>
      <c r="S2049" s="1">
        <v>0.20125420300694294</v>
      </c>
      <c r="T2049" t="s">
        <v>2196</v>
      </c>
      <c r="U2049" s="1">
        <v>351</v>
      </c>
      <c r="V2049">
        <f t="shared" si="124"/>
        <v>0.28281190182953597</v>
      </c>
      <c r="W2049" s="1">
        <f t="shared" si="125"/>
        <v>7.6000000000000014</v>
      </c>
      <c r="X2049">
        <f t="shared" si="126"/>
        <v>0.50885437700000002</v>
      </c>
      <c r="Y2049">
        <f t="shared" si="127"/>
        <v>27.1</v>
      </c>
      <c r="Z2049" s="1">
        <v>0</v>
      </c>
      <c r="AA2049">
        <v>100</v>
      </c>
      <c r="AB2049">
        <v>0</v>
      </c>
      <c r="AC2049">
        <v>0</v>
      </c>
      <c r="AD2049">
        <v>86</v>
      </c>
      <c r="AE2049">
        <v>0</v>
      </c>
      <c r="AF2049" t="s">
        <v>2593</v>
      </c>
      <c r="AG2049" t="s">
        <v>2589</v>
      </c>
    </row>
    <row r="2050" spans="1:33">
      <c r="A2050" s="2" t="s">
        <v>65</v>
      </c>
      <c r="B2050" s="2" t="s">
        <v>33</v>
      </c>
      <c r="C2050" s="1">
        <v>0.67377447499999998</v>
      </c>
      <c r="D2050">
        <v>0.69144672900000004</v>
      </c>
      <c r="E2050">
        <v>0.73046409700000003</v>
      </c>
      <c r="F2050" s="1" t="s">
        <v>66</v>
      </c>
      <c r="G2050" s="1">
        <v>1.8507462690000001</v>
      </c>
      <c r="H2050" s="1">
        <v>34.5</v>
      </c>
      <c r="I2050" s="1">
        <v>46.9</v>
      </c>
      <c r="J2050" s="1">
        <v>0.69856176700000006</v>
      </c>
      <c r="K2050" s="1">
        <v>0.51347926600000005</v>
      </c>
      <c r="L2050" s="1">
        <v>0.63144379399999995</v>
      </c>
      <c r="M2050" s="3">
        <v>0.64189093500000005</v>
      </c>
      <c r="N2050" s="1" t="s">
        <v>34</v>
      </c>
      <c r="O2050" s="1">
        <v>2.3123667380000001</v>
      </c>
      <c r="P2050" s="1">
        <v>79.099999999999994</v>
      </c>
      <c r="Q2050" s="1">
        <v>93.8</v>
      </c>
      <c r="R2050" s="1">
        <v>0.59560466500000009</v>
      </c>
      <c r="S2050" s="1">
        <v>0.19271769836640884</v>
      </c>
      <c r="T2050" t="s">
        <v>2197</v>
      </c>
      <c r="U2050" s="1">
        <v>341</v>
      </c>
      <c r="V2050">
        <f t="shared" ref="V2050:V2113" si="128">LOG10(U2050) / 9</f>
        <v>0.28141715322138861</v>
      </c>
      <c r="W2050" s="1">
        <f t="shared" ref="W2050:W2113" si="129">ABS(H2050-P2050)</f>
        <v>44.599999999999994</v>
      </c>
      <c r="X2050">
        <f t="shared" ref="X2050:X2113" si="130">ABS(G2050-O2050)</f>
        <v>0.46162046900000009</v>
      </c>
      <c r="Y2050">
        <f t="shared" ref="Y2050:Y2113" si="131">ABS(I2050-Q2050)</f>
        <v>46.9</v>
      </c>
      <c r="Z2050" s="1">
        <v>0</v>
      </c>
      <c r="AA2050">
        <v>100</v>
      </c>
      <c r="AB2050">
        <v>0</v>
      </c>
      <c r="AC2050">
        <v>0</v>
      </c>
      <c r="AD2050">
        <v>80</v>
      </c>
      <c r="AE2050">
        <v>0</v>
      </c>
      <c r="AF2050" t="s">
        <v>2593</v>
      </c>
      <c r="AG2050" t="s">
        <v>2590</v>
      </c>
    </row>
    <row r="2051" spans="1:33">
      <c r="A2051" s="2" t="s">
        <v>65</v>
      </c>
      <c r="B2051" s="2" t="s">
        <v>35</v>
      </c>
      <c r="C2051" s="1">
        <v>0.67377447499999998</v>
      </c>
      <c r="D2051">
        <v>0.69144672900000004</v>
      </c>
      <c r="E2051">
        <v>0.73046409700000003</v>
      </c>
      <c r="F2051" s="1" t="s">
        <v>66</v>
      </c>
      <c r="G2051" s="1">
        <v>1.8507462690000001</v>
      </c>
      <c r="H2051" s="1">
        <v>34.5</v>
      </c>
      <c r="I2051" s="1">
        <v>46.9</v>
      </c>
      <c r="J2051" s="1">
        <v>0.69856176700000006</v>
      </c>
      <c r="K2051" s="1">
        <v>0.52542897600000005</v>
      </c>
      <c r="L2051" s="1">
        <v>0.60774736299999998</v>
      </c>
      <c r="M2051" s="3">
        <v>0.62585751700000003</v>
      </c>
      <c r="N2051" s="1" t="s">
        <v>36</v>
      </c>
      <c r="O2051" s="1">
        <v>0.98848810399999998</v>
      </c>
      <c r="P2051" s="1">
        <v>54.2</v>
      </c>
      <c r="Q2051" s="1">
        <v>130.30000000000001</v>
      </c>
      <c r="R2051" s="1">
        <v>0.58634461866666665</v>
      </c>
      <c r="S2051" s="1">
        <v>0.1998862364487794</v>
      </c>
      <c r="T2051" t="s">
        <v>2198</v>
      </c>
      <c r="U2051" s="1">
        <v>564</v>
      </c>
      <c r="V2051">
        <f t="shared" si="128"/>
        <v>0.30569767822037136</v>
      </c>
      <c r="W2051" s="1">
        <f t="shared" si="129"/>
        <v>19.700000000000003</v>
      </c>
      <c r="X2051">
        <f t="shared" si="130"/>
        <v>0.86225816500000008</v>
      </c>
      <c r="Y2051">
        <f t="shared" si="131"/>
        <v>83.4</v>
      </c>
      <c r="Z2051" s="1">
        <v>0</v>
      </c>
      <c r="AA2051">
        <v>100</v>
      </c>
      <c r="AB2051">
        <v>0</v>
      </c>
      <c r="AC2051">
        <v>0</v>
      </c>
      <c r="AD2051">
        <v>79</v>
      </c>
      <c r="AE2051">
        <v>0</v>
      </c>
      <c r="AF2051" t="s">
        <v>2593</v>
      </c>
      <c r="AG2051" t="s">
        <v>2589</v>
      </c>
    </row>
    <row r="2052" spans="1:33">
      <c r="A2052" s="2" t="s">
        <v>65</v>
      </c>
      <c r="B2052" s="2" t="s">
        <v>37</v>
      </c>
      <c r="C2052" s="1">
        <v>0.67377447499999998</v>
      </c>
      <c r="D2052">
        <v>0.69144672900000004</v>
      </c>
      <c r="E2052">
        <v>0.73046409700000003</v>
      </c>
      <c r="F2052" s="1" t="s">
        <v>66</v>
      </c>
      <c r="G2052" s="1">
        <v>1.8507462690000001</v>
      </c>
      <c r="H2052" s="1">
        <v>34.5</v>
      </c>
      <c r="I2052" s="1">
        <v>46.9</v>
      </c>
      <c r="J2052" s="1">
        <v>0.69856176700000006</v>
      </c>
      <c r="K2052" s="1">
        <v>0.50856695500000004</v>
      </c>
      <c r="L2052" s="1">
        <v>0.654733224</v>
      </c>
      <c r="M2052" s="3">
        <v>0.61418267199999999</v>
      </c>
      <c r="N2052" s="1" t="s">
        <v>38</v>
      </c>
      <c r="O2052" s="1">
        <v>0.64065708399999999</v>
      </c>
      <c r="P2052" s="1">
        <v>41.9</v>
      </c>
      <c r="Q2052" s="1">
        <v>146.1</v>
      </c>
      <c r="R2052" s="1">
        <v>0.59249428366666679</v>
      </c>
      <c r="S2052" s="1">
        <v>0.20533576384538091</v>
      </c>
      <c r="T2052" t="s">
        <v>2199</v>
      </c>
      <c r="U2052" s="1">
        <v>333</v>
      </c>
      <c r="V2052">
        <f t="shared" si="128"/>
        <v>0.28027158150070219</v>
      </c>
      <c r="W2052" s="1">
        <f t="shared" si="129"/>
        <v>7.3999999999999986</v>
      </c>
      <c r="X2052">
        <f t="shared" si="130"/>
        <v>1.2100891850000002</v>
      </c>
      <c r="Y2052">
        <f t="shared" si="131"/>
        <v>99.199999999999989</v>
      </c>
      <c r="Z2052" s="1">
        <v>0</v>
      </c>
      <c r="AA2052">
        <v>100</v>
      </c>
      <c r="AB2052">
        <v>0</v>
      </c>
      <c r="AC2052">
        <v>0</v>
      </c>
      <c r="AD2052">
        <v>78</v>
      </c>
      <c r="AE2052">
        <v>0</v>
      </c>
      <c r="AF2052" t="s">
        <v>2593</v>
      </c>
      <c r="AG2052" t="s">
        <v>2590</v>
      </c>
    </row>
    <row r="2053" spans="1:33">
      <c r="A2053" s="2" t="s">
        <v>65</v>
      </c>
      <c r="B2053" s="2" t="s">
        <v>39</v>
      </c>
      <c r="C2053" s="1">
        <v>0.67377447499999998</v>
      </c>
      <c r="D2053">
        <v>0.69144672900000004</v>
      </c>
      <c r="E2053">
        <v>0.73046409700000003</v>
      </c>
      <c r="F2053" s="1" t="s">
        <v>66</v>
      </c>
      <c r="G2053" s="1">
        <v>1.8507462690000001</v>
      </c>
      <c r="H2053" s="1">
        <v>34.5</v>
      </c>
      <c r="I2053" s="1">
        <v>46.9</v>
      </c>
      <c r="J2053" s="1">
        <v>0.69856176700000006</v>
      </c>
      <c r="K2053" s="1">
        <v>0.60811616199999996</v>
      </c>
      <c r="L2053" s="1">
        <v>0.721105683</v>
      </c>
      <c r="M2053" s="3">
        <v>0.741016169</v>
      </c>
      <c r="N2053" s="1" t="s">
        <v>40</v>
      </c>
      <c r="O2053" s="1">
        <v>1.0601915180000001</v>
      </c>
      <c r="P2053" s="1">
        <v>34</v>
      </c>
      <c r="Q2053" s="1">
        <v>73.099999999999994</v>
      </c>
      <c r="R2053" s="1">
        <v>0.69007933799999999</v>
      </c>
      <c r="S2053" s="1">
        <v>7.2814928701972023E-2</v>
      </c>
      <c r="T2053" t="s">
        <v>2200</v>
      </c>
      <c r="U2053" s="1">
        <v>336</v>
      </c>
      <c r="V2053">
        <f t="shared" si="128"/>
        <v>0.28070436415442712</v>
      </c>
      <c r="W2053" s="1">
        <f t="shared" si="129"/>
        <v>0.5</v>
      </c>
      <c r="X2053">
        <f t="shared" si="130"/>
        <v>0.79055475099999994</v>
      </c>
      <c r="Y2053">
        <f t="shared" si="131"/>
        <v>26.199999999999996</v>
      </c>
      <c r="Z2053" s="1">
        <v>0</v>
      </c>
      <c r="AA2053">
        <v>100</v>
      </c>
      <c r="AB2053">
        <v>0</v>
      </c>
      <c r="AC2053">
        <v>0</v>
      </c>
      <c r="AD2053">
        <v>81</v>
      </c>
      <c r="AE2053">
        <v>0</v>
      </c>
      <c r="AF2053" t="s">
        <v>2593</v>
      </c>
      <c r="AG2053" t="s">
        <v>2589</v>
      </c>
    </row>
    <row r="2054" spans="1:33">
      <c r="A2054" s="2" t="s">
        <v>65</v>
      </c>
      <c r="B2054" s="2" t="s">
        <v>41</v>
      </c>
      <c r="C2054" s="1">
        <v>0.67377447499999998</v>
      </c>
      <c r="D2054">
        <v>0.69144672900000004</v>
      </c>
      <c r="E2054">
        <v>0.73046409700000003</v>
      </c>
      <c r="F2054" s="1" t="s">
        <v>66</v>
      </c>
      <c r="G2054" s="1">
        <v>1.8507462690000001</v>
      </c>
      <c r="H2054" s="1">
        <v>34.5</v>
      </c>
      <c r="I2054" s="1">
        <v>46.9</v>
      </c>
      <c r="J2054" s="1">
        <v>0.69856176700000006</v>
      </c>
      <c r="K2054" s="1">
        <v>0.60402244999999999</v>
      </c>
      <c r="L2054" s="1">
        <v>0.669189213</v>
      </c>
      <c r="M2054" s="3">
        <v>0.69821693799999995</v>
      </c>
      <c r="N2054" s="1" t="s">
        <v>42</v>
      </c>
      <c r="O2054" s="1">
        <v>1.3243902439999999</v>
      </c>
      <c r="P2054" s="1">
        <v>23</v>
      </c>
      <c r="Q2054" s="1">
        <v>41</v>
      </c>
      <c r="R2054" s="1">
        <v>0.65714286700000002</v>
      </c>
      <c r="S2054" s="1">
        <v>8.000388286615949E-2</v>
      </c>
      <c r="T2054" t="s">
        <v>2201</v>
      </c>
      <c r="U2054" s="1">
        <v>7962</v>
      </c>
      <c r="V2054">
        <f t="shared" si="128"/>
        <v>0.43344690813867548</v>
      </c>
      <c r="W2054" s="1">
        <f t="shared" si="129"/>
        <v>11.5</v>
      </c>
      <c r="X2054">
        <f t="shared" si="130"/>
        <v>0.52635602500000012</v>
      </c>
      <c r="Y2054">
        <f t="shared" si="131"/>
        <v>5.8999999999999986</v>
      </c>
      <c r="Z2054" s="1">
        <v>8</v>
      </c>
      <c r="AA2054">
        <v>92</v>
      </c>
      <c r="AB2054">
        <v>8.6999999999999994E-2</v>
      </c>
      <c r="AC2054">
        <v>11</v>
      </c>
      <c r="AD2054">
        <v>84</v>
      </c>
      <c r="AE2054">
        <v>0.13100000000000001</v>
      </c>
      <c r="AF2054" t="s">
        <v>2593</v>
      </c>
      <c r="AG2054" t="s">
        <v>2591</v>
      </c>
    </row>
    <row r="2055" spans="1:33">
      <c r="A2055" s="2" t="s">
        <v>65</v>
      </c>
      <c r="B2055" s="2" t="s">
        <v>43</v>
      </c>
      <c r="C2055" s="1">
        <v>0.67377447499999998</v>
      </c>
      <c r="D2055">
        <v>0.69144672900000004</v>
      </c>
      <c r="E2055">
        <v>0.73046409700000003</v>
      </c>
      <c r="F2055" s="1" t="s">
        <v>66</v>
      </c>
      <c r="G2055" s="1">
        <v>1.8507462690000001</v>
      </c>
      <c r="H2055" s="1">
        <v>34.5</v>
      </c>
      <c r="I2055" s="1">
        <v>46.9</v>
      </c>
      <c r="J2055" s="1">
        <v>0.69856176700000006</v>
      </c>
      <c r="K2055" s="1">
        <v>0.54180634699999997</v>
      </c>
      <c r="L2055" s="1">
        <v>0.59470779900000004</v>
      </c>
      <c r="M2055" s="3">
        <v>0.69518155599999998</v>
      </c>
      <c r="N2055" s="1" t="s">
        <v>44</v>
      </c>
      <c r="O2055" s="1">
        <v>1.7403685090000001</v>
      </c>
      <c r="P2055" s="1">
        <v>41.2</v>
      </c>
      <c r="Q2055" s="1">
        <v>59.7</v>
      </c>
      <c r="R2055" s="1">
        <v>0.61056523400000007</v>
      </c>
      <c r="S2055" s="1">
        <v>0.16738836603774462</v>
      </c>
      <c r="T2055" t="s">
        <v>2202</v>
      </c>
      <c r="U2055" s="1">
        <v>1058</v>
      </c>
      <c r="V2055">
        <f t="shared" si="128"/>
        <v>0.3360539630776852</v>
      </c>
      <c r="W2055" s="1">
        <f t="shared" si="129"/>
        <v>6.7000000000000028</v>
      </c>
      <c r="X2055">
        <f t="shared" si="130"/>
        <v>0.11037775999999999</v>
      </c>
      <c r="Y2055">
        <f t="shared" si="131"/>
        <v>12.800000000000004</v>
      </c>
      <c r="Z2055" s="1">
        <v>3</v>
      </c>
      <c r="AA2055">
        <v>97</v>
      </c>
      <c r="AB2055">
        <v>3.09E-2</v>
      </c>
      <c r="AC2055">
        <v>2</v>
      </c>
      <c r="AD2055">
        <v>115</v>
      </c>
      <c r="AE2055">
        <v>1.7399999999999999E-2</v>
      </c>
      <c r="AF2055" t="s">
        <v>2593</v>
      </c>
      <c r="AG2055" t="s">
        <v>2589</v>
      </c>
    </row>
    <row r="2056" spans="1:33">
      <c r="A2056" s="2" t="s">
        <v>65</v>
      </c>
      <c r="B2056" s="2" t="s">
        <v>45</v>
      </c>
      <c r="C2056" s="1">
        <v>0.67377447499999998</v>
      </c>
      <c r="D2056">
        <v>0.69144672900000004</v>
      </c>
      <c r="E2056">
        <v>0.73046409700000003</v>
      </c>
      <c r="F2056" s="1" t="s">
        <v>66</v>
      </c>
      <c r="G2056" s="1">
        <v>1.8507462690000001</v>
      </c>
      <c r="H2056" s="1">
        <v>34.5</v>
      </c>
      <c r="I2056" s="1">
        <v>46.9</v>
      </c>
      <c r="J2056" s="1">
        <v>0.69856176700000006</v>
      </c>
      <c r="K2056" s="1">
        <v>0.50907007599999998</v>
      </c>
      <c r="L2056" s="1">
        <v>0.68428041399999995</v>
      </c>
      <c r="M2056" s="3">
        <v>0.67454742099999998</v>
      </c>
      <c r="N2056" s="1" t="s">
        <v>46</v>
      </c>
      <c r="O2056" s="1">
        <v>0.98140043799999999</v>
      </c>
      <c r="P2056" s="1">
        <v>38.9</v>
      </c>
      <c r="Q2056" s="1">
        <v>91.4</v>
      </c>
      <c r="R2056" s="1">
        <v>0.62263263699999993</v>
      </c>
      <c r="S2056" s="1">
        <v>0.17408494988228998</v>
      </c>
      <c r="T2056" t="s">
        <v>2203</v>
      </c>
      <c r="U2056" s="1">
        <v>420</v>
      </c>
      <c r="V2056">
        <f t="shared" si="128"/>
        <v>0.29147214337754446</v>
      </c>
      <c r="W2056" s="1">
        <f t="shared" si="129"/>
        <v>4.3999999999999986</v>
      </c>
      <c r="X2056">
        <f t="shared" si="130"/>
        <v>0.86934583100000007</v>
      </c>
      <c r="Y2056">
        <f t="shared" si="131"/>
        <v>44.500000000000007</v>
      </c>
      <c r="Z2056" s="1">
        <v>0</v>
      </c>
      <c r="AA2056">
        <v>100</v>
      </c>
      <c r="AB2056">
        <v>0</v>
      </c>
      <c r="AC2056">
        <v>0</v>
      </c>
      <c r="AD2056">
        <v>97</v>
      </c>
      <c r="AE2056">
        <v>0</v>
      </c>
      <c r="AF2056" t="s">
        <v>2593</v>
      </c>
      <c r="AG2056" t="s">
        <v>2589</v>
      </c>
    </row>
    <row r="2057" spans="1:33">
      <c r="A2057" s="2" t="s">
        <v>65</v>
      </c>
      <c r="B2057" s="2" t="s">
        <v>47</v>
      </c>
      <c r="C2057" s="1">
        <v>0.67377447499999998</v>
      </c>
      <c r="D2057">
        <v>0.69144672900000004</v>
      </c>
      <c r="E2057">
        <v>0.73046409700000003</v>
      </c>
      <c r="F2057" s="1" t="s">
        <v>66</v>
      </c>
      <c r="G2057" s="1">
        <v>1.8507462690000001</v>
      </c>
      <c r="H2057" s="1">
        <v>34.5</v>
      </c>
      <c r="I2057" s="1">
        <v>46.9</v>
      </c>
      <c r="J2057" s="1">
        <v>0.69856176700000006</v>
      </c>
      <c r="K2057" s="1">
        <v>0.50612154099999995</v>
      </c>
      <c r="L2057" s="1">
        <v>0.55940039100000005</v>
      </c>
      <c r="M2057" s="3">
        <v>0.66789001699999995</v>
      </c>
      <c r="N2057" s="1" t="s">
        <v>48</v>
      </c>
      <c r="O2057" s="1">
        <v>1.242622951</v>
      </c>
      <c r="P2057" s="1">
        <v>17.8</v>
      </c>
      <c r="Q2057" s="1">
        <v>30.5</v>
      </c>
      <c r="R2057" s="1">
        <v>0.57780398300000002</v>
      </c>
      <c r="S2057" s="1">
        <v>0.22239437300854764</v>
      </c>
      <c r="T2057" t="s">
        <v>2204</v>
      </c>
      <c r="U2057" s="1">
        <v>484</v>
      </c>
      <c r="V2057">
        <f t="shared" si="128"/>
        <v>0.29831615129382361</v>
      </c>
      <c r="W2057" s="1">
        <f t="shared" si="129"/>
        <v>16.7</v>
      </c>
      <c r="X2057">
        <f t="shared" si="130"/>
        <v>0.60812331800000008</v>
      </c>
      <c r="Y2057">
        <f t="shared" si="131"/>
        <v>16.399999999999999</v>
      </c>
      <c r="Z2057" s="1">
        <v>0</v>
      </c>
      <c r="AA2057">
        <v>100</v>
      </c>
      <c r="AB2057">
        <v>0</v>
      </c>
      <c r="AC2057">
        <v>0</v>
      </c>
      <c r="AD2057">
        <v>104</v>
      </c>
      <c r="AE2057">
        <v>0</v>
      </c>
      <c r="AF2057" t="s">
        <v>2593</v>
      </c>
      <c r="AG2057" t="s">
        <v>2590</v>
      </c>
    </row>
    <row r="2058" spans="1:33">
      <c r="A2058" s="2" t="s">
        <v>65</v>
      </c>
      <c r="B2058" s="2" t="s">
        <v>49</v>
      </c>
      <c r="C2058" s="1">
        <v>0.67377447499999998</v>
      </c>
      <c r="D2058">
        <v>0.69144672900000004</v>
      </c>
      <c r="E2058">
        <v>0.73046409700000003</v>
      </c>
      <c r="F2058" s="1" t="s">
        <v>66</v>
      </c>
      <c r="G2058" s="1">
        <v>1.8507462690000001</v>
      </c>
      <c r="H2058" s="1">
        <v>34.5</v>
      </c>
      <c r="I2058" s="1">
        <v>46.9</v>
      </c>
      <c r="J2058" s="1">
        <v>0.69856176700000006</v>
      </c>
      <c r="K2058" s="1">
        <v>0.50647110500000003</v>
      </c>
      <c r="L2058" s="1">
        <v>0.55713136799999996</v>
      </c>
      <c r="M2058" s="3">
        <v>0.63402682300000002</v>
      </c>
      <c r="N2058" s="1" t="s">
        <v>50</v>
      </c>
      <c r="O2058" s="1">
        <v>1.876675603</v>
      </c>
      <c r="P2058" s="1">
        <v>28.8</v>
      </c>
      <c r="Q2058" s="1">
        <v>37.299999999999997</v>
      </c>
      <c r="R2058" s="1">
        <v>0.56587643200000004</v>
      </c>
      <c r="S2058" s="1">
        <v>0.23522580987312661</v>
      </c>
      <c r="T2058" t="s">
        <v>2205</v>
      </c>
      <c r="U2058" s="1">
        <v>505</v>
      </c>
      <c r="V2058">
        <f t="shared" si="128"/>
        <v>0.30036570867985124</v>
      </c>
      <c r="W2058" s="1">
        <f t="shared" si="129"/>
        <v>5.6999999999999993</v>
      </c>
      <c r="X2058">
        <f t="shared" si="130"/>
        <v>2.5929333999999971E-2</v>
      </c>
      <c r="Y2058">
        <f t="shared" si="131"/>
        <v>9.6000000000000014</v>
      </c>
      <c r="Z2058" s="1">
        <v>0</v>
      </c>
      <c r="AA2058">
        <v>100</v>
      </c>
      <c r="AB2058">
        <v>0</v>
      </c>
      <c r="AC2058">
        <v>0</v>
      </c>
      <c r="AD2058">
        <v>78</v>
      </c>
      <c r="AE2058">
        <v>0</v>
      </c>
      <c r="AF2058" t="s">
        <v>2593</v>
      </c>
      <c r="AG2058" t="s">
        <v>2590</v>
      </c>
    </row>
    <row r="2059" spans="1:33">
      <c r="A2059" s="2" t="s">
        <v>65</v>
      </c>
      <c r="B2059" s="2" t="s">
        <v>51</v>
      </c>
      <c r="C2059" s="1">
        <v>0.67377447499999998</v>
      </c>
      <c r="D2059">
        <v>0.69144672900000004</v>
      </c>
      <c r="E2059">
        <v>0.73046409700000003</v>
      </c>
      <c r="F2059" s="1" t="s">
        <v>66</v>
      </c>
      <c r="G2059" s="1">
        <v>1.8507462690000001</v>
      </c>
      <c r="H2059" s="1">
        <v>34.5</v>
      </c>
      <c r="I2059" s="1">
        <v>46.9</v>
      </c>
      <c r="J2059" s="1">
        <v>0.69856176700000006</v>
      </c>
      <c r="K2059" s="1">
        <v>0.60067161999999996</v>
      </c>
      <c r="L2059" s="1">
        <v>0.68094129999999997</v>
      </c>
      <c r="M2059" s="3">
        <v>0.73595931299999995</v>
      </c>
      <c r="N2059" s="1" t="s">
        <v>52</v>
      </c>
      <c r="O2059" s="1">
        <v>1.858638743</v>
      </c>
      <c r="P2059" s="1">
        <v>29.4</v>
      </c>
      <c r="Q2059" s="1">
        <v>38.200000000000003</v>
      </c>
      <c r="R2059" s="1">
        <v>0.67252407766666666</v>
      </c>
      <c r="S2059" s="1">
        <v>7.4058010009125458E-2</v>
      </c>
      <c r="T2059" t="s">
        <v>2206</v>
      </c>
      <c r="U2059" s="1">
        <v>8230</v>
      </c>
      <c r="V2059">
        <f t="shared" si="128"/>
        <v>0.43504442613469663</v>
      </c>
      <c r="W2059" s="1">
        <f t="shared" si="129"/>
        <v>5.1000000000000014</v>
      </c>
      <c r="X2059">
        <f t="shared" si="130"/>
        <v>7.8924739999999272E-3</v>
      </c>
      <c r="Y2059">
        <f t="shared" si="131"/>
        <v>8.6999999999999957</v>
      </c>
      <c r="Z2059" s="1">
        <v>6</v>
      </c>
      <c r="AA2059">
        <v>94</v>
      </c>
      <c r="AB2059">
        <v>6.3799999999999996E-2</v>
      </c>
      <c r="AC2059">
        <v>7</v>
      </c>
      <c r="AD2059">
        <v>80</v>
      </c>
      <c r="AE2059">
        <v>8.7499999999999994E-2</v>
      </c>
      <c r="AF2059" t="s">
        <v>2593</v>
      </c>
      <c r="AG2059" t="s">
        <v>2591</v>
      </c>
    </row>
    <row r="2060" spans="1:33">
      <c r="A2060" s="2" t="s">
        <v>65</v>
      </c>
      <c r="B2060" s="2" t="s">
        <v>53</v>
      </c>
      <c r="C2060" s="1">
        <v>0.67377447499999998</v>
      </c>
      <c r="D2060">
        <v>0.69144672900000004</v>
      </c>
      <c r="E2060">
        <v>0.73046409700000003</v>
      </c>
      <c r="F2060" s="1" t="s">
        <v>66</v>
      </c>
      <c r="G2060" s="1">
        <v>1.8507462690000001</v>
      </c>
      <c r="H2060" s="1">
        <v>34.5</v>
      </c>
      <c r="I2060" s="1">
        <v>46.9</v>
      </c>
      <c r="J2060" s="1">
        <v>0.69856176700000006</v>
      </c>
      <c r="K2060" s="1">
        <v>0.54695832700000002</v>
      </c>
      <c r="L2060" s="1">
        <v>0.659790137</v>
      </c>
      <c r="M2060" s="3">
        <v>0.70662085500000005</v>
      </c>
      <c r="N2060" s="1" t="s">
        <v>54</v>
      </c>
      <c r="O2060" s="1">
        <v>2.5053995680000001</v>
      </c>
      <c r="P2060" s="1">
        <v>43.9</v>
      </c>
      <c r="Q2060" s="1">
        <v>46.3</v>
      </c>
      <c r="R2060" s="1">
        <v>0.63778977300000006</v>
      </c>
      <c r="S2060" s="1">
        <v>0.13286450014839526</v>
      </c>
      <c r="T2060" t="s">
        <v>2207</v>
      </c>
      <c r="U2060" s="1">
        <v>8588</v>
      </c>
      <c r="V2060">
        <f t="shared" si="128"/>
        <v>0.43709911508491234</v>
      </c>
      <c r="W2060" s="1">
        <f t="shared" si="129"/>
        <v>9.3999999999999986</v>
      </c>
      <c r="X2060">
        <f t="shared" si="130"/>
        <v>0.65465329900000002</v>
      </c>
      <c r="Y2060">
        <f t="shared" si="131"/>
        <v>0.60000000000000142</v>
      </c>
      <c r="Z2060" s="1">
        <v>5</v>
      </c>
      <c r="AA2060">
        <v>95</v>
      </c>
      <c r="AB2060">
        <v>5.2600000000000001E-2</v>
      </c>
      <c r="AC2060">
        <v>5</v>
      </c>
      <c r="AD2060">
        <v>82</v>
      </c>
      <c r="AE2060">
        <v>6.0999999999999999E-2</v>
      </c>
      <c r="AF2060" t="s">
        <v>2593</v>
      </c>
      <c r="AG2060" t="s">
        <v>2593</v>
      </c>
    </row>
    <row r="2061" spans="1:33">
      <c r="A2061" s="2" t="s">
        <v>65</v>
      </c>
      <c r="B2061" s="2" t="s">
        <v>55</v>
      </c>
      <c r="C2061" s="1">
        <v>0.67377447499999998</v>
      </c>
      <c r="D2061">
        <v>0.69144672900000004</v>
      </c>
      <c r="E2061">
        <v>0.73046409700000003</v>
      </c>
      <c r="F2061" s="1" t="s">
        <v>66</v>
      </c>
      <c r="G2061" s="1">
        <v>1.8507462690000001</v>
      </c>
      <c r="H2061" s="1">
        <v>34.5</v>
      </c>
      <c r="I2061" s="1">
        <v>46.9</v>
      </c>
      <c r="J2061" s="1">
        <v>0.69856176700000006</v>
      </c>
      <c r="K2061" s="1">
        <v>0.52971861799999997</v>
      </c>
      <c r="L2061" s="1">
        <v>0.62258244500000004</v>
      </c>
      <c r="M2061" s="3">
        <v>0.63939760400000001</v>
      </c>
      <c r="N2061" s="1" t="s">
        <v>56</v>
      </c>
      <c r="O2061" s="1">
        <v>1.0796934869999999</v>
      </c>
      <c r="P2061" s="1">
        <v>55.3</v>
      </c>
      <c r="Q2061" s="1">
        <v>130.5</v>
      </c>
      <c r="R2061" s="1">
        <v>0.59723288899999993</v>
      </c>
      <c r="S2061" s="1">
        <v>0.18381372553255146</v>
      </c>
      <c r="T2061" t="s">
        <v>2208</v>
      </c>
      <c r="U2061" s="1">
        <v>638</v>
      </c>
      <c r="V2061">
        <f t="shared" si="128"/>
        <v>0.31164674208012916</v>
      </c>
      <c r="W2061" s="1">
        <f t="shared" si="129"/>
        <v>20.799999999999997</v>
      </c>
      <c r="X2061">
        <f t="shared" si="130"/>
        <v>0.77105278200000016</v>
      </c>
      <c r="Y2061">
        <f t="shared" si="131"/>
        <v>83.6</v>
      </c>
      <c r="Z2061" s="1">
        <v>0</v>
      </c>
      <c r="AA2061">
        <v>100</v>
      </c>
      <c r="AB2061">
        <v>0</v>
      </c>
      <c r="AC2061">
        <v>0</v>
      </c>
      <c r="AD2061">
        <v>79</v>
      </c>
      <c r="AE2061">
        <v>0</v>
      </c>
      <c r="AF2061" t="s">
        <v>2593</v>
      </c>
      <c r="AG2061" t="s">
        <v>2592</v>
      </c>
    </row>
    <row r="2062" spans="1:33">
      <c r="A2062" s="2" t="s">
        <v>65</v>
      </c>
      <c r="B2062" s="2" t="s">
        <v>57</v>
      </c>
      <c r="C2062" s="1">
        <v>0.67377447499999998</v>
      </c>
      <c r="D2062">
        <v>0.69144672900000004</v>
      </c>
      <c r="E2062">
        <v>0.73046409700000003</v>
      </c>
      <c r="F2062" s="1" t="s">
        <v>66</v>
      </c>
      <c r="G2062" s="1">
        <v>1.8507462690000001</v>
      </c>
      <c r="H2062" s="1">
        <v>34.5</v>
      </c>
      <c r="I2062" s="1">
        <v>46.9</v>
      </c>
      <c r="J2062" s="1">
        <v>0.69856176700000006</v>
      </c>
      <c r="K2062" s="1">
        <v>0.528732855</v>
      </c>
      <c r="L2062" s="1">
        <v>0.63387497599999998</v>
      </c>
      <c r="M2062" s="3">
        <v>0.63337360200000004</v>
      </c>
      <c r="N2062" s="1" t="s">
        <v>58</v>
      </c>
      <c r="O2062" s="1">
        <v>1.386610879</v>
      </c>
      <c r="P2062" s="1">
        <v>69</v>
      </c>
      <c r="Q2062" s="1">
        <v>119.5</v>
      </c>
      <c r="R2062" s="1">
        <v>0.59866047766666663</v>
      </c>
      <c r="S2062" s="1">
        <v>0.18378830891833797</v>
      </c>
      <c r="T2062" t="s">
        <v>2209</v>
      </c>
      <c r="U2062" s="1">
        <v>524</v>
      </c>
      <c r="V2062">
        <f t="shared" si="128"/>
        <v>0.30214792077596964</v>
      </c>
      <c r="W2062" s="1">
        <f t="shared" si="129"/>
        <v>34.5</v>
      </c>
      <c r="X2062">
        <f t="shared" si="130"/>
        <v>0.46413539000000004</v>
      </c>
      <c r="Y2062">
        <f t="shared" si="131"/>
        <v>72.599999999999994</v>
      </c>
      <c r="Z2062" s="1">
        <v>0</v>
      </c>
      <c r="AA2062">
        <v>100</v>
      </c>
      <c r="AB2062">
        <v>0</v>
      </c>
      <c r="AC2062">
        <v>0</v>
      </c>
      <c r="AD2062">
        <v>85</v>
      </c>
      <c r="AE2062">
        <v>0</v>
      </c>
      <c r="AF2062" t="s">
        <v>2593</v>
      </c>
      <c r="AG2062" t="s">
        <v>2589</v>
      </c>
    </row>
    <row r="2063" spans="1:33">
      <c r="A2063" s="2" t="s">
        <v>65</v>
      </c>
      <c r="B2063" s="2" t="s">
        <v>59</v>
      </c>
      <c r="C2063" s="1">
        <v>0.67377447499999998</v>
      </c>
      <c r="D2063">
        <v>0.69144672900000004</v>
      </c>
      <c r="E2063">
        <v>0.73046409700000003</v>
      </c>
      <c r="F2063" s="1" t="s">
        <v>66</v>
      </c>
      <c r="G2063" s="1">
        <v>1.8507462690000001</v>
      </c>
      <c r="H2063" s="1">
        <v>34.5</v>
      </c>
      <c r="I2063" s="1">
        <v>46.9</v>
      </c>
      <c r="J2063" s="1">
        <v>0.69856176700000006</v>
      </c>
      <c r="K2063" s="1">
        <v>0.56225432799999997</v>
      </c>
      <c r="L2063" s="1">
        <v>0.68100706499999997</v>
      </c>
      <c r="M2063" s="3">
        <v>0.67505263699999996</v>
      </c>
      <c r="N2063" s="1" t="s">
        <v>60</v>
      </c>
      <c r="O2063" s="1">
        <v>1.1501154730000001</v>
      </c>
      <c r="P2063" s="1">
        <v>60.5</v>
      </c>
      <c r="Q2063" s="1">
        <v>129.9</v>
      </c>
      <c r="R2063" s="1">
        <v>0.63943801</v>
      </c>
      <c r="S2063" s="1">
        <v>0.12496463367955798</v>
      </c>
      <c r="T2063" t="s">
        <v>2210</v>
      </c>
      <c r="U2063" s="1">
        <v>993</v>
      </c>
      <c r="V2063">
        <f t="shared" si="128"/>
        <v>0.3329943609439312</v>
      </c>
      <c r="W2063" s="1">
        <f t="shared" si="129"/>
        <v>26</v>
      </c>
      <c r="X2063">
        <f t="shared" si="130"/>
        <v>0.700630796</v>
      </c>
      <c r="Y2063">
        <f t="shared" si="131"/>
        <v>83</v>
      </c>
      <c r="Z2063" s="1">
        <v>0</v>
      </c>
      <c r="AA2063">
        <v>100</v>
      </c>
      <c r="AB2063">
        <v>0</v>
      </c>
      <c r="AC2063">
        <v>0</v>
      </c>
      <c r="AD2063">
        <v>104</v>
      </c>
      <c r="AE2063">
        <v>0</v>
      </c>
      <c r="AF2063" t="s">
        <v>2593</v>
      </c>
      <c r="AG2063" t="s">
        <v>2589</v>
      </c>
    </row>
    <row r="2064" spans="1:33">
      <c r="A2064" s="2" t="s">
        <v>65</v>
      </c>
      <c r="B2064" s="2" t="s">
        <v>61</v>
      </c>
      <c r="C2064" s="1">
        <v>0.67377447499999998</v>
      </c>
      <c r="D2064">
        <v>0.69144672900000004</v>
      </c>
      <c r="E2064">
        <v>0.73046409700000003</v>
      </c>
      <c r="F2064" s="1" t="s">
        <v>66</v>
      </c>
      <c r="G2064" s="1">
        <v>1.8507462690000001</v>
      </c>
      <c r="H2064" s="1">
        <v>34.5</v>
      </c>
      <c r="I2064" s="1">
        <v>46.9</v>
      </c>
      <c r="J2064" s="1">
        <v>0.69856176700000006</v>
      </c>
      <c r="K2064" s="1">
        <v>0.62063455999999995</v>
      </c>
      <c r="L2064" s="1">
        <v>0.67798104299999995</v>
      </c>
      <c r="M2064" s="3">
        <v>0.72175371600000005</v>
      </c>
      <c r="N2064" s="1" t="s">
        <v>62</v>
      </c>
      <c r="O2064" s="1">
        <v>7.5471698109999998</v>
      </c>
      <c r="P2064" s="1">
        <v>26.4</v>
      </c>
      <c r="Q2064" s="1">
        <v>10.6</v>
      </c>
      <c r="R2064" s="1">
        <v>0.6734564396666668</v>
      </c>
      <c r="S2064" s="1">
        <v>5.5507170733365502E-2</v>
      </c>
      <c r="T2064" t="s">
        <v>2211</v>
      </c>
      <c r="U2064" s="1">
        <v>620</v>
      </c>
      <c r="V2064">
        <f t="shared" si="128"/>
        <v>0.31026574327758377</v>
      </c>
      <c r="W2064" s="1">
        <f t="shared" si="129"/>
        <v>8.1000000000000014</v>
      </c>
      <c r="X2064">
        <f t="shared" si="130"/>
        <v>5.6964235419999998</v>
      </c>
      <c r="Y2064">
        <f t="shared" si="131"/>
        <v>36.299999999999997</v>
      </c>
      <c r="Z2064" s="1">
        <v>0</v>
      </c>
      <c r="AA2064">
        <v>100</v>
      </c>
      <c r="AB2064">
        <v>0</v>
      </c>
      <c r="AC2064">
        <v>0</v>
      </c>
      <c r="AD2064">
        <v>79</v>
      </c>
      <c r="AE2064">
        <v>0</v>
      </c>
      <c r="AF2064" t="s">
        <v>2593</v>
      </c>
      <c r="AG2064" t="s">
        <v>2588</v>
      </c>
    </row>
    <row r="2065" spans="1:33">
      <c r="A2065" s="2" t="s">
        <v>65</v>
      </c>
      <c r="B2065" s="2" t="s">
        <v>63</v>
      </c>
      <c r="C2065" s="1">
        <v>0.67377447499999998</v>
      </c>
      <c r="D2065">
        <v>0.69144672900000004</v>
      </c>
      <c r="E2065">
        <v>0.73046409700000003</v>
      </c>
      <c r="F2065" s="1" t="s">
        <v>66</v>
      </c>
      <c r="G2065" s="1">
        <v>1.8507462690000001</v>
      </c>
      <c r="H2065" s="1">
        <v>34.5</v>
      </c>
      <c r="I2065" s="1">
        <v>46.9</v>
      </c>
      <c r="J2065" s="1">
        <v>0.69856176700000006</v>
      </c>
      <c r="K2065" s="1">
        <v>0.44311141399999998</v>
      </c>
      <c r="L2065" s="1">
        <v>0.57053969199999999</v>
      </c>
      <c r="M2065" s="3">
        <v>0.59266330599999995</v>
      </c>
      <c r="N2065" s="1" t="s">
        <v>64</v>
      </c>
      <c r="O2065" s="1">
        <v>0.89618138400000003</v>
      </c>
      <c r="P2065" s="1">
        <v>29.7</v>
      </c>
      <c r="Q2065" s="1">
        <v>83.8</v>
      </c>
      <c r="R2065" s="1">
        <v>0.53543813733333334</v>
      </c>
      <c r="S2065" s="1">
        <v>0.29464048823309197</v>
      </c>
      <c r="T2065" t="s">
        <v>2212</v>
      </c>
      <c r="U2065" s="1">
        <v>164</v>
      </c>
      <c r="V2065">
        <f t="shared" si="128"/>
        <v>0.24609376089418866</v>
      </c>
      <c r="W2065" s="1">
        <f t="shared" si="129"/>
        <v>4.8000000000000007</v>
      </c>
      <c r="X2065">
        <f t="shared" si="130"/>
        <v>0.95456488500000003</v>
      </c>
      <c r="Y2065">
        <f t="shared" si="131"/>
        <v>36.9</v>
      </c>
      <c r="Z2065" s="1">
        <v>0</v>
      </c>
      <c r="AA2065">
        <v>100</v>
      </c>
      <c r="AB2065">
        <v>0</v>
      </c>
      <c r="AC2065">
        <v>0</v>
      </c>
      <c r="AD2065">
        <v>86</v>
      </c>
      <c r="AE2065">
        <v>0</v>
      </c>
      <c r="AF2065" t="s">
        <v>2593</v>
      </c>
      <c r="AG2065" t="s">
        <v>2590</v>
      </c>
    </row>
    <row r="2066" spans="1:33">
      <c r="A2066" s="2" t="s">
        <v>63</v>
      </c>
      <c r="B2066" s="2" t="s">
        <v>10</v>
      </c>
      <c r="C2066" s="1">
        <v>0.44311141399999998</v>
      </c>
      <c r="D2066">
        <v>0.57053969199999999</v>
      </c>
      <c r="E2066">
        <v>0.59266330599999995</v>
      </c>
      <c r="F2066" s="1" t="s">
        <v>64</v>
      </c>
      <c r="G2066" s="1">
        <v>0.89618138400000003</v>
      </c>
      <c r="H2066" s="1">
        <v>29.7</v>
      </c>
      <c r="I2066" s="1">
        <v>83.8</v>
      </c>
      <c r="J2066" s="1">
        <v>0.53543813733333334</v>
      </c>
      <c r="K2066" s="1">
        <v>0.52456325500000001</v>
      </c>
      <c r="L2066" s="1">
        <v>0.61925627999999999</v>
      </c>
      <c r="M2066" s="3">
        <v>0.72111139899999999</v>
      </c>
      <c r="N2066" s="1" t="s">
        <v>12</v>
      </c>
      <c r="O2066" s="1">
        <v>0.61690647499999995</v>
      </c>
      <c r="P2066" s="1">
        <v>30</v>
      </c>
      <c r="Q2066" s="1">
        <v>111.2</v>
      </c>
      <c r="R2066" s="1">
        <v>0.62164364466666666</v>
      </c>
      <c r="S2066" s="1">
        <v>0.15970792386098973</v>
      </c>
      <c r="T2066" t="s">
        <v>2213</v>
      </c>
      <c r="U2066" s="1">
        <v>510</v>
      </c>
      <c r="V2066">
        <f t="shared" si="128"/>
        <v>0.30084113067754847</v>
      </c>
      <c r="W2066" s="1">
        <f t="shared" si="129"/>
        <v>0.30000000000000071</v>
      </c>
      <c r="X2066">
        <f t="shared" si="130"/>
        <v>0.27927490900000007</v>
      </c>
      <c r="Y2066">
        <f t="shared" si="131"/>
        <v>27.400000000000006</v>
      </c>
      <c r="Z2066" s="1">
        <v>4</v>
      </c>
      <c r="AA2066">
        <v>96</v>
      </c>
      <c r="AB2066">
        <v>4.1700000000000001E-2</v>
      </c>
      <c r="AC2066">
        <v>6</v>
      </c>
      <c r="AD2066">
        <v>153</v>
      </c>
      <c r="AE2066">
        <v>3.9199999999999999E-2</v>
      </c>
      <c r="AF2066" t="s">
        <v>2590</v>
      </c>
      <c r="AG2066" t="s">
        <v>2588</v>
      </c>
    </row>
    <row r="2067" spans="1:33">
      <c r="A2067" s="2" t="s">
        <v>63</v>
      </c>
      <c r="B2067" s="2" t="s">
        <v>13</v>
      </c>
      <c r="C2067" s="1">
        <v>0.44311141399999998</v>
      </c>
      <c r="D2067">
        <v>0.57053969199999999</v>
      </c>
      <c r="E2067">
        <v>0.59266330599999995</v>
      </c>
      <c r="F2067" s="1" t="s">
        <v>64</v>
      </c>
      <c r="G2067" s="1">
        <v>0.89618138400000003</v>
      </c>
      <c r="H2067" s="1">
        <v>29.7</v>
      </c>
      <c r="I2067" s="1">
        <v>83.8</v>
      </c>
      <c r="J2067" s="1">
        <v>0.53543813733333334</v>
      </c>
      <c r="K2067" s="1">
        <v>0.48695497399999998</v>
      </c>
      <c r="L2067" s="1">
        <v>0.54991327199999995</v>
      </c>
      <c r="M2067" s="3">
        <v>0.67282609299999996</v>
      </c>
      <c r="N2067" s="1" t="s">
        <v>14</v>
      </c>
      <c r="O2067" s="1">
        <v>1.6052009460000001</v>
      </c>
      <c r="P2067" s="1">
        <v>26.6</v>
      </c>
      <c r="Q2067" s="1">
        <v>42.3</v>
      </c>
      <c r="R2067" s="1">
        <v>0.56989811299999993</v>
      </c>
      <c r="S2067" s="1">
        <v>9.3668454535651285E-2</v>
      </c>
      <c r="T2067" t="s">
        <v>2214</v>
      </c>
      <c r="U2067" s="1">
        <v>3138</v>
      </c>
      <c r="V2067">
        <f t="shared" si="128"/>
        <v>0.38851699325010203</v>
      </c>
      <c r="W2067" s="1">
        <f t="shared" si="129"/>
        <v>3.0999999999999979</v>
      </c>
      <c r="X2067">
        <f t="shared" si="130"/>
        <v>0.70901956200000005</v>
      </c>
      <c r="Y2067">
        <f t="shared" si="131"/>
        <v>41.5</v>
      </c>
      <c r="Z2067" s="1">
        <v>5</v>
      </c>
      <c r="AA2067">
        <v>95</v>
      </c>
      <c r="AB2067">
        <v>5.2600000000000001E-2</v>
      </c>
      <c r="AC2067">
        <v>4</v>
      </c>
      <c r="AD2067">
        <v>102</v>
      </c>
      <c r="AE2067">
        <v>3.9199999999999999E-2</v>
      </c>
      <c r="AF2067" t="s">
        <v>2590</v>
      </c>
      <c r="AG2067" t="s">
        <v>2590</v>
      </c>
    </row>
    <row r="2068" spans="1:33">
      <c r="A2068" s="2" t="s">
        <v>63</v>
      </c>
      <c r="B2068" s="2" t="s">
        <v>15</v>
      </c>
      <c r="C2068" s="1">
        <v>0.44311141399999998</v>
      </c>
      <c r="D2068">
        <v>0.57053969199999999</v>
      </c>
      <c r="E2068">
        <v>0.59266330599999995</v>
      </c>
      <c r="F2068" s="1" t="s">
        <v>64</v>
      </c>
      <c r="G2068" s="1">
        <v>0.89618138400000003</v>
      </c>
      <c r="H2068" s="1">
        <v>29.7</v>
      </c>
      <c r="I2068" s="1">
        <v>83.8</v>
      </c>
      <c r="J2068" s="1">
        <v>0.53543813733333334</v>
      </c>
      <c r="K2068" s="1">
        <v>0.54560998800000005</v>
      </c>
      <c r="L2068" s="1">
        <v>0.66721428400000005</v>
      </c>
      <c r="M2068" s="3">
        <v>0.72650398400000005</v>
      </c>
      <c r="N2068" s="1" t="s">
        <v>16</v>
      </c>
      <c r="O2068" s="1">
        <v>5.1392405060000002</v>
      </c>
      <c r="P2068" s="1">
        <v>35.9</v>
      </c>
      <c r="Q2068" s="1">
        <v>15.8</v>
      </c>
      <c r="R2068" s="1">
        <v>0.64644275200000012</v>
      </c>
      <c r="S2068" s="1">
        <v>0.19433286262981789</v>
      </c>
      <c r="T2068" t="s">
        <v>2215</v>
      </c>
      <c r="U2068" s="1">
        <v>223</v>
      </c>
      <c r="V2068">
        <f t="shared" si="128"/>
        <v>0.26092276256090674</v>
      </c>
      <c r="W2068" s="1">
        <f t="shared" si="129"/>
        <v>6.1999999999999993</v>
      </c>
      <c r="X2068">
        <f t="shared" si="130"/>
        <v>4.243059122</v>
      </c>
      <c r="Y2068">
        <f t="shared" si="131"/>
        <v>68</v>
      </c>
      <c r="Z2068" s="1">
        <v>1</v>
      </c>
      <c r="AA2068">
        <v>99</v>
      </c>
      <c r="AB2068">
        <v>1.01E-2</v>
      </c>
      <c r="AC2068">
        <v>1</v>
      </c>
      <c r="AD2068">
        <v>101</v>
      </c>
      <c r="AE2068">
        <v>9.9000000000000008E-3</v>
      </c>
      <c r="AF2068" t="s">
        <v>2590</v>
      </c>
      <c r="AG2068" t="s">
        <v>2591</v>
      </c>
    </row>
    <row r="2069" spans="1:33">
      <c r="A2069" s="2" t="s">
        <v>63</v>
      </c>
      <c r="B2069" s="2" t="s">
        <v>17</v>
      </c>
      <c r="C2069" s="1">
        <v>0.44311141399999998</v>
      </c>
      <c r="D2069">
        <v>0.57053969199999999</v>
      </c>
      <c r="E2069">
        <v>0.59266330599999995</v>
      </c>
      <c r="F2069" s="1" t="s">
        <v>64</v>
      </c>
      <c r="G2069" s="1">
        <v>0.89618138400000003</v>
      </c>
      <c r="H2069" s="1">
        <v>29.7</v>
      </c>
      <c r="I2069" s="1">
        <v>83.8</v>
      </c>
      <c r="J2069" s="1">
        <v>0.53543813733333334</v>
      </c>
      <c r="K2069" s="1">
        <v>0.659112378</v>
      </c>
      <c r="L2069" s="1">
        <v>0.68333493499999998</v>
      </c>
      <c r="M2069" s="3">
        <v>0.70345495199999997</v>
      </c>
      <c r="N2069" s="1" t="s">
        <v>18</v>
      </c>
      <c r="O2069" s="1">
        <v>1.9463955639999999</v>
      </c>
      <c r="P2069" s="1">
        <v>46.3</v>
      </c>
      <c r="Q2069" s="1">
        <v>54.1</v>
      </c>
      <c r="R2069" s="1">
        <v>0.68196742166666668</v>
      </c>
      <c r="S2069" s="1">
        <v>0.26768259584019966</v>
      </c>
      <c r="T2069" t="s">
        <v>2216</v>
      </c>
      <c r="U2069" s="1">
        <v>218</v>
      </c>
      <c r="V2069">
        <f t="shared" si="128"/>
        <v>0.25982849928940049</v>
      </c>
      <c r="W2069" s="1">
        <f t="shared" si="129"/>
        <v>16.599999999999998</v>
      </c>
      <c r="X2069">
        <f t="shared" si="130"/>
        <v>1.0502141799999998</v>
      </c>
      <c r="Y2069">
        <f t="shared" si="131"/>
        <v>29.699999999999996</v>
      </c>
      <c r="Z2069" s="1">
        <v>0</v>
      </c>
      <c r="AA2069">
        <v>100</v>
      </c>
      <c r="AB2069">
        <v>0</v>
      </c>
      <c r="AC2069">
        <v>0</v>
      </c>
      <c r="AD2069">
        <v>116</v>
      </c>
      <c r="AE2069">
        <v>0</v>
      </c>
      <c r="AF2069" t="s">
        <v>2590</v>
      </c>
      <c r="AG2069" t="s">
        <v>2591</v>
      </c>
    </row>
    <row r="2070" spans="1:33">
      <c r="A2070" s="2" t="s">
        <v>63</v>
      </c>
      <c r="B2070" s="2" t="s">
        <v>19</v>
      </c>
      <c r="C2070" s="1">
        <v>0.44311141399999998</v>
      </c>
      <c r="D2070">
        <v>0.57053969199999999</v>
      </c>
      <c r="E2070">
        <v>0.59266330599999995</v>
      </c>
      <c r="F2070" s="1" t="s">
        <v>64</v>
      </c>
      <c r="G2070" s="1">
        <v>0.89618138400000003</v>
      </c>
      <c r="H2070" s="1">
        <v>29.7</v>
      </c>
      <c r="I2070" s="1">
        <v>83.8</v>
      </c>
      <c r="J2070" s="1">
        <v>0.53543813733333334</v>
      </c>
      <c r="K2070" s="1">
        <v>0.49391595300000002</v>
      </c>
      <c r="L2070" s="1">
        <v>0.603599314</v>
      </c>
      <c r="M2070" s="3">
        <v>0.63481471599999995</v>
      </c>
      <c r="N2070" s="1" t="s">
        <v>20</v>
      </c>
      <c r="O2070" s="1">
        <v>1.2140902870000001</v>
      </c>
      <c r="P2070" s="1">
        <v>64.900000000000006</v>
      </c>
      <c r="Q2070" s="1">
        <v>146.19999999999999</v>
      </c>
      <c r="R2070" s="1">
        <v>0.57744332766666662</v>
      </c>
      <c r="S2070" s="1">
        <v>7.3829405759314556E-2</v>
      </c>
      <c r="T2070" t="s">
        <v>2217</v>
      </c>
      <c r="U2070" s="1">
        <v>1199</v>
      </c>
      <c r="V2070">
        <f t="shared" si="128"/>
        <v>0.34209102034431654</v>
      </c>
      <c r="W2070" s="1">
        <f t="shared" si="129"/>
        <v>35.200000000000003</v>
      </c>
      <c r="X2070">
        <f t="shared" si="130"/>
        <v>0.31790890300000008</v>
      </c>
      <c r="Y2070">
        <f t="shared" si="131"/>
        <v>62.399999999999991</v>
      </c>
      <c r="Z2070" s="1">
        <v>12</v>
      </c>
      <c r="AA2070">
        <v>88</v>
      </c>
      <c r="AB2070">
        <v>0.13639999999999999</v>
      </c>
      <c r="AC2070">
        <v>15</v>
      </c>
      <c r="AD2070">
        <v>81</v>
      </c>
      <c r="AE2070">
        <v>0.1852</v>
      </c>
      <c r="AF2070" t="s">
        <v>2590</v>
      </c>
      <c r="AG2070" t="s">
        <v>2593</v>
      </c>
    </row>
    <row r="2071" spans="1:33">
      <c r="A2071" s="2" t="s">
        <v>63</v>
      </c>
      <c r="B2071" s="2" t="s">
        <v>21</v>
      </c>
      <c r="C2071" s="1">
        <v>0.44311141399999998</v>
      </c>
      <c r="D2071">
        <v>0.57053969199999999</v>
      </c>
      <c r="E2071">
        <v>0.59266330599999995</v>
      </c>
      <c r="F2071" s="1" t="s">
        <v>64</v>
      </c>
      <c r="G2071" s="1">
        <v>0.89618138400000003</v>
      </c>
      <c r="H2071" s="1">
        <v>29.7</v>
      </c>
      <c r="I2071" s="1">
        <v>83.8</v>
      </c>
      <c r="J2071" s="1">
        <v>0.53543813733333334</v>
      </c>
      <c r="K2071" s="1">
        <v>0.53276376800000003</v>
      </c>
      <c r="L2071" s="1">
        <v>0.65428149899999999</v>
      </c>
      <c r="M2071" s="3">
        <v>0.70160154799999996</v>
      </c>
      <c r="N2071" s="1" t="s">
        <v>22</v>
      </c>
      <c r="O2071" s="1">
        <v>1.2440604749999999</v>
      </c>
      <c r="P2071" s="1">
        <v>24.6</v>
      </c>
      <c r="Q2071" s="1">
        <v>46.3</v>
      </c>
      <c r="R2071" s="1">
        <v>0.62954893833333336</v>
      </c>
      <c r="S2071" s="1">
        <v>0.16406637494446308</v>
      </c>
      <c r="T2071" t="s">
        <v>2218</v>
      </c>
      <c r="U2071" s="1">
        <v>293</v>
      </c>
      <c r="V2071">
        <f t="shared" si="128"/>
        <v>0.27409640226156773</v>
      </c>
      <c r="W2071" s="1">
        <f t="shared" si="129"/>
        <v>5.0999999999999979</v>
      </c>
      <c r="X2071">
        <f t="shared" si="130"/>
        <v>0.34787909099999992</v>
      </c>
      <c r="Y2071">
        <f t="shared" si="131"/>
        <v>37.5</v>
      </c>
      <c r="Z2071" s="1">
        <v>2</v>
      </c>
      <c r="AA2071">
        <v>98</v>
      </c>
      <c r="AB2071">
        <v>2.0400000000000001E-2</v>
      </c>
      <c r="AC2071">
        <v>4</v>
      </c>
      <c r="AD2071">
        <v>98</v>
      </c>
      <c r="AE2071">
        <v>4.0800000000000003E-2</v>
      </c>
      <c r="AF2071" t="s">
        <v>2590</v>
      </c>
      <c r="AG2071" t="s">
        <v>2589</v>
      </c>
    </row>
    <row r="2072" spans="1:33">
      <c r="A2072" s="2" t="s">
        <v>63</v>
      </c>
      <c r="B2072" s="2" t="s">
        <v>23</v>
      </c>
      <c r="C2072" s="1">
        <v>0.44311141399999998</v>
      </c>
      <c r="D2072">
        <v>0.57053969199999999</v>
      </c>
      <c r="E2072">
        <v>0.59266330599999995</v>
      </c>
      <c r="F2072" s="1" t="s">
        <v>64</v>
      </c>
      <c r="G2072" s="1">
        <v>0.89618138400000003</v>
      </c>
      <c r="H2072" s="1">
        <v>29.7</v>
      </c>
      <c r="I2072" s="1">
        <v>83.8</v>
      </c>
      <c r="J2072" s="1">
        <v>0.53543813733333334</v>
      </c>
      <c r="K2072" s="1">
        <v>0.49415677200000002</v>
      </c>
      <c r="L2072" s="1">
        <v>0.62090818999999997</v>
      </c>
      <c r="M2072" s="3">
        <v>0.63381026900000004</v>
      </c>
      <c r="N2072" s="1" t="s">
        <v>24</v>
      </c>
      <c r="O2072" s="1">
        <v>1.141304348</v>
      </c>
      <c r="P2072" s="1">
        <v>44.4</v>
      </c>
      <c r="Q2072" s="1">
        <v>101.2</v>
      </c>
      <c r="R2072" s="1">
        <v>0.58295841033333329</v>
      </c>
      <c r="S2072" s="1">
        <v>8.2678211931847836E-2</v>
      </c>
      <c r="T2072" t="s">
        <v>2219</v>
      </c>
      <c r="U2072" s="1">
        <v>21275</v>
      </c>
      <c r="V2072">
        <f t="shared" si="128"/>
        <v>0.48087439652851394</v>
      </c>
      <c r="W2072" s="1">
        <f t="shared" si="129"/>
        <v>14.7</v>
      </c>
      <c r="X2072">
        <f t="shared" si="130"/>
        <v>0.245122964</v>
      </c>
      <c r="Y2072">
        <f t="shared" si="131"/>
        <v>17.400000000000006</v>
      </c>
      <c r="Z2072" s="1">
        <v>15</v>
      </c>
      <c r="AA2072">
        <v>85</v>
      </c>
      <c r="AB2072">
        <v>0.17649999999999999</v>
      </c>
      <c r="AC2072">
        <v>15</v>
      </c>
      <c r="AD2072">
        <v>83</v>
      </c>
      <c r="AE2072">
        <v>0.1807</v>
      </c>
      <c r="AF2072" t="s">
        <v>2590</v>
      </c>
      <c r="AG2072" t="s">
        <v>2590</v>
      </c>
    </row>
    <row r="2073" spans="1:33">
      <c r="A2073" s="2" t="s">
        <v>63</v>
      </c>
      <c r="B2073" s="2" t="s">
        <v>25</v>
      </c>
      <c r="C2073" s="1">
        <v>0.44311141399999998</v>
      </c>
      <c r="D2073">
        <v>0.57053969199999999</v>
      </c>
      <c r="E2073">
        <v>0.59266330599999995</v>
      </c>
      <c r="F2073" s="1" t="s">
        <v>64</v>
      </c>
      <c r="G2073" s="1">
        <v>0.89618138400000003</v>
      </c>
      <c r="H2073" s="1">
        <v>29.7</v>
      </c>
      <c r="I2073" s="1">
        <v>83.8</v>
      </c>
      <c r="J2073" s="1">
        <v>0.53543813733333334</v>
      </c>
      <c r="K2073" s="1">
        <v>0.53959274199999996</v>
      </c>
      <c r="L2073" s="1">
        <v>0.64971567399999997</v>
      </c>
      <c r="M2073" s="3">
        <v>0.65028459999999999</v>
      </c>
      <c r="N2073" s="1" t="s">
        <v>26</v>
      </c>
      <c r="O2073" s="1">
        <v>1.623046875</v>
      </c>
      <c r="P2073" s="1">
        <v>34.700000000000003</v>
      </c>
      <c r="Q2073" s="1">
        <v>51.2</v>
      </c>
      <c r="R2073" s="1">
        <v>0.61319767199999997</v>
      </c>
      <c r="S2073" s="1">
        <v>0.13746889211942584</v>
      </c>
      <c r="T2073" t="s">
        <v>2220</v>
      </c>
      <c r="U2073" s="1">
        <v>523</v>
      </c>
      <c r="V2073">
        <f t="shared" si="128"/>
        <v>0.30205574320747491</v>
      </c>
      <c r="W2073" s="1">
        <f t="shared" si="129"/>
        <v>5.0000000000000036</v>
      </c>
      <c r="X2073">
        <f t="shared" si="130"/>
        <v>0.72686549099999997</v>
      </c>
      <c r="Y2073">
        <f t="shared" si="131"/>
        <v>32.599999999999994</v>
      </c>
      <c r="Z2073" s="1">
        <v>0</v>
      </c>
      <c r="AA2073">
        <v>100</v>
      </c>
      <c r="AB2073">
        <v>0</v>
      </c>
      <c r="AC2073">
        <v>0</v>
      </c>
      <c r="AD2073">
        <v>100</v>
      </c>
      <c r="AE2073">
        <v>0</v>
      </c>
      <c r="AF2073" t="s">
        <v>2590</v>
      </c>
      <c r="AG2073" t="s">
        <v>2594</v>
      </c>
    </row>
    <row r="2074" spans="1:33">
      <c r="A2074" s="2" t="s">
        <v>63</v>
      </c>
      <c r="B2074" s="2" t="s">
        <v>27</v>
      </c>
      <c r="C2074" s="1">
        <v>0.44311141399999998</v>
      </c>
      <c r="D2074">
        <v>0.57053969199999999</v>
      </c>
      <c r="E2074">
        <v>0.59266330599999995</v>
      </c>
      <c r="F2074" s="1" t="s">
        <v>64</v>
      </c>
      <c r="G2074" s="1">
        <v>0.89618138400000003</v>
      </c>
      <c r="H2074" s="1">
        <v>29.7</v>
      </c>
      <c r="I2074" s="1">
        <v>83.8</v>
      </c>
      <c r="J2074" s="1">
        <v>0.53543813733333334</v>
      </c>
      <c r="K2074" s="1">
        <v>0.518608662</v>
      </c>
      <c r="L2074" s="1">
        <v>0.64320369700000002</v>
      </c>
      <c r="M2074" s="3">
        <v>0.62228994199999998</v>
      </c>
      <c r="N2074" s="1" t="s">
        <v>28</v>
      </c>
      <c r="O2074" s="1">
        <v>1.8717391299999999</v>
      </c>
      <c r="P2074" s="1">
        <v>33.700000000000003</v>
      </c>
      <c r="Q2074" s="1">
        <v>46</v>
      </c>
      <c r="R2074" s="1">
        <v>0.59470076699999996</v>
      </c>
      <c r="S2074" s="1">
        <v>0.10889274373846053</v>
      </c>
      <c r="T2074" t="s">
        <v>2221</v>
      </c>
      <c r="U2074" s="1">
        <v>15881</v>
      </c>
      <c r="V2074">
        <f t="shared" si="128"/>
        <v>0.46676420508322508</v>
      </c>
      <c r="W2074" s="1">
        <f t="shared" si="129"/>
        <v>4.0000000000000036</v>
      </c>
      <c r="X2074">
        <f t="shared" si="130"/>
        <v>0.97555774599999989</v>
      </c>
      <c r="Y2074">
        <f t="shared" si="131"/>
        <v>37.799999999999997</v>
      </c>
      <c r="Z2074" s="1">
        <v>7</v>
      </c>
      <c r="AA2074">
        <v>93</v>
      </c>
      <c r="AB2074">
        <v>7.5300000000000006E-2</v>
      </c>
      <c r="AC2074">
        <v>9</v>
      </c>
      <c r="AD2074">
        <v>98</v>
      </c>
      <c r="AE2074">
        <v>9.1800000000000007E-2</v>
      </c>
      <c r="AF2074" t="s">
        <v>2590</v>
      </c>
      <c r="AG2074" t="s">
        <v>2590</v>
      </c>
    </row>
    <row r="2075" spans="1:33">
      <c r="A2075" s="2" t="s">
        <v>63</v>
      </c>
      <c r="B2075" s="2" t="s">
        <v>29</v>
      </c>
      <c r="C2075" s="1">
        <v>0.44311141399999998</v>
      </c>
      <c r="D2075">
        <v>0.57053969199999999</v>
      </c>
      <c r="E2075">
        <v>0.59266330599999995</v>
      </c>
      <c r="F2075" s="1" t="s">
        <v>64</v>
      </c>
      <c r="G2075" s="1">
        <v>0.89618138400000003</v>
      </c>
      <c r="H2075" s="1">
        <v>29.7</v>
      </c>
      <c r="I2075" s="1">
        <v>83.8</v>
      </c>
      <c r="J2075" s="1">
        <v>0.53543813733333334</v>
      </c>
      <c r="K2075" s="1">
        <v>0.59351545100000003</v>
      </c>
      <c r="L2075" s="1">
        <v>0.68136602400000001</v>
      </c>
      <c r="M2075" s="3">
        <v>0.73518087600000004</v>
      </c>
      <c r="N2075" s="1" t="s">
        <v>30</v>
      </c>
      <c r="O2075" s="1">
        <v>2.849112426</v>
      </c>
      <c r="P2075" s="1">
        <v>37.9</v>
      </c>
      <c r="Q2075" s="1">
        <v>33.799999999999997</v>
      </c>
      <c r="R2075" s="1">
        <v>0.67002078366666673</v>
      </c>
      <c r="S2075" s="1">
        <v>0.23497895218333181</v>
      </c>
      <c r="T2075" t="s">
        <v>2222</v>
      </c>
      <c r="U2075" s="1">
        <v>212</v>
      </c>
      <c r="V2075">
        <f t="shared" si="128"/>
        <v>0.25848176232541681</v>
      </c>
      <c r="W2075" s="1">
        <f t="shared" si="129"/>
        <v>8.1999999999999993</v>
      </c>
      <c r="X2075">
        <f t="shared" si="130"/>
        <v>1.9529310419999999</v>
      </c>
      <c r="Y2075">
        <f t="shared" si="131"/>
        <v>50</v>
      </c>
      <c r="Z2075" s="1">
        <v>0</v>
      </c>
      <c r="AA2075">
        <v>100</v>
      </c>
      <c r="AB2075">
        <v>0</v>
      </c>
      <c r="AC2075">
        <v>0</v>
      </c>
      <c r="AD2075">
        <v>96</v>
      </c>
      <c r="AE2075">
        <v>0</v>
      </c>
      <c r="AF2075" t="s">
        <v>2590</v>
      </c>
      <c r="AG2075" t="s">
        <v>2593</v>
      </c>
    </row>
    <row r="2076" spans="1:33">
      <c r="A2076" s="2" t="s">
        <v>63</v>
      </c>
      <c r="B2076" s="2" t="s">
        <v>31</v>
      </c>
      <c r="C2076" s="1">
        <v>0.44311141399999998</v>
      </c>
      <c r="D2076">
        <v>0.57053969199999999</v>
      </c>
      <c r="E2076">
        <v>0.59266330599999995</v>
      </c>
      <c r="F2076" s="1" t="s">
        <v>64</v>
      </c>
      <c r="G2076" s="1">
        <v>0.89618138400000003</v>
      </c>
      <c r="H2076" s="1">
        <v>29.7</v>
      </c>
      <c r="I2076" s="1">
        <v>83.8</v>
      </c>
      <c r="J2076" s="1">
        <v>0.53543813733333334</v>
      </c>
      <c r="K2076" s="1">
        <v>0.47727961800000002</v>
      </c>
      <c r="L2076" s="1">
        <v>0.66941086400000005</v>
      </c>
      <c r="M2076" s="3">
        <v>0.69294815300000001</v>
      </c>
      <c r="N2076" s="1" t="s">
        <v>32</v>
      </c>
      <c r="O2076" s="1">
        <v>1.341891892</v>
      </c>
      <c r="P2076" s="1">
        <v>42.1</v>
      </c>
      <c r="Q2076" s="1">
        <v>74</v>
      </c>
      <c r="R2076" s="1">
        <v>0.61321287833333338</v>
      </c>
      <c r="S2076" s="1">
        <v>0.14491385494511089</v>
      </c>
      <c r="T2076" t="s">
        <v>2223</v>
      </c>
      <c r="U2076" s="1">
        <v>344</v>
      </c>
      <c r="V2076">
        <f t="shared" si="128"/>
        <v>0.28183982695239224</v>
      </c>
      <c r="W2076" s="1">
        <f t="shared" si="129"/>
        <v>12.400000000000002</v>
      </c>
      <c r="X2076">
        <f t="shared" si="130"/>
        <v>0.44571050800000001</v>
      </c>
      <c r="Y2076">
        <f t="shared" si="131"/>
        <v>9.7999999999999972</v>
      </c>
      <c r="Z2076" s="1">
        <v>5</v>
      </c>
      <c r="AA2076">
        <v>95</v>
      </c>
      <c r="AB2076">
        <v>5.2600000000000001E-2</v>
      </c>
      <c r="AC2076">
        <v>7</v>
      </c>
      <c r="AD2076">
        <v>97</v>
      </c>
      <c r="AE2076">
        <v>7.22E-2</v>
      </c>
      <c r="AF2076" t="s">
        <v>2590</v>
      </c>
      <c r="AG2076" t="s">
        <v>2589</v>
      </c>
    </row>
    <row r="2077" spans="1:33">
      <c r="A2077" s="2" t="s">
        <v>63</v>
      </c>
      <c r="B2077" s="2" t="s">
        <v>33</v>
      </c>
      <c r="C2077" s="1">
        <v>0.44311141399999998</v>
      </c>
      <c r="D2077">
        <v>0.57053969199999999</v>
      </c>
      <c r="E2077">
        <v>0.59266330599999995</v>
      </c>
      <c r="F2077" s="1" t="s">
        <v>64</v>
      </c>
      <c r="G2077" s="1">
        <v>0.89618138400000003</v>
      </c>
      <c r="H2077" s="1">
        <v>29.7</v>
      </c>
      <c r="I2077" s="1">
        <v>83.8</v>
      </c>
      <c r="J2077" s="1">
        <v>0.53543813733333334</v>
      </c>
      <c r="K2077" s="1">
        <v>0.51347926600000005</v>
      </c>
      <c r="L2077" s="1">
        <v>0.63144379399999995</v>
      </c>
      <c r="M2077" s="3">
        <v>0.64189093500000005</v>
      </c>
      <c r="N2077" s="1" t="s">
        <v>34</v>
      </c>
      <c r="O2077" s="1">
        <v>2.3123667380000001</v>
      </c>
      <c r="P2077" s="1">
        <v>79.099999999999994</v>
      </c>
      <c r="Q2077" s="1">
        <v>93.8</v>
      </c>
      <c r="R2077" s="1">
        <v>0.59560466500000009</v>
      </c>
      <c r="S2077" s="1">
        <v>0.10528201979674386</v>
      </c>
      <c r="T2077" t="s">
        <v>2224</v>
      </c>
      <c r="U2077" s="1">
        <v>394582</v>
      </c>
      <c r="V2077">
        <f t="shared" si="128"/>
        <v>0.62179302997424835</v>
      </c>
      <c r="W2077" s="1">
        <f t="shared" si="129"/>
        <v>49.399999999999991</v>
      </c>
      <c r="X2077">
        <f t="shared" si="130"/>
        <v>1.416185354</v>
      </c>
      <c r="Y2077">
        <f t="shared" si="131"/>
        <v>10</v>
      </c>
      <c r="Z2077" s="1">
        <v>27</v>
      </c>
      <c r="AA2077">
        <v>73</v>
      </c>
      <c r="AB2077">
        <v>0.36990000000000001</v>
      </c>
      <c r="AC2077">
        <v>27</v>
      </c>
      <c r="AD2077">
        <v>71</v>
      </c>
      <c r="AE2077">
        <v>0.38030000000000003</v>
      </c>
      <c r="AF2077" t="s">
        <v>2590</v>
      </c>
      <c r="AG2077" t="s">
        <v>2590</v>
      </c>
    </row>
    <row r="2078" spans="1:33">
      <c r="A2078" s="2" t="s">
        <v>63</v>
      </c>
      <c r="B2078" s="2" t="s">
        <v>35</v>
      </c>
      <c r="C2078" s="1">
        <v>0.44311141399999998</v>
      </c>
      <c r="D2078">
        <v>0.57053969199999999</v>
      </c>
      <c r="E2078">
        <v>0.59266330599999995</v>
      </c>
      <c r="F2078" s="1" t="s">
        <v>64</v>
      </c>
      <c r="G2078" s="1">
        <v>0.89618138400000003</v>
      </c>
      <c r="H2078" s="1">
        <v>29.7</v>
      </c>
      <c r="I2078" s="1">
        <v>83.8</v>
      </c>
      <c r="J2078" s="1">
        <v>0.53543813733333334</v>
      </c>
      <c r="K2078" s="1">
        <v>0.52542897600000005</v>
      </c>
      <c r="L2078" s="1">
        <v>0.60774736299999998</v>
      </c>
      <c r="M2078" s="3">
        <v>0.62585751700000003</v>
      </c>
      <c r="N2078" s="1" t="s">
        <v>36</v>
      </c>
      <c r="O2078" s="1">
        <v>0.98848810399999998</v>
      </c>
      <c r="P2078" s="1">
        <v>54.2</v>
      </c>
      <c r="Q2078" s="1">
        <v>130.30000000000001</v>
      </c>
      <c r="R2078" s="1">
        <v>0.58634461866666665</v>
      </c>
      <c r="S2078" s="1">
        <v>9.6241609705888756E-2</v>
      </c>
      <c r="T2078" t="s">
        <v>2225</v>
      </c>
      <c r="U2078" s="1">
        <v>1023</v>
      </c>
      <c r="V2078">
        <f t="shared" si="128"/>
        <v>0.33443062596801781</v>
      </c>
      <c r="W2078" s="1">
        <f t="shared" si="129"/>
        <v>24.500000000000004</v>
      </c>
      <c r="X2078">
        <f t="shared" si="130"/>
        <v>9.2306719999999953E-2</v>
      </c>
      <c r="Y2078">
        <f t="shared" si="131"/>
        <v>46.500000000000014</v>
      </c>
      <c r="Z2078" s="1">
        <v>4</v>
      </c>
      <c r="AA2078">
        <v>96</v>
      </c>
      <c r="AB2078">
        <v>4.1700000000000001E-2</v>
      </c>
      <c r="AC2078">
        <v>7</v>
      </c>
      <c r="AD2078">
        <v>90</v>
      </c>
      <c r="AE2078">
        <v>7.7799999999999994E-2</v>
      </c>
      <c r="AF2078" t="s">
        <v>2590</v>
      </c>
      <c r="AG2078" t="s">
        <v>2589</v>
      </c>
    </row>
    <row r="2079" spans="1:33">
      <c r="A2079" s="2" t="s">
        <v>63</v>
      </c>
      <c r="B2079" s="2" t="s">
        <v>37</v>
      </c>
      <c r="C2079" s="1">
        <v>0.44311141399999998</v>
      </c>
      <c r="D2079">
        <v>0.57053969199999999</v>
      </c>
      <c r="E2079">
        <v>0.59266330599999995</v>
      </c>
      <c r="F2079" s="1" t="s">
        <v>64</v>
      </c>
      <c r="G2079" s="1">
        <v>0.89618138400000003</v>
      </c>
      <c r="H2079" s="1">
        <v>29.7</v>
      </c>
      <c r="I2079" s="1">
        <v>83.8</v>
      </c>
      <c r="J2079" s="1">
        <v>0.53543813733333334</v>
      </c>
      <c r="K2079" s="1">
        <v>0.50856695500000004</v>
      </c>
      <c r="L2079" s="1">
        <v>0.654733224</v>
      </c>
      <c r="M2079" s="3">
        <v>0.61418267199999999</v>
      </c>
      <c r="N2079" s="1" t="s">
        <v>38</v>
      </c>
      <c r="O2079" s="1">
        <v>0.64065708399999999</v>
      </c>
      <c r="P2079" s="1">
        <v>41.9</v>
      </c>
      <c r="Q2079" s="1">
        <v>146.1</v>
      </c>
      <c r="R2079" s="1">
        <v>0.59249428366666679</v>
      </c>
      <c r="S2079" s="1">
        <v>0.10879366613585403</v>
      </c>
      <c r="T2079" t="s">
        <v>2226</v>
      </c>
      <c r="U2079" s="1">
        <v>38528</v>
      </c>
      <c r="V2079">
        <f t="shared" si="128"/>
        <v>0.50953071836019026</v>
      </c>
      <c r="W2079" s="1">
        <f t="shared" si="129"/>
        <v>12.2</v>
      </c>
      <c r="X2079">
        <f t="shared" si="130"/>
        <v>0.25552430000000004</v>
      </c>
      <c r="Y2079">
        <f t="shared" si="131"/>
        <v>62.3</v>
      </c>
      <c r="Z2079" s="1">
        <v>13</v>
      </c>
      <c r="AA2079">
        <v>87</v>
      </c>
      <c r="AB2079">
        <v>0.14940000000000001</v>
      </c>
      <c r="AC2079">
        <v>16</v>
      </c>
      <c r="AD2079">
        <v>80</v>
      </c>
      <c r="AE2079">
        <v>0.2</v>
      </c>
      <c r="AF2079" t="s">
        <v>2590</v>
      </c>
      <c r="AG2079" t="s">
        <v>2590</v>
      </c>
    </row>
    <row r="2080" spans="1:33">
      <c r="A2080" s="2" t="s">
        <v>63</v>
      </c>
      <c r="B2080" s="2" t="s">
        <v>39</v>
      </c>
      <c r="C2080" s="1">
        <v>0.44311141399999998</v>
      </c>
      <c r="D2080">
        <v>0.57053969199999999</v>
      </c>
      <c r="E2080">
        <v>0.59266330599999995</v>
      </c>
      <c r="F2080" s="1" t="s">
        <v>64</v>
      </c>
      <c r="G2080" s="1">
        <v>0.89618138400000003</v>
      </c>
      <c r="H2080" s="1">
        <v>29.7</v>
      </c>
      <c r="I2080" s="1">
        <v>83.8</v>
      </c>
      <c r="J2080" s="1">
        <v>0.53543813733333334</v>
      </c>
      <c r="K2080" s="1">
        <v>0.60811616199999996</v>
      </c>
      <c r="L2080" s="1">
        <v>0.721105683</v>
      </c>
      <c r="M2080" s="3">
        <v>0.741016169</v>
      </c>
      <c r="N2080" s="1" t="s">
        <v>40</v>
      </c>
      <c r="O2080" s="1">
        <v>1.0601915180000001</v>
      </c>
      <c r="P2080" s="1">
        <v>34</v>
      </c>
      <c r="Q2080" s="1">
        <v>73.099999999999994</v>
      </c>
      <c r="R2080" s="1">
        <v>0.69007933799999999</v>
      </c>
      <c r="S2080" s="1">
        <v>0.268151555036797</v>
      </c>
      <c r="T2080" t="s">
        <v>2227</v>
      </c>
      <c r="U2080" s="1">
        <v>869</v>
      </c>
      <c r="V2080">
        <f t="shared" si="128"/>
        <v>0.32655775293874068</v>
      </c>
      <c r="W2080" s="1">
        <f t="shared" si="129"/>
        <v>4.3000000000000007</v>
      </c>
      <c r="X2080">
        <f t="shared" si="130"/>
        <v>0.16401013400000009</v>
      </c>
      <c r="Y2080">
        <f t="shared" si="131"/>
        <v>10.700000000000003</v>
      </c>
      <c r="Z2080" s="1">
        <v>2</v>
      </c>
      <c r="AA2080">
        <v>98</v>
      </c>
      <c r="AB2080">
        <v>2.0400000000000001E-2</v>
      </c>
      <c r="AC2080">
        <v>4</v>
      </c>
      <c r="AD2080">
        <v>95</v>
      </c>
      <c r="AE2080">
        <v>4.2099999999999999E-2</v>
      </c>
      <c r="AF2080" t="s">
        <v>2590</v>
      </c>
      <c r="AG2080" t="s">
        <v>2589</v>
      </c>
    </row>
    <row r="2081" spans="1:33">
      <c r="A2081" s="2" t="s">
        <v>63</v>
      </c>
      <c r="B2081" s="2" t="s">
        <v>41</v>
      </c>
      <c r="C2081" s="1">
        <v>0.44311141399999998</v>
      </c>
      <c r="D2081">
        <v>0.57053969199999999</v>
      </c>
      <c r="E2081">
        <v>0.59266330599999995</v>
      </c>
      <c r="F2081" s="1" t="s">
        <v>64</v>
      </c>
      <c r="G2081" s="1">
        <v>0.89618138400000003</v>
      </c>
      <c r="H2081" s="1">
        <v>29.7</v>
      </c>
      <c r="I2081" s="1">
        <v>83.8</v>
      </c>
      <c r="J2081" s="1">
        <v>0.53543813733333334</v>
      </c>
      <c r="K2081" s="1">
        <v>0.60402244999999999</v>
      </c>
      <c r="L2081" s="1">
        <v>0.669189213</v>
      </c>
      <c r="M2081" s="3">
        <v>0.69821693799999995</v>
      </c>
      <c r="N2081" s="1" t="s">
        <v>42</v>
      </c>
      <c r="O2081" s="1">
        <v>1.3243902439999999</v>
      </c>
      <c r="P2081" s="1">
        <v>23</v>
      </c>
      <c r="Q2081" s="1">
        <v>41</v>
      </c>
      <c r="R2081" s="1">
        <v>0.65714286700000002</v>
      </c>
      <c r="S2081" s="1">
        <v>0.21625369067027311</v>
      </c>
      <c r="T2081" t="s">
        <v>2228</v>
      </c>
      <c r="U2081" s="1">
        <v>261</v>
      </c>
      <c r="V2081">
        <f t="shared" si="128"/>
        <v>0.26851561192647566</v>
      </c>
      <c r="W2081" s="1">
        <f t="shared" si="129"/>
        <v>6.6999999999999993</v>
      </c>
      <c r="X2081">
        <f t="shared" si="130"/>
        <v>0.42820885999999991</v>
      </c>
      <c r="Y2081">
        <f t="shared" si="131"/>
        <v>42.8</v>
      </c>
      <c r="Z2081" s="1">
        <v>0</v>
      </c>
      <c r="AA2081">
        <v>100</v>
      </c>
      <c r="AB2081">
        <v>0</v>
      </c>
      <c r="AC2081">
        <v>0</v>
      </c>
      <c r="AD2081">
        <v>113</v>
      </c>
      <c r="AE2081">
        <v>0</v>
      </c>
      <c r="AF2081" t="s">
        <v>2590</v>
      </c>
      <c r="AG2081" t="s">
        <v>2591</v>
      </c>
    </row>
    <row r="2082" spans="1:33">
      <c r="A2082" s="2" t="s">
        <v>63</v>
      </c>
      <c r="B2082" s="2" t="s">
        <v>43</v>
      </c>
      <c r="C2082" s="1">
        <v>0.44311141399999998</v>
      </c>
      <c r="D2082">
        <v>0.57053969199999999</v>
      </c>
      <c r="E2082">
        <v>0.59266330599999995</v>
      </c>
      <c r="F2082" s="1" t="s">
        <v>64</v>
      </c>
      <c r="G2082" s="1">
        <v>0.89618138400000003</v>
      </c>
      <c r="H2082" s="1">
        <v>29.7</v>
      </c>
      <c r="I2082" s="1">
        <v>83.8</v>
      </c>
      <c r="J2082" s="1">
        <v>0.53543813733333334</v>
      </c>
      <c r="K2082" s="1">
        <v>0.54180634699999997</v>
      </c>
      <c r="L2082" s="1">
        <v>0.59470779900000004</v>
      </c>
      <c r="M2082" s="3">
        <v>0.69518155599999998</v>
      </c>
      <c r="N2082" s="1" t="s">
        <v>44</v>
      </c>
      <c r="O2082" s="1">
        <v>1.7403685090000001</v>
      </c>
      <c r="P2082" s="1">
        <v>41.2</v>
      </c>
      <c r="Q2082" s="1">
        <v>59.7</v>
      </c>
      <c r="R2082" s="1">
        <v>0.61056523400000007</v>
      </c>
      <c r="S2082" s="1">
        <v>0.14434257438088197</v>
      </c>
      <c r="T2082" t="s">
        <v>2229</v>
      </c>
      <c r="U2082" s="1">
        <v>1500</v>
      </c>
      <c r="V2082">
        <f t="shared" si="128"/>
        <v>0.35289902878396462</v>
      </c>
      <c r="W2082" s="1">
        <f t="shared" si="129"/>
        <v>11.500000000000004</v>
      </c>
      <c r="X2082">
        <f t="shared" si="130"/>
        <v>0.84418712500000004</v>
      </c>
      <c r="Y2082">
        <f t="shared" si="131"/>
        <v>24.099999999999994</v>
      </c>
      <c r="Z2082" s="1">
        <v>6</v>
      </c>
      <c r="AA2082">
        <v>94</v>
      </c>
      <c r="AB2082">
        <v>6.3799999999999996E-2</v>
      </c>
      <c r="AC2082">
        <v>6</v>
      </c>
      <c r="AD2082">
        <v>129</v>
      </c>
      <c r="AE2082">
        <v>4.65E-2</v>
      </c>
      <c r="AF2082" t="s">
        <v>2590</v>
      </c>
      <c r="AG2082" t="s">
        <v>2589</v>
      </c>
    </row>
    <row r="2083" spans="1:33">
      <c r="A2083" s="2" t="s">
        <v>63</v>
      </c>
      <c r="B2083" s="2" t="s">
        <v>45</v>
      </c>
      <c r="C2083" s="1">
        <v>0.44311141399999998</v>
      </c>
      <c r="D2083">
        <v>0.57053969199999999</v>
      </c>
      <c r="E2083">
        <v>0.59266330599999995</v>
      </c>
      <c r="F2083" s="1" t="s">
        <v>64</v>
      </c>
      <c r="G2083" s="1">
        <v>0.89618138400000003</v>
      </c>
      <c r="H2083" s="1">
        <v>29.7</v>
      </c>
      <c r="I2083" s="1">
        <v>83.8</v>
      </c>
      <c r="J2083" s="1">
        <v>0.53543813733333334</v>
      </c>
      <c r="K2083" s="1">
        <v>0.50907007599999998</v>
      </c>
      <c r="L2083" s="1">
        <v>0.68428041399999995</v>
      </c>
      <c r="M2083" s="3">
        <v>0.67454742099999998</v>
      </c>
      <c r="N2083" s="1" t="s">
        <v>46</v>
      </c>
      <c r="O2083" s="1">
        <v>0.98140043799999999</v>
      </c>
      <c r="P2083" s="1">
        <v>38.9</v>
      </c>
      <c r="Q2083" s="1">
        <v>91.4</v>
      </c>
      <c r="R2083" s="1">
        <v>0.62263263699999993</v>
      </c>
      <c r="S2083" s="1">
        <v>0.15489514267156587</v>
      </c>
      <c r="T2083" t="s">
        <v>2230</v>
      </c>
      <c r="U2083" s="1">
        <v>406</v>
      </c>
      <c r="V2083">
        <f t="shared" si="128"/>
        <v>0.28983622595302161</v>
      </c>
      <c r="W2083" s="1">
        <f t="shared" si="129"/>
        <v>9.1999999999999993</v>
      </c>
      <c r="X2083">
        <f t="shared" si="130"/>
        <v>8.5219053999999961E-2</v>
      </c>
      <c r="Y2083">
        <f t="shared" si="131"/>
        <v>7.6000000000000085</v>
      </c>
      <c r="Z2083" s="1">
        <v>5</v>
      </c>
      <c r="AA2083">
        <v>95</v>
      </c>
      <c r="AB2083">
        <v>5.2600000000000001E-2</v>
      </c>
      <c r="AC2083">
        <v>7</v>
      </c>
      <c r="AD2083">
        <v>108</v>
      </c>
      <c r="AE2083">
        <v>6.4799999999999996E-2</v>
      </c>
      <c r="AF2083" t="s">
        <v>2590</v>
      </c>
      <c r="AG2083" t="s">
        <v>2589</v>
      </c>
    </row>
    <row r="2084" spans="1:33">
      <c r="A2084" s="2" t="s">
        <v>63</v>
      </c>
      <c r="B2084" s="2" t="s">
        <v>47</v>
      </c>
      <c r="C2084" s="1">
        <v>0.44311141399999998</v>
      </c>
      <c r="D2084">
        <v>0.57053969199999999</v>
      </c>
      <c r="E2084">
        <v>0.59266330599999995</v>
      </c>
      <c r="F2084" s="1" t="s">
        <v>64</v>
      </c>
      <c r="G2084" s="1">
        <v>0.89618138400000003</v>
      </c>
      <c r="H2084" s="1">
        <v>29.7</v>
      </c>
      <c r="I2084" s="1">
        <v>83.8</v>
      </c>
      <c r="J2084" s="1">
        <v>0.53543813733333334</v>
      </c>
      <c r="K2084" s="1">
        <v>0.50612154099999995</v>
      </c>
      <c r="L2084" s="1">
        <v>0.55940039100000005</v>
      </c>
      <c r="M2084" s="3">
        <v>0.66789001699999995</v>
      </c>
      <c r="N2084" s="1" t="s">
        <v>48</v>
      </c>
      <c r="O2084" s="1">
        <v>1.242622951</v>
      </c>
      <c r="P2084" s="1">
        <v>17.8</v>
      </c>
      <c r="Q2084" s="1">
        <v>30.5</v>
      </c>
      <c r="R2084" s="1">
        <v>0.57780398300000002</v>
      </c>
      <c r="S2084" s="1">
        <v>9.8759395397107638E-2</v>
      </c>
      <c r="T2084" t="s">
        <v>2231</v>
      </c>
      <c r="U2084" s="1">
        <v>11640</v>
      </c>
      <c r="V2084">
        <f t="shared" si="128"/>
        <v>0.45177255336820771</v>
      </c>
      <c r="W2084" s="1">
        <f t="shared" si="129"/>
        <v>11.899999999999999</v>
      </c>
      <c r="X2084">
        <f t="shared" si="130"/>
        <v>0.34644156699999995</v>
      </c>
      <c r="Y2084">
        <f t="shared" si="131"/>
        <v>53.3</v>
      </c>
      <c r="Z2084" s="1">
        <v>1</v>
      </c>
      <c r="AA2084">
        <v>99</v>
      </c>
      <c r="AB2084">
        <v>1.01E-2</v>
      </c>
      <c r="AC2084">
        <v>2</v>
      </c>
      <c r="AD2084">
        <v>120</v>
      </c>
      <c r="AE2084">
        <v>1.67E-2</v>
      </c>
      <c r="AF2084" t="s">
        <v>2590</v>
      </c>
      <c r="AG2084" t="s">
        <v>2590</v>
      </c>
    </row>
    <row r="2085" spans="1:33">
      <c r="A2085" s="2" t="s">
        <v>63</v>
      </c>
      <c r="B2085" s="2" t="s">
        <v>49</v>
      </c>
      <c r="C2085" s="1">
        <v>0.44311141399999998</v>
      </c>
      <c r="D2085">
        <v>0.57053969199999999</v>
      </c>
      <c r="E2085">
        <v>0.59266330599999995</v>
      </c>
      <c r="F2085" s="1" t="s">
        <v>64</v>
      </c>
      <c r="G2085" s="1">
        <v>0.89618138400000003</v>
      </c>
      <c r="H2085" s="1">
        <v>29.7</v>
      </c>
      <c r="I2085" s="1">
        <v>83.8</v>
      </c>
      <c r="J2085" s="1">
        <v>0.53543813733333334</v>
      </c>
      <c r="K2085" s="1">
        <v>0.50647110500000003</v>
      </c>
      <c r="L2085" s="1">
        <v>0.55713136799999996</v>
      </c>
      <c r="M2085" s="3">
        <v>0.63402682300000002</v>
      </c>
      <c r="N2085" s="1" t="s">
        <v>50</v>
      </c>
      <c r="O2085" s="1">
        <v>1.876675603</v>
      </c>
      <c r="P2085" s="1">
        <v>28.8</v>
      </c>
      <c r="Q2085" s="1">
        <v>37.299999999999997</v>
      </c>
      <c r="R2085" s="1">
        <v>0.56587643200000004</v>
      </c>
      <c r="S2085" s="1">
        <v>7.6845130845836676E-2</v>
      </c>
      <c r="T2085" t="s">
        <v>2232</v>
      </c>
      <c r="U2085" s="1">
        <v>8216</v>
      </c>
      <c r="V2085">
        <f t="shared" si="128"/>
        <v>0.43496227006546906</v>
      </c>
      <c r="W2085" s="1">
        <f t="shared" si="129"/>
        <v>0.89999999999999858</v>
      </c>
      <c r="X2085">
        <f t="shared" si="130"/>
        <v>0.980494219</v>
      </c>
      <c r="Y2085">
        <f t="shared" si="131"/>
        <v>46.5</v>
      </c>
      <c r="Z2085" s="1">
        <v>8</v>
      </c>
      <c r="AA2085">
        <v>92</v>
      </c>
      <c r="AB2085">
        <v>8.6999999999999994E-2</v>
      </c>
      <c r="AC2085">
        <v>10</v>
      </c>
      <c r="AD2085">
        <v>86</v>
      </c>
      <c r="AE2085">
        <v>0.1163</v>
      </c>
      <c r="AF2085" t="s">
        <v>2590</v>
      </c>
      <c r="AG2085" t="s">
        <v>2590</v>
      </c>
    </row>
    <row r="2086" spans="1:33">
      <c r="A2086" s="2" t="s">
        <v>63</v>
      </c>
      <c r="B2086" s="2" t="s">
        <v>51</v>
      </c>
      <c r="C2086" s="1">
        <v>0.44311141399999998</v>
      </c>
      <c r="D2086">
        <v>0.57053969199999999</v>
      </c>
      <c r="E2086">
        <v>0.59266330599999995</v>
      </c>
      <c r="F2086" s="1" t="s">
        <v>64</v>
      </c>
      <c r="G2086" s="1">
        <v>0.89618138400000003</v>
      </c>
      <c r="H2086" s="1">
        <v>29.7</v>
      </c>
      <c r="I2086" s="1">
        <v>83.8</v>
      </c>
      <c r="J2086" s="1">
        <v>0.53543813733333334</v>
      </c>
      <c r="K2086" s="1">
        <v>0.60067161999999996</v>
      </c>
      <c r="L2086" s="1">
        <v>0.68094129999999997</v>
      </c>
      <c r="M2086" s="3">
        <v>0.73595931299999995</v>
      </c>
      <c r="N2086" s="1" t="s">
        <v>52</v>
      </c>
      <c r="O2086" s="1">
        <v>1.858638743</v>
      </c>
      <c r="P2086" s="1">
        <v>29.4</v>
      </c>
      <c r="Q2086" s="1">
        <v>38.200000000000003</v>
      </c>
      <c r="R2086" s="1">
        <v>0.67252407766666666</v>
      </c>
      <c r="S2086" s="1">
        <v>0.23989055668344292</v>
      </c>
      <c r="T2086" t="s">
        <v>2233</v>
      </c>
      <c r="U2086" s="1">
        <v>223</v>
      </c>
      <c r="V2086">
        <f t="shared" si="128"/>
        <v>0.26092276256090674</v>
      </c>
      <c r="W2086" s="1">
        <f t="shared" si="129"/>
        <v>0.30000000000000071</v>
      </c>
      <c r="X2086">
        <f t="shared" si="130"/>
        <v>0.96245735899999996</v>
      </c>
      <c r="Y2086">
        <f t="shared" si="131"/>
        <v>45.599999999999994</v>
      </c>
      <c r="Z2086" s="1">
        <v>3</v>
      </c>
      <c r="AA2086">
        <v>97</v>
      </c>
      <c r="AB2086">
        <v>3.09E-2</v>
      </c>
      <c r="AC2086">
        <v>4</v>
      </c>
      <c r="AD2086">
        <v>101</v>
      </c>
      <c r="AE2086">
        <v>3.9600000000000003E-2</v>
      </c>
      <c r="AF2086" t="s">
        <v>2590</v>
      </c>
      <c r="AG2086" t="s">
        <v>2591</v>
      </c>
    </row>
    <row r="2087" spans="1:33">
      <c r="A2087" s="2" t="s">
        <v>63</v>
      </c>
      <c r="B2087" s="2" t="s">
        <v>53</v>
      </c>
      <c r="C2087" s="1">
        <v>0.44311141399999998</v>
      </c>
      <c r="D2087">
        <v>0.57053969199999999</v>
      </c>
      <c r="E2087">
        <v>0.59266330599999995</v>
      </c>
      <c r="F2087" s="1" t="s">
        <v>64</v>
      </c>
      <c r="G2087" s="1">
        <v>0.89618138400000003</v>
      </c>
      <c r="H2087" s="1">
        <v>29.7</v>
      </c>
      <c r="I2087" s="1">
        <v>83.8</v>
      </c>
      <c r="J2087" s="1">
        <v>0.53543813733333334</v>
      </c>
      <c r="K2087" s="1">
        <v>0.54695832700000002</v>
      </c>
      <c r="L2087" s="1">
        <v>0.659790137</v>
      </c>
      <c r="M2087" s="3">
        <v>0.70662085500000005</v>
      </c>
      <c r="N2087" s="1" t="s">
        <v>54</v>
      </c>
      <c r="O2087" s="1">
        <v>2.5053995680000001</v>
      </c>
      <c r="P2087" s="1">
        <v>43.9</v>
      </c>
      <c r="Q2087" s="1">
        <v>46.3</v>
      </c>
      <c r="R2087" s="1">
        <v>0.63778977300000006</v>
      </c>
      <c r="S2087" s="1">
        <v>0.17814641800051728</v>
      </c>
      <c r="T2087" t="s">
        <v>2234</v>
      </c>
      <c r="U2087" s="1">
        <v>389</v>
      </c>
      <c r="V2087">
        <f t="shared" si="128"/>
        <v>0.28777217792507864</v>
      </c>
      <c r="W2087" s="1">
        <f t="shared" si="129"/>
        <v>14.2</v>
      </c>
      <c r="X2087">
        <f t="shared" si="130"/>
        <v>1.6092181839999999</v>
      </c>
      <c r="Y2087">
        <f t="shared" si="131"/>
        <v>37.5</v>
      </c>
      <c r="Z2087" s="1">
        <v>1</v>
      </c>
      <c r="AA2087">
        <v>99</v>
      </c>
      <c r="AB2087">
        <v>1.01E-2</v>
      </c>
      <c r="AC2087">
        <v>2</v>
      </c>
      <c r="AD2087">
        <v>103</v>
      </c>
      <c r="AE2087">
        <v>1.9400000000000001E-2</v>
      </c>
      <c r="AF2087" t="s">
        <v>2590</v>
      </c>
      <c r="AG2087" t="s">
        <v>2593</v>
      </c>
    </row>
    <row r="2088" spans="1:33">
      <c r="A2088" s="2" t="s">
        <v>63</v>
      </c>
      <c r="B2088" s="2" t="s">
        <v>55</v>
      </c>
      <c r="C2088" s="1">
        <v>0.44311141399999998</v>
      </c>
      <c r="D2088">
        <v>0.57053969199999999</v>
      </c>
      <c r="E2088">
        <v>0.59266330599999995</v>
      </c>
      <c r="F2088" s="1" t="s">
        <v>64</v>
      </c>
      <c r="G2088" s="1">
        <v>0.89618138400000003</v>
      </c>
      <c r="H2088" s="1">
        <v>29.7</v>
      </c>
      <c r="I2088" s="1">
        <v>83.8</v>
      </c>
      <c r="J2088" s="1">
        <v>0.53543813733333334</v>
      </c>
      <c r="K2088" s="1">
        <v>0.52971861799999997</v>
      </c>
      <c r="L2088" s="1">
        <v>0.62258244500000004</v>
      </c>
      <c r="M2088" s="3">
        <v>0.63939760400000001</v>
      </c>
      <c r="N2088" s="1" t="s">
        <v>56</v>
      </c>
      <c r="O2088" s="1">
        <v>1.0796934869999999</v>
      </c>
      <c r="P2088" s="1">
        <v>55.3</v>
      </c>
      <c r="Q2088" s="1">
        <v>130.5</v>
      </c>
      <c r="R2088" s="1">
        <v>0.59723288899999993</v>
      </c>
      <c r="S2088" s="1">
        <v>0.11132542626942617</v>
      </c>
      <c r="T2088" t="s">
        <v>2235</v>
      </c>
      <c r="U2088" s="1">
        <v>11991</v>
      </c>
      <c r="V2088">
        <f t="shared" si="128"/>
        <v>0.45320615588664087</v>
      </c>
      <c r="W2088" s="1">
        <f t="shared" si="129"/>
        <v>25.599999999999998</v>
      </c>
      <c r="X2088">
        <f t="shared" si="130"/>
        <v>0.18351210299999987</v>
      </c>
      <c r="Y2088">
        <f t="shared" si="131"/>
        <v>46.7</v>
      </c>
      <c r="Z2088" s="1">
        <v>11</v>
      </c>
      <c r="AA2088">
        <v>89</v>
      </c>
      <c r="AB2088">
        <v>0.1236</v>
      </c>
      <c r="AC2088">
        <v>13</v>
      </c>
      <c r="AD2088">
        <v>84</v>
      </c>
      <c r="AE2088">
        <v>0.15479999999999999</v>
      </c>
      <c r="AF2088" t="s">
        <v>2590</v>
      </c>
      <c r="AG2088" t="s">
        <v>2592</v>
      </c>
    </row>
    <row r="2089" spans="1:33">
      <c r="A2089" s="2" t="s">
        <v>63</v>
      </c>
      <c r="B2089" s="2" t="s">
        <v>57</v>
      </c>
      <c r="C2089" s="1">
        <v>0.44311141399999998</v>
      </c>
      <c r="D2089">
        <v>0.57053969199999999</v>
      </c>
      <c r="E2089">
        <v>0.59266330599999995</v>
      </c>
      <c r="F2089" s="1" t="s">
        <v>64</v>
      </c>
      <c r="G2089" s="1">
        <v>0.89618138400000003</v>
      </c>
      <c r="H2089" s="1">
        <v>29.7</v>
      </c>
      <c r="I2089" s="1">
        <v>83.8</v>
      </c>
      <c r="J2089" s="1">
        <v>0.53543813733333334</v>
      </c>
      <c r="K2089" s="1">
        <v>0.528732855</v>
      </c>
      <c r="L2089" s="1">
        <v>0.63387497599999998</v>
      </c>
      <c r="M2089" s="3">
        <v>0.63337360200000004</v>
      </c>
      <c r="N2089" s="1" t="s">
        <v>58</v>
      </c>
      <c r="O2089" s="1">
        <v>1.386610879</v>
      </c>
      <c r="P2089" s="1">
        <v>69</v>
      </c>
      <c r="Q2089" s="1">
        <v>119.5</v>
      </c>
      <c r="R2089" s="1">
        <v>0.59866047766666663</v>
      </c>
      <c r="S2089" s="1">
        <v>0.11401630391608369</v>
      </c>
      <c r="T2089" t="s">
        <v>2236</v>
      </c>
      <c r="U2089" s="1">
        <v>1266</v>
      </c>
      <c r="V2089">
        <f t="shared" si="128"/>
        <v>0.34471485618681519</v>
      </c>
      <c r="W2089" s="1">
        <f t="shared" si="129"/>
        <v>39.299999999999997</v>
      </c>
      <c r="X2089">
        <f t="shared" si="130"/>
        <v>0.49042949499999999</v>
      </c>
      <c r="Y2089">
        <f t="shared" si="131"/>
        <v>35.700000000000003</v>
      </c>
      <c r="Z2089" s="1">
        <v>7</v>
      </c>
      <c r="AA2089">
        <v>93</v>
      </c>
      <c r="AB2089">
        <v>7.5300000000000006E-2</v>
      </c>
      <c r="AC2089">
        <v>10</v>
      </c>
      <c r="AD2089">
        <v>93</v>
      </c>
      <c r="AE2089">
        <v>0.1075</v>
      </c>
      <c r="AF2089" t="s">
        <v>2590</v>
      </c>
      <c r="AG2089" t="s">
        <v>2589</v>
      </c>
    </row>
    <row r="2090" spans="1:33">
      <c r="A2090" s="2" t="s">
        <v>63</v>
      </c>
      <c r="B2090" s="2" t="s">
        <v>59</v>
      </c>
      <c r="C2090" s="1">
        <v>0.44311141399999998</v>
      </c>
      <c r="D2090">
        <v>0.57053969199999999</v>
      </c>
      <c r="E2090">
        <v>0.59266330599999995</v>
      </c>
      <c r="F2090" s="1" t="s">
        <v>64</v>
      </c>
      <c r="G2090" s="1">
        <v>0.89618138400000003</v>
      </c>
      <c r="H2090" s="1">
        <v>29.7</v>
      </c>
      <c r="I2090" s="1">
        <v>83.8</v>
      </c>
      <c r="J2090" s="1">
        <v>0.53543813733333334</v>
      </c>
      <c r="K2090" s="1">
        <v>0.56225432799999997</v>
      </c>
      <c r="L2090" s="1">
        <v>0.68100706499999997</v>
      </c>
      <c r="M2090" s="3">
        <v>0.67505263699999996</v>
      </c>
      <c r="N2090" s="1" t="s">
        <v>60</v>
      </c>
      <c r="O2090" s="1">
        <v>1.1501154730000001</v>
      </c>
      <c r="P2090" s="1">
        <v>60.5</v>
      </c>
      <c r="Q2090" s="1">
        <v>129.9</v>
      </c>
      <c r="R2090" s="1">
        <v>0.63943801</v>
      </c>
      <c r="S2090" s="1">
        <v>0.18217045950581581</v>
      </c>
      <c r="T2090" t="s">
        <v>2237</v>
      </c>
      <c r="U2090" s="1">
        <v>1481</v>
      </c>
      <c r="V2090">
        <f t="shared" si="128"/>
        <v>0.35228389539124538</v>
      </c>
      <c r="W2090" s="1">
        <f t="shared" si="129"/>
        <v>30.8</v>
      </c>
      <c r="X2090">
        <f t="shared" si="130"/>
        <v>0.25393408900000003</v>
      </c>
      <c r="Y2090">
        <f t="shared" si="131"/>
        <v>46.100000000000009</v>
      </c>
      <c r="Z2090" s="1">
        <v>5</v>
      </c>
      <c r="AA2090">
        <v>95</v>
      </c>
      <c r="AB2090">
        <v>5.2600000000000001E-2</v>
      </c>
      <c r="AC2090">
        <v>7</v>
      </c>
      <c r="AD2090">
        <v>115</v>
      </c>
      <c r="AE2090">
        <v>6.0900000000000003E-2</v>
      </c>
      <c r="AF2090" t="s">
        <v>2590</v>
      </c>
      <c r="AG2090" t="s">
        <v>2589</v>
      </c>
    </row>
    <row r="2091" spans="1:33">
      <c r="A2091" s="2" t="s">
        <v>63</v>
      </c>
      <c r="B2091" s="2" t="s">
        <v>61</v>
      </c>
      <c r="C2091" s="1">
        <v>0.44311141399999998</v>
      </c>
      <c r="D2091">
        <v>0.57053969199999999</v>
      </c>
      <c r="E2091">
        <v>0.59266330599999995</v>
      </c>
      <c r="F2091" s="1" t="s">
        <v>64</v>
      </c>
      <c r="G2091" s="1">
        <v>0.89618138400000003</v>
      </c>
      <c r="H2091" s="1">
        <v>29.7</v>
      </c>
      <c r="I2091" s="1">
        <v>83.8</v>
      </c>
      <c r="J2091" s="1">
        <v>0.53543813733333334</v>
      </c>
      <c r="K2091" s="1">
        <v>0.62063455999999995</v>
      </c>
      <c r="L2091" s="1">
        <v>0.67798104299999995</v>
      </c>
      <c r="M2091" s="3">
        <v>0.72175371600000005</v>
      </c>
      <c r="N2091" s="1" t="s">
        <v>62</v>
      </c>
      <c r="O2091" s="1">
        <v>7.5471698109999998</v>
      </c>
      <c r="P2091" s="1">
        <v>26.4</v>
      </c>
      <c r="Q2091" s="1">
        <v>10.6</v>
      </c>
      <c r="R2091" s="1">
        <v>0.6734564396666668</v>
      </c>
      <c r="S2091" s="1">
        <v>0.24438176123518429</v>
      </c>
      <c r="T2091" t="s">
        <v>2238</v>
      </c>
      <c r="U2091" s="1">
        <v>1951</v>
      </c>
      <c r="V2091">
        <f t="shared" si="128"/>
        <v>0.36558414104383535</v>
      </c>
      <c r="W2091" s="1">
        <f t="shared" si="129"/>
        <v>3.3000000000000007</v>
      </c>
      <c r="X2091">
        <f t="shared" si="130"/>
        <v>6.6509884269999997</v>
      </c>
      <c r="Y2091">
        <f t="shared" si="131"/>
        <v>73.2</v>
      </c>
      <c r="Z2091" s="1">
        <v>0</v>
      </c>
      <c r="AA2091">
        <v>100</v>
      </c>
      <c r="AB2091">
        <v>0</v>
      </c>
      <c r="AC2091">
        <v>0</v>
      </c>
      <c r="AD2091">
        <v>97</v>
      </c>
      <c r="AE2091">
        <v>0</v>
      </c>
      <c r="AF2091" t="s">
        <v>2590</v>
      </c>
      <c r="AG2091" t="s">
        <v>2588</v>
      </c>
    </row>
    <row r="2092" spans="1:33">
      <c r="A2092" s="2" t="s">
        <v>61</v>
      </c>
      <c r="B2092" s="2" t="s">
        <v>10</v>
      </c>
      <c r="C2092" s="1">
        <v>0.62063455999999995</v>
      </c>
      <c r="D2092">
        <v>0.67798104299999995</v>
      </c>
      <c r="E2092">
        <v>0.72175371600000005</v>
      </c>
      <c r="F2092" s="1" t="s">
        <v>62</v>
      </c>
      <c r="G2092" s="1">
        <v>7.5471698109999998</v>
      </c>
      <c r="H2092" s="1">
        <v>26.4</v>
      </c>
      <c r="I2092" s="1">
        <v>10.6</v>
      </c>
      <c r="J2092" s="1">
        <v>0.6734564396666668</v>
      </c>
      <c r="K2092" s="1">
        <v>0.52456325500000001</v>
      </c>
      <c r="L2092" s="1">
        <v>0.61925627999999999</v>
      </c>
      <c r="M2092" s="3">
        <v>0.72111139899999999</v>
      </c>
      <c r="N2092" s="1" t="s">
        <v>12</v>
      </c>
      <c r="O2092" s="1">
        <v>0.61690647499999995</v>
      </c>
      <c r="P2092" s="1">
        <v>30</v>
      </c>
      <c r="Q2092" s="1">
        <v>111.2</v>
      </c>
      <c r="R2092" s="1">
        <v>0.62164364466666666</v>
      </c>
      <c r="S2092" s="1">
        <v>0.11259976023481429</v>
      </c>
      <c r="T2092" t="s">
        <v>2239</v>
      </c>
      <c r="U2092" s="1">
        <v>13231</v>
      </c>
      <c r="V2092">
        <f t="shared" si="128"/>
        <v>0.45795474104871187</v>
      </c>
      <c r="W2092" s="1">
        <f t="shared" si="129"/>
        <v>3.6000000000000014</v>
      </c>
      <c r="X2092">
        <f t="shared" si="130"/>
        <v>6.9302633359999994</v>
      </c>
      <c r="Y2092">
        <f t="shared" si="131"/>
        <v>100.60000000000001</v>
      </c>
      <c r="Z2092" s="1">
        <v>2</v>
      </c>
      <c r="AA2092">
        <v>98</v>
      </c>
      <c r="AB2092">
        <v>2.0400000000000001E-2</v>
      </c>
      <c r="AC2092">
        <v>2</v>
      </c>
      <c r="AD2092">
        <v>150</v>
      </c>
      <c r="AE2092">
        <v>1.3299999999999999E-2</v>
      </c>
      <c r="AF2092" t="s">
        <v>2588</v>
      </c>
      <c r="AG2092" t="s">
        <v>2588</v>
      </c>
    </row>
    <row r="2093" spans="1:33">
      <c r="A2093" s="2" t="s">
        <v>61</v>
      </c>
      <c r="B2093" s="2" t="s">
        <v>13</v>
      </c>
      <c r="C2093" s="1">
        <v>0.62063455999999995</v>
      </c>
      <c r="D2093">
        <v>0.67798104299999995</v>
      </c>
      <c r="E2093">
        <v>0.72175371600000005</v>
      </c>
      <c r="F2093" s="1" t="s">
        <v>62</v>
      </c>
      <c r="G2093" s="1">
        <v>7.5471698109999998</v>
      </c>
      <c r="H2093" s="1">
        <v>26.4</v>
      </c>
      <c r="I2093" s="1">
        <v>10.6</v>
      </c>
      <c r="J2093" s="1">
        <v>0.6734564396666668</v>
      </c>
      <c r="K2093" s="1">
        <v>0.48695497399999998</v>
      </c>
      <c r="L2093" s="1">
        <v>0.54991327199999995</v>
      </c>
      <c r="M2093" s="3">
        <v>0.67282609299999996</v>
      </c>
      <c r="N2093" s="1" t="s">
        <v>14</v>
      </c>
      <c r="O2093" s="1">
        <v>1.6052009460000001</v>
      </c>
      <c r="P2093" s="1">
        <v>26.6</v>
      </c>
      <c r="Q2093" s="1">
        <v>42.3</v>
      </c>
      <c r="R2093" s="1">
        <v>0.56989811299999993</v>
      </c>
      <c r="S2093" s="1">
        <v>0.19148236987897857</v>
      </c>
      <c r="T2093" t="s">
        <v>2240</v>
      </c>
      <c r="U2093" s="1">
        <v>325</v>
      </c>
      <c r="V2093">
        <f t="shared" si="128"/>
        <v>0.27909815121987491</v>
      </c>
      <c r="W2093" s="1">
        <f t="shared" si="129"/>
        <v>0.20000000000000284</v>
      </c>
      <c r="X2093">
        <f t="shared" si="130"/>
        <v>5.9419688649999998</v>
      </c>
      <c r="Y2093">
        <f t="shared" si="131"/>
        <v>31.699999999999996</v>
      </c>
      <c r="Z2093" s="1">
        <v>0</v>
      </c>
      <c r="AA2093">
        <v>100</v>
      </c>
      <c r="AB2093">
        <v>0</v>
      </c>
      <c r="AC2093">
        <v>0</v>
      </c>
      <c r="AD2093">
        <v>99</v>
      </c>
      <c r="AE2093">
        <v>0</v>
      </c>
      <c r="AF2093" t="s">
        <v>2588</v>
      </c>
      <c r="AG2093" t="s">
        <v>2590</v>
      </c>
    </row>
    <row r="2094" spans="1:33">
      <c r="A2094" s="2" t="s">
        <v>61</v>
      </c>
      <c r="B2094" s="2" t="s">
        <v>15</v>
      </c>
      <c r="C2094" s="1">
        <v>0.62063455999999995</v>
      </c>
      <c r="D2094">
        <v>0.67798104299999995</v>
      </c>
      <c r="E2094">
        <v>0.72175371600000005</v>
      </c>
      <c r="F2094" s="1" t="s">
        <v>62</v>
      </c>
      <c r="G2094" s="1">
        <v>7.5471698109999998</v>
      </c>
      <c r="H2094" s="1">
        <v>26.4</v>
      </c>
      <c r="I2094" s="1">
        <v>10.6</v>
      </c>
      <c r="J2094" s="1">
        <v>0.6734564396666668</v>
      </c>
      <c r="K2094" s="1">
        <v>0.54560998800000005</v>
      </c>
      <c r="L2094" s="1">
        <v>0.66721428400000005</v>
      </c>
      <c r="M2094" s="3">
        <v>0.72650398400000005</v>
      </c>
      <c r="N2094" s="1" t="s">
        <v>16</v>
      </c>
      <c r="O2094" s="1">
        <v>5.1392405060000002</v>
      </c>
      <c r="P2094" s="1">
        <v>35.9</v>
      </c>
      <c r="Q2094" s="1">
        <v>15.8</v>
      </c>
      <c r="R2094" s="1">
        <v>0.64644275200000012</v>
      </c>
      <c r="S2094" s="1">
        <v>7.5941915627794593E-2</v>
      </c>
      <c r="T2094" t="s">
        <v>2241</v>
      </c>
      <c r="U2094" s="1">
        <v>1367</v>
      </c>
      <c r="V2094">
        <f t="shared" si="128"/>
        <v>0.34841872384086914</v>
      </c>
      <c r="W2094" s="1">
        <f t="shared" si="129"/>
        <v>9.5</v>
      </c>
      <c r="X2094">
        <f t="shared" si="130"/>
        <v>2.4079293049999997</v>
      </c>
      <c r="Y2094">
        <f t="shared" si="131"/>
        <v>5.2000000000000011</v>
      </c>
      <c r="Z2094" s="1">
        <v>0</v>
      </c>
      <c r="AA2094">
        <v>100</v>
      </c>
      <c r="AB2094">
        <v>0</v>
      </c>
      <c r="AC2094">
        <v>0</v>
      </c>
      <c r="AD2094">
        <v>95</v>
      </c>
      <c r="AE2094">
        <v>0</v>
      </c>
      <c r="AF2094" t="s">
        <v>2588</v>
      </c>
      <c r="AG2094" t="s">
        <v>2591</v>
      </c>
    </row>
    <row r="2095" spans="1:33">
      <c r="A2095" s="2" t="s">
        <v>61</v>
      </c>
      <c r="B2095" s="2" t="s">
        <v>17</v>
      </c>
      <c r="C2095" s="1">
        <v>0.62063455999999995</v>
      </c>
      <c r="D2095">
        <v>0.67798104299999995</v>
      </c>
      <c r="E2095">
        <v>0.72175371600000005</v>
      </c>
      <c r="F2095" s="1" t="s">
        <v>62</v>
      </c>
      <c r="G2095" s="1">
        <v>7.5471698109999998</v>
      </c>
      <c r="H2095" s="1">
        <v>26.4</v>
      </c>
      <c r="I2095" s="1">
        <v>10.6</v>
      </c>
      <c r="J2095" s="1">
        <v>0.6734564396666668</v>
      </c>
      <c r="K2095" s="1">
        <v>0.659112378</v>
      </c>
      <c r="L2095" s="1">
        <v>0.68333493499999998</v>
      </c>
      <c r="M2095" s="3">
        <v>0.70345495199999997</v>
      </c>
      <c r="N2095" s="1" t="s">
        <v>18</v>
      </c>
      <c r="O2095" s="1">
        <v>1.9463955639999999</v>
      </c>
      <c r="P2095" s="1">
        <v>46.3</v>
      </c>
      <c r="Q2095" s="1">
        <v>54.1</v>
      </c>
      <c r="R2095" s="1">
        <v>0.68196742166666668</v>
      </c>
      <c r="S2095" s="1">
        <v>4.2942419604820724E-2</v>
      </c>
      <c r="T2095" t="s">
        <v>2242</v>
      </c>
      <c r="U2095" s="1">
        <v>791</v>
      </c>
      <c r="V2095">
        <f t="shared" si="128"/>
        <v>0.3220196092775196</v>
      </c>
      <c r="W2095" s="1">
        <f t="shared" si="129"/>
        <v>19.899999999999999</v>
      </c>
      <c r="X2095">
        <f t="shared" si="130"/>
        <v>5.6007742470000004</v>
      </c>
      <c r="Y2095">
        <f t="shared" si="131"/>
        <v>43.5</v>
      </c>
      <c r="Z2095" s="1">
        <v>0</v>
      </c>
      <c r="AA2095">
        <v>100</v>
      </c>
      <c r="AB2095">
        <v>0</v>
      </c>
      <c r="AC2095">
        <v>0</v>
      </c>
      <c r="AD2095">
        <v>109</v>
      </c>
      <c r="AE2095">
        <v>0</v>
      </c>
      <c r="AF2095" t="s">
        <v>2588</v>
      </c>
      <c r="AG2095" t="s">
        <v>2591</v>
      </c>
    </row>
    <row r="2096" spans="1:33">
      <c r="A2096" s="2" t="s">
        <v>61</v>
      </c>
      <c r="B2096" s="2" t="s">
        <v>19</v>
      </c>
      <c r="C2096" s="1">
        <v>0.62063455999999995</v>
      </c>
      <c r="D2096">
        <v>0.67798104299999995</v>
      </c>
      <c r="E2096">
        <v>0.72175371600000005</v>
      </c>
      <c r="F2096" s="1" t="s">
        <v>62</v>
      </c>
      <c r="G2096" s="1">
        <v>7.5471698109999998</v>
      </c>
      <c r="H2096" s="1">
        <v>26.4</v>
      </c>
      <c r="I2096" s="1">
        <v>10.6</v>
      </c>
      <c r="J2096" s="1">
        <v>0.6734564396666668</v>
      </c>
      <c r="K2096" s="1">
        <v>0.49391595300000002</v>
      </c>
      <c r="L2096" s="1">
        <v>0.603599314</v>
      </c>
      <c r="M2096" s="3">
        <v>0.63481471599999995</v>
      </c>
      <c r="N2096" s="1" t="s">
        <v>20</v>
      </c>
      <c r="O2096" s="1">
        <v>1.2140902870000001</v>
      </c>
      <c r="P2096" s="1">
        <v>64.900000000000006</v>
      </c>
      <c r="Q2096" s="1">
        <v>146.19999999999999</v>
      </c>
      <c r="R2096" s="1">
        <v>0.57744332766666662</v>
      </c>
      <c r="S2096" s="1">
        <v>0.17072971823923883</v>
      </c>
      <c r="T2096" t="s">
        <v>2243</v>
      </c>
      <c r="U2096" s="1">
        <v>3390</v>
      </c>
      <c r="V2096">
        <f t="shared" si="128"/>
        <v>0.39224441091145357</v>
      </c>
      <c r="W2096" s="1">
        <f t="shared" si="129"/>
        <v>38.500000000000007</v>
      </c>
      <c r="X2096">
        <f t="shared" si="130"/>
        <v>6.3330795239999995</v>
      </c>
      <c r="Y2096">
        <f t="shared" si="131"/>
        <v>135.6</v>
      </c>
      <c r="Z2096" s="1">
        <v>0</v>
      </c>
      <c r="AA2096">
        <v>100</v>
      </c>
      <c r="AB2096">
        <v>0</v>
      </c>
      <c r="AC2096">
        <v>0</v>
      </c>
      <c r="AD2096">
        <v>89</v>
      </c>
      <c r="AE2096">
        <v>0</v>
      </c>
      <c r="AF2096" t="s">
        <v>2588</v>
      </c>
      <c r="AG2096" t="s">
        <v>2593</v>
      </c>
    </row>
    <row r="2097" spans="1:33">
      <c r="A2097" s="2" t="s">
        <v>61</v>
      </c>
      <c r="B2097" s="2" t="s">
        <v>21</v>
      </c>
      <c r="C2097" s="1">
        <v>0.62063455999999995</v>
      </c>
      <c r="D2097">
        <v>0.67798104299999995</v>
      </c>
      <c r="E2097">
        <v>0.72175371600000005</v>
      </c>
      <c r="F2097" s="1" t="s">
        <v>62</v>
      </c>
      <c r="G2097" s="1">
        <v>7.5471698109999998</v>
      </c>
      <c r="H2097" s="1">
        <v>26.4</v>
      </c>
      <c r="I2097" s="1">
        <v>10.6</v>
      </c>
      <c r="J2097" s="1">
        <v>0.6734564396666668</v>
      </c>
      <c r="K2097" s="1">
        <v>0.53276376800000003</v>
      </c>
      <c r="L2097" s="1">
        <v>0.65428149899999999</v>
      </c>
      <c r="M2097" s="3">
        <v>0.70160154799999996</v>
      </c>
      <c r="N2097" s="1" t="s">
        <v>22</v>
      </c>
      <c r="O2097" s="1">
        <v>1.2440604749999999</v>
      </c>
      <c r="P2097" s="1">
        <v>24.6</v>
      </c>
      <c r="Q2097" s="1">
        <v>46.3</v>
      </c>
      <c r="R2097" s="1">
        <v>0.62954893833333336</v>
      </c>
      <c r="S2097" s="1">
        <v>9.3215097208635744E-2</v>
      </c>
      <c r="T2097" t="s">
        <v>2244</v>
      </c>
      <c r="U2097" s="1">
        <v>850</v>
      </c>
      <c r="V2097">
        <f t="shared" si="128"/>
        <v>0.32549099174603252</v>
      </c>
      <c r="W2097" s="1">
        <f t="shared" si="129"/>
        <v>1.7999999999999972</v>
      </c>
      <c r="X2097">
        <f t="shared" si="130"/>
        <v>6.3031093360000003</v>
      </c>
      <c r="Y2097">
        <f t="shared" si="131"/>
        <v>35.699999999999996</v>
      </c>
      <c r="Z2097" s="1">
        <v>0</v>
      </c>
      <c r="AA2097">
        <v>100</v>
      </c>
      <c r="AB2097">
        <v>0</v>
      </c>
      <c r="AC2097">
        <v>0</v>
      </c>
      <c r="AD2097">
        <v>95</v>
      </c>
      <c r="AE2097">
        <v>0</v>
      </c>
      <c r="AF2097" t="s">
        <v>2588</v>
      </c>
      <c r="AG2097" t="s">
        <v>2589</v>
      </c>
    </row>
    <row r="2098" spans="1:33">
      <c r="A2098" s="2" t="s">
        <v>61</v>
      </c>
      <c r="B2098" s="2" t="s">
        <v>23</v>
      </c>
      <c r="C2098" s="1">
        <v>0.62063455999999995</v>
      </c>
      <c r="D2098">
        <v>0.67798104299999995</v>
      </c>
      <c r="E2098">
        <v>0.72175371600000005</v>
      </c>
      <c r="F2098" s="1" t="s">
        <v>62</v>
      </c>
      <c r="G2098" s="1">
        <v>7.5471698109999998</v>
      </c>
      <c r="H2098" s="1">
        <v>26.4</v>
      </c>
      <c r="I2098" s="1">
        <v>10.6</v>
      </c>
      <c r="J2098" s="1">
        <v>0.6734564396666668</v>
      </c>
      <c r="K2098" s="1">
        <v>0.49415677200000002</v>
      </c>
      <c r="L2098" s="1">
        <v>0.62090818999999997</v>
      </c>
      <c r="M2098" s="3">
        <v>0.63381026900000004</v>
      </c>
      <c r="N2098" s="1" t="s">
        <v>24</v>
      </c>
      <c r="O2098" s="1">
        <v>1.141304348</v>
      </c>
      <c r="P2098" s="1">
        <v>44.4</v>
      </c>
      <c r="Q2098" s="1">
        <v>101.2</v>
      </c>
      <c r="R2098" s="1">
        <v>0.58295841033333329</v>
      </c>
      <c r="S2098" s="1">
        <v>0.16428022180766114</v>
      </c>
      <c r="T2098" t="s">
        <v>2245</v>
      </c>
      <c r="U2098" s="1">
        <v>397</v>
      </c>
      <c r="V2098">
        <f t="shared" si="128"/>
        <v>0.28875450075145725</v>
      </c>
      <c r="W2098" s="1">
        <f t="shared" si="129"/>
        <v>18</v>
      </c>
      <c r="X2098">
        <f t="shared" si="130"/>
        <v>6.4058654629999996</v>
      </c>
      <c r="Y2098">
        <f t="shared" si="131"/>
        <v>90.600000000000009</v>
      </c>
      <c r="Z2098" s="1">
        <v>0</v>
      </c>
      <c r="AA2098">
        <v>100</v>
      </c>
      <c r="AB2098">
        <v>0</v>
      </c>
      <c r="AC2098">
        <v>0</v>
      </c>
      <c r="AD2098">
        <v>91</v>
      </c>
      <c r="AE2098">
        <v>0</v>
      </c>
      <c r="AF2098" t="s">
        <v>2588</v>
      </c>
      <c r="AG2098" t="s">
        <v>2590</v>
      </c>
    </row>
    <row r="2099" spans="1:33">
      <c r="A2099" s="2" t="s">
        <v>61</v>
      </c>
      <c r="B2099" s="2" t="s">
        <v>25</v>
      </c>
      <c r="C2099" s="1">
        <v>0.62063455999999995</v>
      </c>
      <c r="D2099">
        <v>0.67798104299999995</v>
      </c>
      <c r="E2099">
        <v>0.72175371600000005</v>
      </c>
      <c r="F2099" s="1" t="s">
        <v>62</v>
      </c>
      <c r="G2099" s="1">
        <v>7.5471698109999998</v>
      </c>
      <c r="H2099" s="1">
        <v>26.4</v>
      </c>
      <c r="I2099" s="1">
        <v>10.6</v>
      </c>
      <c r="J2099" s="1">
        <v>0.6734564396666668</v>
      </c>
      <c r="K2099" s="1">
        <v>0.53959274199999996</v>
      </c>
      <c r="L2099" s="1">
        <v>0.64971567399999997</v>
      </c>
      <c r="M2099" s="3">
        <v>0.65028459999999999</v>
      </c>
      <c r="N2099" s="1" t="s">
        <v>26</v>
      </c>
      <c r="O2099" s="1">
        <v>1.623046875</v>
      </c>
      <c r="P2099" s="1">
        <v>34.700000000000003</v>
      </c>
      <c r="Q2099" s="1">
        <v>51.2</v>
      </c>
      <c r="R2099" s="1">
        <v>0.61319767199999997</v>
      </c>
      <c r="S2099" s="1">
        <v>0.11168948872330263</v>
      </c>
      <c r="T2099" t="s">
        <v>2246</v>
      </c>
      <c r="U2099" s="1">
        <v>1269</v>
      </c>
      <c r="V2099">
        <f t="shared" si="128"/>
        <v>0.34482906912163386</v>
      </c>
      <c r="W2099" s="1">
        <f t="shared" si="129"/>
        <v>8.3000000000000043</v>
      </c>
      <c r="X2099">
        <f t="shared" si="130"/>
        <v>5.9241229359999998</v>
      </c>
      <c r="Y2099">
        <f t="shared" si="131"/>
        <v>40.6</v>
      </c>
      <c r="Z2099" s="1">
        <v>0</v>
      </c>
      <c r="AA2099">
        <v>100</v>
      </c>
      <c r="AB2099">
        <v>0</v>
      </c>
      <c r="AC2099">
        <v>0</v>
      </c>
      <c r="AD2099">
        <v>93</v>
      </c>
      <c r="AE2099">
        <v>0</v>
      </c>
      <c r="AF2099" t="s">
        <v>2588</v>
      </c>
      <c r="AG2099" t="s">
        <v>2594</v>
      </c>
    </row>
    <row r="2100" spans="1:33">
      <c r="A2100" s="2" t="s">
        <v>61</v>
      </c>
      <c r="B2100" s="2" t="s">
        <v>27</v>
      </c>
      <c r="C2100" s="1">
        <v>0.62063455999999995</v>
      </c>
      <c r="D2100">
        <v>0.67798104299999995</v>
      </c>
      <c r="E2100">
        <v>0.72175371600000005</v>
      </c>
      <c r="F2100" s="1" t="s">
        <v>62</v>
      </c>
      <c r="G2100" s="1">
        <v>7.5471698109999998</v>
      </c>
      <c r="H2100" s="1">
        <v>26.4</v>
      </c>
      <c r="I2100" s="1">
        <v>10.6</v>
      </c>
      <c r="J2100" s="1">
        <v>0.6734564396666668</v>
      </c>
      <c r="K2100" s="1">
        <v>0.518608662</v>
      </c>
      <c r="L2100" s="1">
        <v>0.64320369700000002</v>
      </c>
      <c r="M2100" s="3">
        <v>0.62228994199999998</v>
      </c>
      <c r="N2100" s="1" t="s">
        <v>28</v>
      </c>
      <c r="O2100" s="1">
        <v>1.8717391299999999</v>
      </c>
      <c r="P2100" s="1">
        <v>33.700000000000003</v>
      </c>
      <c r="Q2100" s="1">
        <v>46</v>
      </c>
      <c r="R2100" s="1">
        <v>0.59470076699999996</v>
      </c>
      <c r="S2100" s="1">
        <v>0.14666898102814102</v>
      </c>
      <c r="T2100" t="s">
        <v>2247</v>
      </c>
      <c r="U2100" s="1">
        <v>773</v>
      </c>
      <c r="V2100">
        <f t="shared" si="128"/>
        <v>0.32090883265759168</v>
      </c>
      <c r="W2100" s="1">
        <f t="shared" si="129"/>
        <v>7.3000000000000043</v>
      </c>
      <c r="X2100">
        <f t="shared" si="130"/>
        <v>5.6754306809999999</v>
      </c>
      <c r="Y2100">
        <f t="shared" si="131"/>
        <v>35.4</v>
      </c>
      <c r="Z2100" s="1">
        <v>0</v>
      </c>
      <c r="AA2100">
        <v>100</v>
      </c>
      <c r="AB2100">
        <v>0</v>
      </c>
      <c r="AC2100">
        <v>0</v>
      </c>
      <c r="AD2100">
        <v>100</v>
      </c>
      <c r="AE2100">
        <v>0</v>
      </c>
      <c r="AF2100" t="s">
        <v>2588</v>
      </c>
      <c r="AG2100" t="s">
        <v>2590</v>
      </c>
    </row>
    <row r="2101" spans="1:33">
      <c r="A2101" s="2" t="s">
        <v>61</v>
      </c>
      <c r="B2101" s="2" t="s">
        <v>29</v>
      </c>
      <c r="C2101" s="1">
        <v>0.62063455999999995</v>
      </c>
      <c r="D2101">
        <v>0.67798104299999995</v>
      </c>
      <c r="E2101">
        <v>0.72175371600000005</v>
      </c>
      <c r="F2101" s="1" t="s">
        <v>62</v>
      </c>
      <c r="G2101" s="1">
        <v>7.5471698109999998</v>
      </c>
      <c r="H2101" s="1">
        <v>26.4</v>
      </c>
      <c r="I2101" s="1">
        <v>10.6</v>
      </c>
      <c r="J2101" s="1">
        <v>0.6734564396666668</v>
      </c>
      <c r="K2101" s="1">
        <v>0.59351545100000003</v>
      </c>
      <c r="L2101" s="1">
        <v>0.68136602400000001</v>
      </c>
      <c r="M2101" s="3">
        <v>0.73518087600000004</v>
      </c>
      <c r="N2101" s="1" t="s">
        <v>30</v>
      </c>
      <c r="O2101" s="1">
        <v>2.849112426</v>
      </c>
      <c r="P2101" s="1">
        <v>37.9</v>
      </c>
      <c r="Q2101" s="1">
        <v>33.799999999999997</v>
      </c>
      <c r="R2101" s="1">
        <v>0.67002078366666673</v>
      </c>
      <c r="S2101" s="1">
        <v>3.0449840639810218E-2</v>
      </c>
      <c r="T2101" t="s">
        <v>2248</v>
      </c>
      <c r="U2101" s="1">
        <v>1133</v>
      </c>
      <c r="V2101">
        <f t="shared" si="128"/>
        <v>0.3393588788737108</v>
      </c>
      <c r="W2101" s="1">
        <f t="shared" si="129"/>
        <v>11.5</v>
      </c>
      <c r="X2101">
        <f t="shared" si="130"/>
        <v>4.6980573850000003</v>
      </c>
      <c r="Y2101">
        <f t="shared" si="131"/>
        <v>23.199999999999996</v>
      </c>
      <c r="Z2101" s="1">
        <v>0</v>
      </c>
      <c r="AA2101">
        <v>100</v>
      </c>
      <c r="AB2101">
        <v>0</v>
      </c>
      <c r="AC2101">
        <v>0</v>
      </c>
      <c r="AD2101">
        <v>89</v>
      </c>
      <c r="AE2101">
        <v>0</v>
      </c>
      <c r="AF2101" t="s">
        <v>2588</v>
      </c>
      <c r="AG2101" t="s">
        <v>2593</v>
      </c>
    </row>
    <row r="2102" spans="1:33">
      <c r="A2102" s="2" t="s">
        <v>61</v>
      </c>
      <c r="B2102" s="2" t="s">
        <v>31</v>
      </c>
      <c r="C2102" s="1">
        <v>0.62063455999999995</v>
      </c>
      <c r="D2102">
        <v>0.67798104299999995</v>
      </c>
      <c r="E2102">
        <v>0.72175371600000005</v>
      </c>
      <c r="F2102" s="1" t="s">
        <v>62</v>
      </c>
      <c r="G2102" s="1">
        <v>7.5471698109999998</v>
      </c>
      <c r="H2102" s="1">
        <v>26.4</v>
      </c>
      <c r="I2102" s="1">
        <v>10.6</v>
      </c>
      <c r="J2102" s="1">
        <v>0.6734564396666668</v>
      </c>
      <c r="K2102" s="1">
        <v>0.47727961800000002</v>
      </c>
      <c r="L2102" s="1">
        <v>0.66941086400000005</v>
      </c>
      <c r="M2102" s="3">
        <v>0.69294815300000001</v>
      </c>
      <c r="N2102" s="1" t="s">
        <v>32</v>
      </c>
      <c r="O2102" s="1">
        <v>1.341891892</v>
      </c>
      <c r="P2102" s="1">
        <v>42.1</v>
      </c>
      <c r="Q2102" s="1">
        <v>74</v>
      </c>
      <c r="R2102" s="1">
        <v>0.61321287833333338</v>
      </c>
      <c r="S2102" s="1">
        <v>0.14647132082309613</v>
      </c>
      <c r="T2102" t="s">
        <v>2249</v>
      </c>
      <c r="U2102" s="1">
        <v>360</v>
      </c>
      <c r="V2102">
        <f t="shared" si="128"/>
        <v>0.28403361119636528</v>
      </c>
      <c r="W2102" s="1">
        <f t="shared" si="129"/>
        <v>15.700000000000003</v>
      </c>
      <c r="X2102">
        <f t="shared" si="130"/>
        <v>6.2052779190000003</v>
      </c>
      <c r="Y2102">
        <f t="shared" si="131"/>
        <v>63.4</v>
      </c>
      <c r="Z2102" s="1">
        <v>0</v>
      </c>
      <c r="AA2102">
        <v>100</v>
      </c>
      <c r="AB2102">
        <v>0</v>
      </c>
      <c r="AC2102">
        <v>0</v>
      </c>
      <c r="AD2102">
        <v>97</v>
      </c>
      <c r="AE2102">
        <v>0</v>
      </c>
      <c r="AF2102" t="s">
        <v>2588</v>
      </c>
      <c r="AG2102" t="s">
        <v>2589</v>
      </c>
    </row>
    <row r="2103" spans="1:33">
      <c r="A2103" s="2" t="s">
        <v>61</v>
      </c>
      <c r="B2103" s="2" t="s">
        <v>33</v>
      </c>
      <c r="C2103" s="1">
        <v>0.62063455999999995</v>
      </c>
      <c r="D2103">
        <v>0.67798104299999995</v>
      </c>
      <c r="E2103">
        <v>0.72175371600000005</v>
      </c>
      <c r="F2103" s="1" t="s">
        <v>62</v>
      </c>
      <c r="G2103" s="1">
        <v>7.5471698109999998</v>
      </c>
      <c r="H2103" s="1">
        <v>26.4</v>
      </c>
      <c r="I2103" s="1">
        <v>10.6</v>
      </c>
      <c r="J2103" s="1">
        <v>0.6734564396666668</v>
      </c>
      <c r="K2103" s="1">
        <v>0.51347926600000005</v>
      </c>
      <c r="L2103" s="1">
        <v>0.63144379399999995</v>
      </c>
      <c r="M2103" s="3">
        <v>0.64189093500000005</v>
      </c>
      <c r="N2103" s="1" t="s">
        <v>34</v>
      </c>
      <c r="O2103" s="1">
        <v>2.3123667380000001</v>
      </c>
      <c r="P2103" s="1">
        <v>79.099999999999994</v>
      </c>
      <c r="Q2103" s="1">
        <v>93.8</v>
      </c>
      <c r="R2103" s="1">
        <v>0.59560466500000009</v>
      </c>
      <c r="S2103" s="1">
        <v>0.14151337875186351</v>
      </c>
      <c r="T2103" t="s">
        <v>2250</v>
      </c>
      <c r="U2103" s="1">
        <v>1004</v>
      </c>
      <c r="V2103">
        <f t="shared" si="128"/>
        <v>0.33352596808988894</v>
      </c>
      <c r="W2103" s="1">
        <f t="shared" si="129"/>
        <v>52.699999999999996</v>
      </c>
      <c r="X2103">
        <f t="shared" si="130"/>
        <v>5.2348030730000001</v>
      </c>
      <c r="Y2103">
        <f t="shared" si="131"/>
        <v>83.2</v>
      </c>
      <c r="Z2103" s="1">
        <v>0</v>
      </c>
      <c r="AA2103">
        <v>100</v>
      </c>
      <c r="AB2103">
        <v>0</v>
      </c>
      <c r="AC2103">
        <v>0</v>
      </c>
      <c r="AD2103">
        <v>91</v>
      </c>
      <c r="AE2103">
        <v>0</v>
      </c>
      <c r="AF2103" t="s">
        <v>2588</v>
      </c>
      <c r="AG2103" t="s">
        <v>2590</v>
      </c>
    </row>
    <row r="2104" spans="1:33">
      <c r="A2104" s="2" t="s">
        <v>61</v>
      </c>
      <c r="B2104" s="2" t="s">
        <v>35</v>
      </c>
      <c r="C2104" s="1">
        <v>0.62063455999999995</v>
      </c>
      <c r="D2104">
        <v>0.67798104299999995</v>
      </c>
      <c r="E2104">
        <v>0.72175371600000005</v>
      </c>
      <c r="F2104" s="1" t="s">
        <v>62</v>
      </c>
      <c r="G2104" s="1">
        <v>7.5471698109999998</v>
      </c>
      <c r="H2104" s="1">
        <v>26.4</v>
      </c>
      <c r="I2104" s="1">
        <v>10.6</v>
      </c>
      <c r="J2104" s="1">
        <v>0.6734564396666668</v>
      </c>
      <c r="K2104" s="1">
        <v>0.52542897600000005</v>
      </c>
      <c r="L2104" s="1">
        <v>0.60774736299999998</v>
      </c>
      <c r="M2104" s="3">
        <v>0.62585751700000003</v>
      </c>
      <c r="N2104" s="1" t="s">
        <v>36</v>
      </c>
      <c r="O2104" s="1">
        <v>0.98848810399999998</v>
      </c>
      <c r="P2104" s="1">
        <v>54.2</v>
      </c>
      <c r="Q2104" s="1">
        <v>130.30000000000001</v>
      </c>
      <c r="R2104" s="1">
        <v>0.58634461866666665</v>
      </c>
      <c r="S2104" s="1">
        <v>0.15229233077791882</v>
      </c>
      <c r="T2104" t="s">
        <v>2251</v>
      </c>
      <c r="U2104" s="1">
        <v>1872</v>
      </c>
      <c r="V2104">
        <f t="shared" si="128"/>
        <v>0.36358953826689849</v>
      </c>
      <c r="W2104" s="1">
        <f t="shared" si="129"/>
        <v>27.800000000000004</v>
      </c>
      <c r="X2104">
        <f t="shared" si="130"/>
        <v>6.5586817069999999</v>
      </c>
      <c r="Y2104">
        <f t="shared" si="131"/>
        <v>119.70000000000002</v>
      </c>
      <c r="Z2104" s="1">
        <v>0</v>
      </c>
      <c r="AA2104">
        <v>100</v>
      </c>
      <c r="AB2104">
        <v>0</v>
      </c>
      <c r="AC2104">
        <v>0</v>
      </c>
      <c r="AD2104">
        <v>90</v>
      </c>
      <c r="AE2104">
        <v>0</v>
      </c>
      <c r="AF2104" t="s">
        <v>2588</v>
      </c>
      <c r="AG2104" t="s">
        <v>2589</v>
      </c>
    </row>
    <row r="2105" spans="1:33">
      <c r="A2105" s="2" t="s">
        <v>61</v>
      </c>
      <c r="B2105" s="2" t="s">
        <v>37</v>
      </c>
      <c r="C2105" s="1">
        <v>0.62063455999999995</v>
      </c>
      <c r="D2105">
        <v>0.67798104299999995</v>
      </c>
      <c r="E2105">
        <v>0.72175371600000005</v>
      </c>
      <c r="F2105" s="1" t="s">
        <v>62</v>
      </c>
      <c r="G2105" s="1">
        <v>7.5471698109999998</v>
      </c>
      <c r="H2105" s="1">
        <v>26.4</v>
      </c>
      <c r="I2105" s="1">
        <v>10.6</v>
      </c>
      <c r="J2105" s="1">
        <v>0.6734564396666668</v>
      </c>
      <c r="K2105" s="1">
        <v>0.50856695500000004</v>
      </c>
      <c r="L2105" s="1">
        <v>0.654733224</v>
      </c>
      <c r="M2105" s="3">
        <v>0.61418267199999999</v>
      </c>
      <c r="N2105" s="1" t="s">
        <v>38</v>
      </c>
      <c r="O2105" s="1">
        <v>0.64065708399999999</v>
      </c>
      <c r="P2105" s="1">
        <v>41.9</v>
      </c>
      <c r="Q2105" s="1">
        <v>146.1</v>
      </c>
      <c r="R2105" s="1">
        <v>0.59249428366666679</v>
      </c>
      <c r="S2105" s="1">
        <v>0.15707048954511701</v>
      </c>
      <c r="T2105" t="s">
        <v>2252</v>
      </c>
      <c r="U2105" s="1">
        <v>6050</v>
      </c>
      <c r="V2105">
        <f t="shared" si="128"/>
        <v>0.4201950416280521</v>
      </c>
      <c r="W2105" s="1">
        <f t="shared" si="129"/>
        <v>15.5</v>
      </c>
      <c r="X2105">
        <f t="shared" si="130"/>
        <v>6.906512727</v>
      </c>
      <c r="Y2105">
        <f t="shared" si="131"/>
        <v>135.5</v>
      </c>
      <c r="Z2105" s="1">
        <v>0</v>
      </c>
      <c r="AA2105">
        <v>100</v>
      </c>
      <c r="AB2105">
        <v>0</v>
      </c>
      <c r="AC2105">
        <v>0</v>
      </c>
      <c r="AD2105">
        <v>89</v>
      </c>
      <c r="AE2105">
        <v>0</v>
      </c>
      <c r="AF2105" t="s">
        <v>2588</v>
      </c>
      <c r="AG2105" t="s">
        <v>2590</v>
      </c>
    </row>
    <row r="2106" spans="1:33">
      <c r="A2106" s="2" t="s">
        <v>61</v>
      </c>
      <c r="B2106" s="2" t="s">
        <v>39</v>
      </c>
      <c r="C2106" s="1">
        <v>0.62063455999999995</v>
      </c>
      <c r="D2106">
        <v>0.67798104299999995</v>
      </c>
      <c r="E2106">
        <v>0.72175371600000005</v>
      </c>
      <c r="F2106" s="1" t="s">
        <v>62</v>
      </c>
      <c r="G2106" s="1">
        <v>7.5471698109999998</v>
      </c>
      <c r="H2106" s="1">
        <v>26.4</v>
      </c>
      <c r="I2106" s="1">
        <v>10.6</v>
      </c>
      <c r="J2106" s="1">
        <v>0.6734564396666668</v>
      </c>
      <c r="K2106" s="1">
        <v>0.60811616199999996</v>
      </c>
      <c r="L2106" s="1">
        <v>0.721105683</v>
      </c>
      <c r="M2106" s="3">
        <v>0.741016169</v>
      </c>
      <c r="N2106" s="1" t="s">
        <v>40</v>
      </c>
      <c r="O2106" s="1">
        <v>1.0601915180000001</v>
      </c>
      <c r="P2106" s="1">
        <v>34</v>
      </c>
      <c r="Q2106" s="1">
        <v>73.099999999999994</v>
      </c>
      <c r="R2106" s="1">
        <v>0.69007933799999999</v>
      </c>
      <c r="S2106" s="1">
        <v>4.8861917268903959E-2</v>
      </c>
      <c r="T2106" t="s">
        <v>2253</v>
      </c>
      <c r="U2106" s="1">
        <v>872</v>
      </c>
      <c r="V2106">
        <f t="shared" si="128"/>
        <v>0.32672405388139636</v>
      </c>
      <c r="W2106" s="1">
        <f t="shared" si="129"/>
        <v>7.6000000000000014</v>
      </c>
      <c r="X2106">
        <f t="shared" si="130"/>
        <v>6.486978293</v>
      </c>
      <c r="Y2106">
        <f t="shared" si="131"/>
        <v>62.499999999999993</v>
      </c>
      <c r="Z2106" s="1">
        <v>0</v>
      </c>
      <c r="AA2106">
        <v>100</v>
      </c>
      <c r="AB2106">
        <v>0</v>
      </c>
      <c r="AC2106">
        <v>0</v>
      </c>
      <c r="AD2106">
        <v>92</v>
      </c>
      <c r="AE2106">
        <v>0</v>
      </c>
      <c r="AF2106" t="s">
        <v>2588</v>
      </c>
      <c r="AG2106" t="s">
        <v>2589</v>
      </c>
    </row>
    <row r="2107" spans="1:33">
      <c r="A2107" s="2" t="s">
        <v>61</v>
      </c>
      <c r="B2107" s="2" t="s">
        <v>41</v>
      </c>
      <c r="C2107" s="1">
        <v>0.62063455999999995</v>
      </c>
      <c r="D2107">
        <v>0.67798104299999995</v>
      </c>
      <c r="E2107">
        <v>0.72175371600000005</v>
      </c>
      <c r="F2107" s="1" t="s">
        <v>62</v>
      </c>
      <c r="G2107" s="1">
        <v>7.5471698109999998</v>
      </c>
      <c r="H2107" s="1">
        <v>26.4</v>
      </c>
      <c r="I2107" s="1">
        <v>10.6</v>
      </c>
      <c r="J2107" s="1">
        <v>0.6734564396666668</v>
      </c>
      <c r="K2107" s="1">
        <v>0.60402244999999999</v>
      </c>
      <c r="L2107" s="1">
        <v>0.669189213</v>
      </c>
      <c r="M2107" s="3">
        <v>0.69821693799999995</v>
      </c>
      <c r="N2107" s="1" t="s">
        <v>42</v>
      </c>
      <c r="O2107" s="1">
        <v>1.3243902439999999</v>
      </c>
      <c r="P2107" s="1">
        <v>23</v>
      </c>
      <c r="Q2107" s="1">
        <v>41</v>
      </c>
      <c r="R2107" s="1">
        <v>0.65714286700000002</v>
      </c>
      <c r="S2107" s="1">
        <v>3.0120398271309193E-2</v>
      </c>
      <c r="T2107" t="s">
        <v>2254</v>
      </c>
      <c r="U2107" s="1">
        <v>1521</v>
      </c>
      <c r="V2107">
        <f t="shared" si="128"/>
        <v>0.35356991267255533</v>
      </c>
      <c r="W2107" s="1">
        <f t="shared" si="129"/>
        <v>3.3999999999999986</v>
      </c>
      <c r="X2107">
        <f t="shared" si="130"/>
        <v>6.2227795669999999</v>
      </c>
      <c r="Y2107">
        <f t="shared" si="131"/>
        <v>30.4</v>
      </c>
      <c r="Z2107" s="1">
        <v>0</v>
      </c>
      <c r="AA2107">
        <v>100</v>
      </c>
      <c r="AB2107">
        <v>0</v>
      </c>
      <c r="AC2107">
        <v>0</v>
      </c>
      <c r="AD2107">
        <v>106</v>
      </c>
      <c r="AE2107">
        <v>0</v>
      </c>
      <c r="AF2107" t="s">
        <v>2588</v>
      </c>
      <c r="AG2107" t="s">
        <v>2591</v>
      </c>
    </row>
    <row r="2108" spans="1:33">
      <c r="A2108" s="2" t="s">
        <v>61</v>
      </c>
      <c r="B2108" s="2" t="s">
        <v>43</v>
      </c>
      <c r="C2108" s="1">
        <v>0.62063455999999995</v>
      </c>
      <c r="D2108">
        <v>0.67798104299999995</v>
      </c>
      <c r="E2108">
        <v>0.72175371600000005</v>
      </c>
      <c r="F2108" s="1" t="s">
        <v>62</v>
      </c>
      <c r="G2108" s="1">
        <v>7.5471698109999998</v>
      </c>
      <c r="H2108" s="1">
        <v>26.4</v>
      </c>
      <c r="I2108" s="1">
        <v>10.6</v>
      </c>
      <c r="J2108" s="1">
        <v>0.6734564396666668</v>
      </c>
      <c r="K2108" s="1">
        <v>0.54180634699999997</v>
      </c>
      <c r="L2108" s="1">
        <v>0.59470779900000004</v>
      </c>
      <c r="M2108" s="3">
        <v>0.69518155599999998</v>
      </c>
      <c r="N2108" s="1" t="s">
        <v>44</v>
      </c>
      <c r="O2108" s="1">
        <v>1.7403685090000001</v>
      </c>
      <c r="P2108" s="1">
        <v>41.2</v>
      </c>
      <c r="Q2108" s="1">
        <v>59.7</v>
      </c>
      <c r="R2108" s="1">
        <v>0.61056523400000007</v>
      </c>
      <c r="S2108" s="1">
        <v>0.11770471536061115</v>
      </c>
      <c r="T2108" t="s">
        <v>2255</v>
      </c>
      <c r="U2108" s="1">
        <v>1451</v>
      </c>
      <c r="V2108">
        <f t="shared" si="128"/>
        <v>0.35129637915974843</v>
      </c>
      <c r="W2108" s="1">
        <f t="shared" si="129"/>
        <v>14.800000000000004</v>
      </c>
      <c r="X2108">
        <f t="shared" si="130"/>
        <v>5.8068013020000002</v>
      </c>
      <c r="Y2108">
        <f t="shared" si="131"/>
        <v>49.1</v>
      </c>
      <c r="Z2108" s="1">
        <v>0</v>
      </c>
      <c r="AA2108">
        <v>100</v>
      </c>
      <c r="AB2108">
        <v>0</v>
      </c>
      <c r="AC2108">
        <v>0</v>
      </c>
      <c r="AD2108">
        <v>128</v>
      </c>
      <c r="AE2108">
        <v>0</v>
      </c>
      <c r="AF2108" t="s">
        <v>2588</v>
      </c>
      <c r="AG2108" t="s">
        <v>2589</v>
      </c>
    </row>
    <row r="2109" spans="1:33">
      <c r="A2109" s="2" t="s">
        <v>61</v>
      </c>
      <c r="B2109" s="2" t="s">
        <v>45</v>
      </c>
      <c r="C2109" s="1">
        <v>0.62063455999999995</v>
      </c>
      <c r="D2109">
        <v>0.67798104299999995</v>
      </c>
      <c r="E2109">
        <v>0.72175371600000005</v>
      </c>
      <c r="F2109" s="1" t="s">
        <v>62</v>
      </c>
      <c r="G2109" s="1">
        <v>7.5471698109999998</v>
      </c>
      <c r="H2109" s="1">
        <v>26.4</v>
      </c>
      <c r="I2109" s="1">
        <v>10.6</v>
      </c>
      <c r="J2109" s="1">
        <v>0.6734564396666668</v>
      </c>
      <c r="K2109" s="1">
        <v>0.50907007599999998</v>
      </c>
      <c r="L2109" s="1">
        <v>0.68428041399999995</v>
      </c>
      <c r="M2109" s="3">
        <v>0.67454742099999998</v>
      </c>
      <c r="N2109" s="1" t="s">
        <v>46</v>
      </c>
      <c r="O2109" s="1">
        <v>0.98140043799999999</v>
      </c>
      <c r="P2109" s="1">
        <v>38.9</v>
      </c>
      <c r="Q2109" s="1">
        <v>91.4</v>
      </c>
      <c r="R2109" s="1">
        <v>0.62263263699999993</v>
      </c>
      <c r="S2109" s="1">
        <v>0.12130437111995973</v>
      </c>
      <c r="T2109" t="s">
        <v>2256</v>
      </c>
      <c r="U2109" s="1">
        <v>728</v>
      </c>
      <c r="V2109">
        <f t="shared" si="128"/>
        <v>0.31801459770144858</v>
      </c>
      <c r="W2109" s="1">
        <f t="shared" si="129"/>
        <v>12.5</v>
      </c>
      <c r="X2109">
        <f t="shared" si="130"/>
        <v>6.5657693730000002</v>
      </c>
      <c r="Y2109">
        <f t="shared" si="131"/>
        <v>80.800000000000011</v>
      </c>
      <c r="Z2109" s="1">
        <v>0</v>
      </c>
      <c r="AA2109">
        <v>100</v>
      </c>
      <c r="AB2109">
        <v>0</v>
      </c>
      <c r="AC2109">
        <v>0</v>
      </c>
      <c r="AD2109">
        <v>108</v>
      </c>
      <c r="AE2109">
        <v>0</v>
      </c>
      <c r="AF2109" t="s">
        <v>2588</v>
      </c>
      <c r="AG2109" t="s">
        <v>2589</v>
      </c>
    </row>
    <row r="2110" spans="1:33">
      <c r="A2110" s="2" t="s">
        <v>61</v>
      </c>
      <c r="B2110" s="2" t="s">
        <v>47</v>
      </c>
      <c r="C2110" s="1">
        <v>0.62063455999999995</v>
      </c>
      <c r="D2110">
        <v>0.67798104299999995</v>
      </c>
      <c r="E2110">
        <v>0.72175371600000005</v>
      </c>
      <c r="F2110" s="1" t="s">
        <v>62</v>
      </c>
      <c r="G2110" s="1">
        <v>7.5471698109999998</v>
      </c>
      <c r="H2110" s="1">
        <v>26.4</v>
      </c>
      <c r="I2110" s="1">
        <v>10.6</v>
      </c>
      <c r="J2110" s="1">
        <v>0.6734564396666668</v>
      </c>
      <c r="K2110" s="1">
        <v>0.50612154099999995</v>
      </c>
      <c r="L2110" s="1">
        <v>0.55940039100000005</v>
      </c>
      <c r="M2110" s="3">
        <v>0.66789001699999995</v>
      </c>
      <c r="N2110" s="1" t="s">
        <v>48</v>
      </c>
      <c r="O2110" s="1">
        <v>1.242622951</v>
      </c>
      <c r="P2110" s="1">
        <v>17.8</v>
      </c>
      <c r="Q2110" s="1">
        <v>30.5</v>
      </c>
      <c r="R2110" s="1">
        <v>0.57780398300000002</v>
      </c>
      <c r="S2110" s="1">
        <v>0.17342404856075194</v>
      </c>
      <c r="T2110" t="s">
        <v>2257</v>
      </c>
      <c r="U2110" s="1">
        <v>3129</v>
      </c>
      <c r="V2110">
        <f t="shared" si="128"/>
        <v>0.38837839590513257</v>
      </c>
      <c r="W2110" s="1">
        <f t="shared" si="129"/>
        <v>8.5999999999999979</v>
      </c>
      <c r="X2110">
        <f t="shared" si="130"/>
        <v>6.3045468600000003</v>
      </c>
      <c r="Y2110">
        <f t="shared" si="131"/>
        <v>19.899999999999999</v>
      </c>
      <c r="Z2110" s="1">
        <v>0</v>
      </c>
      <c r="AA2110">
        <v>100</v>
      </c>
      <c r="AB2110">
        <v>0</v>
      </c>
      <c r="AC2110">
        <v>0</v>
      </c>
      <c r="AD2110">
        <v>115</v>
      </c>
      <c r="AE2110">
        <v>0</v>
      </c>
      <c r="AF2110" t="s">
        <v>2588</v>
      </c>
      <c r="AG2110" t="s">
        <v>2590</v>
      </c>
    </row>
    <row r="2111" spans="1:33">
      <c r="A2111" s="2" t="s">
        <v>61</v>
      </c>
      <c r="B2111" s="2" t="s">
        <v>49</v>
      </c>
      <c r="C2111" s="1">
        <v>0.62063455999999995</v>
      </c>
      <c r="D2111">
        <v>0.67798104299999995</v>
      </c>
      <c r="E2111">
        <v>0.72175371600000005</v>
      </c>
      <c r="F2111" s="1" t="s">
        <v>62</v>
      </c>
      <c r="G2111" s="1">
        <v>7.5471698109999998</v>
      </c>
      <c r="H2111" s="1">
        <v>26.4</v>
      </c>
      <c r="I2111" s="1">
        <v>10.6</v>
      </c>
      <c r="J2111" s="1">
        <v>0.6734564396666668</v>
      </c>
      <c r="K2111" s="1">
        <v>0.50647110500000003</v>
      </c>
      <c r="L2111" s="1">
        <v>0.55713136799999996</v>
      </c>
      <c r="M2111" s="3">
        <v>0.63402682300000002</v>
      </c>
      <c r="N2111" s="1" t="s">
        <v>50</v>
      </c>
      <c r="O2111" s="1">
        <v>1.876675603</v>
      </c>
      <c r="P2111" s="1">
        <v>28.8</v>
      </c>
      <c r="Q2111" s="1">
        <v>37.299999999999997</v>
      </c>
      <c r="R2111" s="1">
        <v>0.56587643200000004</v>
      </c>
      <c r="S2111" s="1">
        <v>0.1879732591635738</v>
      </c>
      <c r="T2111" t="s">
        <v>2258</v>
      </c>
      <c r="U2111" s="1">
        <v>2251</v>
      </c>
      <c r="V2111">
        <f t="shared" si="128"/>
        <v>0.37248616611116891</v>
      </c>
      <c r="W2111" s="1">
        <f t="shared" si="129"/>
        <v>2.4000000000000021</v>
      </c>
      <c r="X2111">
        <f t="shared" si="130"/>
        <v>5.670494208</v>
      </c>
      <c r="Y2111">
        <f t="shared" si="131"/>
        <v>26.699999999999996</v>
      </c>
      <c r="Z2111" s="1">
        <v>0</v>
      </c>
      <c r="AA2111">
        <v>100</v>
      </c>
      <c r="AB2111">
        <v>0</v>
      </c>
      <c r="AC2111">
        <v>0</v>
      </c>
      <c r="AD2111">
        <v>89</v>
      </c>
      <c r="AE2111">
        <v>0</v>
      </c>
      <c r="AF2111" t="s">
        <v>2588</v>
      </c>
      <c r="AG2111" t="s">
        <v>2590</v>
      </c>
    </row>
    <row r="2112" spans="1:33">
      <c r="A2112" s="2" t="s">
        <v>61</v>
      </c>
      <c r="B2112" s="2" t="s">
        <v>51</v>
      </c>
      <c r="C2112" s="1">
        <v>0.62063455999999995</v>
      </c>
      <c r="D2112">
        <v>0.67798104299999995</v>
      </c>
      <c r="E2112">
        <v>0.72175371600000005</v>
      </c>
      <c r="F2112" s="1" t="s">
        <v>62</v>
      </c>
      <c r="G2112" s="1">
        <v>7.5471698109999998</v>
      </c>
      <c r="H2112" s="1">
        <v>26.4</v>
      </c>
      <c r="I2112" s="1">
        <v>10.6</v>
      </c>
      <c r="J2112" s="1">
        <v>0.6734564396666668</v>
      </c>
      <c r="K2112" s="1">
        <v>0.60067161999999996</v>
      </c>
      <c r="L2112" s="1">
        <v>0.68094129999999997</v>
      </c>
      <c r="M2112" s="3">
        <v>0.73595931299999995</v>
      </c>
      <c r="N2112" s="1" t="s">
        <v>52</v>
      </c>
      <c r="O2112" s="1">
        <v>1.858638743</v>
      </c>
      <c r="P2112" s="1">
        <v>29.4</v>
      </c>
      <c r="Q2112" s="1">
        <v>38.200000000000003</v>
      </c>
      <c r="R2112" s="1">
        <v>0.67252407766666666</v>
      </c>
      <c r="S2112" s="1">
        <v>2.467956808933363E-2</v>
      </c>
      <c r="T2112" t="s">
        <v>2259</v>
      </c>
      <c r="U2112" s="1">
        <v>863</v>
      </c>
      <c r="V2112">
        <f t="shared" si="128"/>
        <v>0.32622342174613439</v>
      </c>
      <c r="W2112" s="1">
        <f t="shared" si="129"/>
        <v>3</v>
      </c>
      <c r="X2112">
        <f t="shared" si="130"/>
        <v>5.6885310679999996</v>
      </c>
      <c r="Y2112">
        <f t="shared" si="131"/>
        <v>27.6</v>
      </c>
      <c r="Z2112" s="1">
        <v>0</v>
      </c>
      <c r="AA2112">
        <v>100</v>
      </c>
      <c r="AB2112">
        <v>0</v>
      </c>
      <c r="AC2112">
        <v>0</v>
      </c>
      <c r="AD2112">
        <v>98</v>
      </c>
      <c r="AE2112">
        <v>0</v>
      </c>
      <c r="AF2112" t="s">
        <v>2588</v>
      </c>
      <c r="AG2112" t="s">
        <v>2591</v>
      </c>
    </row>
    <row r="2113" spans="1:33">
      <c r="A2113" s="2" t="s">
        <v>61</v>
      </c>
      <c r="B2113" s="2" t="s">
        <v>53</v>
      </c>
      <c r="C2113" s="1">
        <v>0.62063455999999995</v>
      </c>
      <c r="D2113">
        <v>0.67798104299999995</v>
      </c>
      <c r="E2113">
        <v>0.72175371600000005</v>
      </c>
      <c r="F2113" s="1" t="s">
        <v>62</v>
      </c>
      <c r="G2113" s="1">
        <v>7.5471698109999998</v>
      </c>
      <c r="H2113" s="1">
        <v>26.4</v>
      </c>
      <c r="I2113" s="1">
        <v>10.6</v>
      </c>
      <c r="J2113" s="1">
        <v>0.6734564396666668</v>
      </c>
      <c r="K2113" s="1">
        <v>0.54695832700000002</v>
      </c>
      <c r="L2113" s="1">
        <v>0.659790137</v>
      </c>
      <c r="M2113" s="3">
        <v>0.70662085500000005</v>
      </c>
      <c r="N2113" s="1" t="s">
        <v>54</v>
      </c>
      <c r="O2113" s="1">
        <v>2.5053995680000001</v>
      </c>
      <c r="P2113" s="1">
        <v>43.9</v>
      </c>
      <c r="Q2113" s="1">
        <v>46.3</v>
      </c>
      <c r="R2113" s="1">
        <v>0.63778977300000006</v>
      </c>
      <c r="S2113" s="1">
        <v>7.7382813674719997E-2</v>
      </c>
      <c r="T2113" t="s">
        <v>2260</v>
      </c>
      <c r="U2113" s="1">
        <v>1407</v>
      </c>
      <c r="V2113">
        <f t="shared" si="128"/>
        <v>0.34981045527052729</v>
      </c>
      <c r="W2113" s="1">
        <f t="shared" si="129"/>
        <v>17.5</v>
      </c>
      <c r="X2113">
        <f t="shared" si="130"/>
        <v>5.0417702430000002</v>
      </c>
      <c r="Y2113">
        <f t="shared" si="131"/>
        <v>35.699999999999996</v>
      </c>
      <c r="Z2113" s="1">
        <v>0</v>
      </c>
      <c r="AA2113">
        <v>100</v>
      </c>
      <c r="AB2113">
        <v>0</v>
      </c>
      <c r="AC2113">
        <v>0</v>
      </c>
      <c r="AD2113">
        <v>98</v>
      </c>
      <c r="AE2113">
        <v>0</v>
      </c>
      <c r="AF2113" t="s">
        <v>2588</v>
      </c>
      <c r="AG2113" t="s">
        <v>2593</v>
      </c>
    </row>
    <row r="2114" spans="1:33">
      <c r="A2114" s="2" t="s">
        <v>61</v>
      </c>
      <c r="B2114" s="2" t="s">
        <v>55</v>
      </c>
      <c r="C2114" s="1">
        <v>0.62063455999999995</v>
      </c>
      <c r="D2114">
        <v>0.67798104299999995</v>
      </c>
      <c r="E2114">
        <v>0.72175371600000005</v>
      </c>
      <c r="F2114" s="1" t="s">
        <v>62</v>
      </c>
      <c r="G2114" s="1">
        <v>7.5471698109999998</v>
      </c>
      <c r="H2114" s="1">
        <v>26.4</v>
      </c>
      <c r="I2114" s="1">
        <v>10.6</v>
      </c>
      <c r="J2114" s="1">
        <v>0.6734564396666668</v>
      </c>
      <c r="K2114" s="1">
        <v>0.52971861799999997</v>
      </c>
      <c r="L2114" s="1">
        <v>0.62258244500000004</v>
      </c>
      <c r="M2114" s="3">
        <v>0.63939760400000001</v>
      </c>
      <c r="N2114" s="1" t="s">
        <v>56</v>
      </c>
      <c r="O2114" s="1">
        <v>1.0796934869999999</v>
      </c>
      <c r="P2114" s="1">
        <v>55.3</v>
      </c>
      <c r="Q2114" s="1">
        <v>130.5</v>
      </c>
      <c r="R2114" s="1">
        <v>0.59723288899999993</v>
      </c>
      <c r="S2114" s="1">
        <v>0.13460030592041572</v>
      </c>
      <c r="T2114" t="s">
        <v>2261</v>
      </c>
      <c r="U2114" s="1">
        <v>1242</v>
      </c>
      <c r="V2114">
        <f t="shared" ref="V2114:V2177" si="132">LOG10(U2114) / 9</f>
        <v>0.34379128842672901</v>
      </c>
      <c r="W2114" s="1">
        <f t="shared" ref="W2114:W2177" si="133">ABS(H2114-P2114)</f>
        <v>28.9</v>
      </c>
      <c r="X2114">
        <f t="shared" ref="X2114:X2177" si="134">ABS(G2114-O2114)</f>
        <v>6.4674763239999997</v>
      </c>
      <c r="Y2114">
        <f t="shared" ref="Y2114:Y2177" si="135">ABS(I2114-Q2114)</f>
        <v>119.9</v>
      </c>
      <c r="Z2114" s="1">
        <v>0</v>
      </c>
      <c r="AA2114">
        <v>100</v>
      </c>
      <c r="AB2114">
        <v>0</v>
      </c>
      <c r="AC2114">
        <v>0</v>
      </c>
      <c r="AD2114">
        <v>90</v>
      </c>
      <c r="AE2114">
        <v>0</v>
      </c>
      <c r="AF2114" t="s">
        <v>2588</v>
      </c>
      <c r="AG2114" t="s">
        <v>2592</v>
      </c>
    </row>
    <row r="2115" spans="1:33">
      <c r="A2115" s="2" t="s">
        <v>61</v>
      </c>
      <c r="B2115" s="2" t="s">
        <v>57</v>
      </c>
      <c r="C2115" s="1">
        <v>0.62063455999999995</v>
      </c>
      <c r="D2115">
        <v>0.67798104299999995</v>
      </c>
      <c r="E2115">
        <v>0.72175371600000005</v>
      </c>
      <c r="F2115" s="1" t="s">
        <v>62</v>
      </c>
      <c r="G2115" s="1">
        <v>7.5471698109999998</v>
      </c>
      <c r="H2115" s="1">
        <v>26.4</v>
      </c>
      <c r="I2115" s="1">
        <v>10.6</v>
      </c>
      <c r="J2115" s="1">
        <v>0.6734564396666668</v>
      </c>
      <c r="K2115" s="1">
        <v>0.528732855</v>
      </c>
      <c r="L2115" s="1">
        <v>0.63387497599999998</v>
      </c>
      <c r="M2115" s="3">
        <v>0.63337360200000004</v>
      </c>
      <c r="N2115" s="1" t="s">
        <v>58</v>
      </c>
      <c r="O2115" s="1">
        <v>1.386610879</v>
      </c>
      <c r="P2115" s="1">
        <v>69</v>
      </c>
      <c r="Q2115" s="1">
        <v>119.5</v>
      </c>
      <c r="R2115" s="1">
        <v>0.59866047766666663</v>
      </c>
      <c r="S2115" s="1">
        <v>0.13491594820023503</v>
      </c>
      <c r="T2115" t="s">
        <v>2262</v>
      </c>
      <c r="U2115" s="1">
        <v>954</v>
      </c>
      <c r="V2115">
        <f t="shared" si="132"/>
        <v>0.33106093052267727</v>
      </c>
      <c r="W2115" s="1">
        <f t="shared" si="133"/>
        <v>42.6</v>
      </c>
      <c r="X2115">
        <f t="shared" si="134"/>
        <v>6.1605589319999998</v>
      </c>
      <c r="Y2115">
        <f t="shared" si="135"/>
        <v>108.9</v>
      </c>
      <c r="Z2115" s="1">
        <v>0</v>
      </c>
      <c r="AA2115">
        <v>100</v>
      </c>
      <c r="AB2115">
        <v>0</v>
      </c>
      <c r="AC2115">
        <v>0</v>
      </c>
      <c r="AD2115">
        <v>96</v>
      </c>
      <c r="AE2115">
        <v>0</v>
      </c>
      <c r="AF2115" t="s">
        <v>2588</v>
      </c>
      <c r="AG2115" t="s">
        <v>2589</v>
      </c>
    </row>
    <row r="2116" spans="1:33">
      <c r="A2116" s="2" t="s">
        <v>61</v>
      </c>
      <c r="B2116" s="2" t="s">
        <v>59</v>
      </c>
      <c r="C2116" s="1">
        <v>0.62063455999999995</v>
      </c>
      <c r="D2116">
        <v>0.67798104299999995</v>
      </c>
      <c r="E2116">
        <v>0.72175371600000005</v>
      </c>
      <c r="F2116" s="1" t="s">
        <v>62</v>
      </c>
      <c r="G2116" s="1">
        <v>7.5471698109999998</v>
      </c>
      <c r="H2116" s="1">
        <v>26.4</v>
      </c>
      <c r="I2116" s="1">
        <v>10.6</v>
      </c>
      <c r="J2116" s="1">
        <v>0.6734564396666668</v>
      </c>
      <c r="K2116" s="1">
        <v>0.56225432799999997</v>
      </c>
      <c r="L2116" s="1">
        <v>0.68100706499999997</v>
      </c>
      <c r="M2116" s="3">
        <v>0.67505263699999996</v>
      </c>
      <c r="N2116" s="1" t="s">
        <v>60</v>
      </c>
      <c r="O2116" s="1">
        <v>1.1501154730000001</v>
      </c>
      <c r="P2116" s="1">
        <v>60.5</v>
      </c>
      <c r="Q2116" s="1">
        <v>129.9</v>
      </c>
      <c r="R2116" s="1">
        <v>0.63943801</v>
      </c>
      <c r="S2116" s="1">
        <v>7.4822450356043235E-2</v>
      </c>
      <c r="T2116" t="s">
        <v>2263</v>
      </c>
      <c r="U2116" s="1">
        <v>2144</v>
      </c>
      <c r="V2116">
        <f t="shared" si="132"/>
        <v>0.37013608678008136</v>
      </c>
      <c r="W2116" s="1">
        <f t="shared" si="133"/>
        <v>34.1</v>
      </c>
      <c r="X2116">
        <f t="shared" si="134"/>
        <v>6.3970543380000002</v>
      </c>
      <c r="Y2116">
        <f t="shared" si="135"/>
        <v>119.30000000000001</v>
      </c>
      <c r="Z2116" s="1">
        <v>0</v>
      </c>
      <c r="AA2116">
        <v>100</v>
      </c>
      <c r="AB2116">
        <v>0</v>
      </c>
      <c r="AC2116">
        <v>0</v>
      </c>
      <c r="AD2116">
        <v>115</v>
      </c>
      <c r="AE2116">
        <v>0</v>
      </c>
      <c r="AF2116" t="s">
        <v>2588</v>
      </c>
      <c r="AG2116" t="s">
        <v>2589</v>
      </c>
    </row>
    <row r="2117" spans="1:33">
      <c r="A2117" s="2" t="s">
        <v>59</v>
      </c>
      <c r="B2117" s="2" t="s">
        <v>10</v>
      </c>
      <c r="C2117" s="1">
        <v>0.56225432799999997</v>
      </c>
      <c r="D2117">
        <v>0.68100706499999997</v>
      </c>
      <c r="E2117">
        <v>0.67505263699999996</v>
      </c>
      <c r="F2117" s="1" t="s">
        <v>60</v>
      </c>
      <c r="G2117" s="1">
        <v>1.1501154730000001</v>
      </c>
      <c r="H2117" s="1">
        <v>60.5</v>
      </c>
      <c r="I2117" s="1">
        <v>129.9</v>
      </c>
      <c r="J2117" s="1">
        <v>0.63943801</v>
      </c>
      <c r="K2117" s="1">
        <v>0.52456325500000001</v>
      </c>
      <c r="L2117" s="1">
        <v>0.61925627999999999</v>
      </c>
      <c r="M2117" s="3">
        <v>0.72111139899999999</v>
      </c>
      <c r="N2117" s="1" t="s">
        <v>12</v>
      </c>
      <c r="O2117" s="1">
        <v>0.61690647499999995</v>
      </c>
      <c r="P2117" s="1">
        <v>30</v>
      </c>
      <c r="Q2117" s="1">
        <v>111.2</v>
      </c>
      <c r="R2117" s="1">
        <v>0.62164364466666666</v>
      </c>
      <c r="S2117" s="1">
        <v>8.5762380966133367E-2</v>
      </c>
      <c r="T2117" t="s">
        <v>2264</v>
      </c>
      <c r="U2117" s="1">
        <v>4090</v>
      </c>
      <c r="V2117">
        <f t="shared" si="132"/>
        <v>0.40130258977859357</v>
      </c>
      <c r="W2117" s="1">
        <f t="shared" si="133"/>
        <v>30.5</v>
      </c>
      <c r="X2117">
        <f t="shared" si="134"/>
        <v>0.5332089980000001</v>
      </c>
      <c r="Y2117">
        <f t="shared" si="135"/>
        <v>18.700000000000003</v>
      </c>
      <c r="Z2117" s="1">
        <v>4</v>
      </c>
      <c r="AA2117">
        <v>96</v>
      </c>
      <c r="AB2117">
        <v>4.1700000000000001E-2</v>
      </c>
      <c r="AC2117">
        <v>5</v>
      </c>
      <c r="AD2117">
        <v>172</v>
      </c>
      <c r="AE2117">
        <v>2.9100000000000001E-2</v>
      </c>
      <c r="AF2117" t="s">
        <v>2589</v>
      </c>
      <c r="AG2117" t="s">
        <v>2588</v>
      </c>
    </row>
    <row r="2118" spans="1:33">
      <c r="A2118" s="2" t="s">
        <v>59</v>
      </c>
      <c r="B2118" s="2" t="s">
        <v>13</v>
      </c>
      <c r="C2118" s="1">
        <v>0.56225432799999997</v>
      </c>
      <c r="D2118">
        <v>0.68100706499999997</v>
      </c>
      <c r="E2118">
        <v>0.67505263699999996</v>
      </c>
      <c r="F2118" s="1" t="s">
        <v>60</v>
      </c>
      <c r="G2118" s="1">
        <v>1.1501154730000001</v>
      </c>
      <c r="H2118" s="1">
        <v>60.5</v>
      </c>
      <c r="I2118" s="1">
        <v>129.9</v>
      </c>
      <c r="J2118" s="1">
        <v>0.63943801</v>
      </c>
      <c r="K2118" s="1">
        <v>0.48695497399999998</v>
      </c>
      <c r="L2118" s="1">
        <v>0.54991327199999995</v>
      </c>
      <c r="M2118" s="3">
        <v>0.67282609299999996</v>
      </c>
      <c r="N2118" s="1" t="s">
        <v>14</v>
      </c>
      <c r="O2118" s="1">
        <v>1.6052009460000001</v>
      </c>
      <c r="P2118" s="1">
        <v>26.6</v>
      </c>
      <c r="Q2118" s="1">
        <v>42.3</v>
      </c>
      <c r="R2118" s="1">
        <v>0.56989811299999993</v>
      </c>
      <c r="S2118" s="1">
        <v>0.15119699988468058</v>
      </c>
      <c r="T2118" t="s">
        <v>2265</v>
      </c>
      <c r="U2118" s="1">
        <v>805</v>
      </c>
      <c r="V2118">
        <f t="shared" si="132"/>
        <v>0.3228662089297632</v>
      </c>
      <c r="W2118" s="1">
        <f t="shared" si="133"/>
        <v>33.9</v>
      </c>
      <c r="X2118">
        <f t="shared" si="134"/>
        <v>0.45508547300000002</v>
      </c>
      <c r="Y2118">
        <f t="shared" si="135"/>
        <v>87.600000000000009</v>
      </c>
      <c r="Z2118" s="1">
        <v>1</v>
      </c>
      <c r="AA2118">
        <v>99</v>
      </c>
      <c r="AB2118">
        <v>1.01E-2</v>
      </c>
      <c r="AC2118">
        <v>2</v>
      </c>
      <c r="AD2118">
        <v>122</v>
      </c>
      <c r="AE2118">
        <v>1.6400000000000001E-2</v>
      </c>
      <c r="AF2118" t="s">
        <v>2589</v>
      </c>
      <c r="AG2118" t="s">
        <v>2590</v>
      </c>
    </row>
    <row r="2119" spans="1:33">
      <c r="A2119" s="2" t="s">
        <v>59</v>
      </c>
      <c r="B2119" s="2" t="s">
        <v>15</v>
      </c>
      <c r="C2119" s="1">
        <v>0.56225432799999997</v>
      </c>
      <c r="D2119">
        <v>0.68100706499999997</v>
      </c>
      <c r="E2119">
        <v>0.67505263699999996</v>
      </c>
      <c r="F2119" s="1" t="s">
        <v>60</v>
      </c>
      <c r="G2119" s="1">
        <v>1.1501154730000001</v>
      </c>
      <c r="H2119" s="1">
        <v>60.5</v>
      </c>
      <c r="I2119" s="1">
        <v>129.9</v>
      </c>
      <c r="J2119" s="1">
        <v>0.63943801</v>
      </c>
      <c r="K2119" s="1">
        <v>0.54560998800000005</v>
      </c>
      <c r="L2119" s="1">
        <v>0.66721428400000005</v>
      </c>
      <c r="M2119" s="3">
        <v>0.72650398400000005</v>
      </c>
      <c r="N2119" s="1" t="s">
        <v>16</v>
      </c>
      <c r="O2119" s="1">
        <v>5.1392405060000002</v>
      </c>
      <c r="P2119" s="1">
        <v>35.9</v>
      </c>
      <c r="Q2119" s="1">
        <v>15.8</v>
      </c>
      <c r="R2119" s="1">
        <v>0.64644275200000012</v>
      </c>
      <c r="S2119" s="1">
        <v>5.5807848640347844E-2</v>
      </c>
      <c r="T2119" t="s">
        <v>2266</v>
      </c>
      <c r="U2119" s="1">
        <v>6559</v>
      </c>
      <c r="V2119">
        <f t="shared" si="132"/>
        <v>0.42409307010022612</v>
      </c>
      <c r="W2119" s="1">
        <f t="shared" si="133"/>
        <v>24.6</v>
      </c>
      <c r="X2119">
        <f t="shared" si="134"/>
        <v>3.9891250330000001</v>
      </c>
      <c r="Y2119">
        <f t="shared" si="135"/>
        <v>114.10000000000001</v>
      </c>
      <c r="Z2119" s="1">
        <v>0</v>
      </c>
      <c r="AA2119">
        <v>100</v>
      </c>
      <c r="AB2119">
        <v>0</v>
      </c>
      <c r="AC2119">
        <v>0</v>
      </c>
      <c r="AD2119">
        <v>120</v>
      </c>
      <c r="AE2119">
        <v>0</v>
      </c>
      <c r="AF2119" t="s">
        <v>2589</v>
      </c>
      <c r="AG2119" t="s">
        <v>2591</v>
      </c>
    </row>
    <row r="2120" spans="1:33">
      <c r="A2120" s="2" t="s">
        <v>59</v>
      </c>
      <c r="B2120" s="2" t="s">
        <v>17</v>
      </c>
      <c r="C2120" s="1">
        <v>0.56225432799999997</v>
      </c>
      <c r="D2120">
        <v>0.68100706499999997</v>
      </c>
      <c r="E2120">
        <v>0.67505263699999996</v>
      </c>
      <c r="F2120" s="1" t="s">
        <v>60</v>
      </c>
      <c r="G2120" s="1">
        <v>1.1501154730000001</v>
      </c>
      <c r="H2120" s="1">
        <v>60.5</v>
      </c>
      <c r="I2120" s="1">
        <v>129.9</v>
      </c>
      <c r="J2120" s="1">
        <v>0.63943801</v>
      </c>
      <c r="K2120" s="1">
        <v>0.659112378</v>
      </c>
      <c r="L2120" s="1">
        <v>0.68333493499999998</v>
      </c>
      <c r="M2120" s="3">
        <v>0.70345495199999997</v>
      </c>
      <c r="N2120" s="1" t="s">
        <v>18</v>
      </c>
      <c r="O2120" s="1">
        <v>1.9463955639999999</v>
      </c>
      <c r="P2120" s="1">
        <v>46.3</v>
      </c>
      <c r="Q2120" s="1">
        <v>54.1</v>
      </c>
      <c r="R2120" s="1">
        <v>0.68196742166666668</v>
      </c>
      <c r="S2120" s="1">
        <v>0.10096332168613824</v>
      </c>
      <c r="T2120" t="s">
        <v>2267</v>
      </c>
      <c r="U2120" s="1">
        <v>2557</v>
      </c>
      <c r="V2120">
        <f t="shared" si="132"/>
        <v>0.37863674755848176</v>
      </c>
      <c r="W2120" s="1">
        <f t="shared" si="133"/>
        <v>14.200000000000003</v>
      </c>
      <c r="X2120">
        <f t="shared" si="134"/>
        <v>0.79628009099999986</v>
      </c>
      <c r="Y2120">
        <f t="shared" si="135"/>
        <v>75.800000000000011</v>
      </c>
      <c r="Z2120" s="1">
        <v>0</v>
      </c>
      <c r="AA2120">
        <v>100</v>
      </c>
      <c r="AB2120">
        <v>0</v>
      </c>
      <c r="AC2120">
        <v>0</v>
      </c>
      <c r="AD2120">
        <v>134</v>
      </c>
      <c r="AE2120">
        <v>0</v>
      </c>
      <c r="AF2120" t="s">
        <v>2589</v>
      </c>
      <c r="AG2120" t="s">
        <v>2591</v>
      </c>
    </row>
    <row r="2121" spans="1:33">
      <c r="A2121" s="2" t="s">
        <v>59</v>
      </c>
      <c r="B2121" s="2" t="s">
        <v>19</v>
      </c>
      <c r="C2121" s="1">
        <v>0.56225432799999997</v>
      </c>
      <c r="D2121">
        <v>0.68100706499999997</v>
      </c>
      <c r="E2121">
        <v>0.67505263699999996</v>
      </c>
      <c r="F2121" s="1" t="s">
        <v>60</v>
      </c>
      <c r="G2121" s="1">
        <v>1.1501154730000001</v>
      </c>
      <c r="H2121" s="1">
        <v>60.5</v>
      </c>
      <c r="I2121" s="1">
        <v>129.9</v>
      </c>
      <c r="J2121" s="1">
        <v>0.63943801</v>
      </c>
      <c r="K2121" s="1">
        <v>0.49391595300000002</v>
      </c>
      <c r="L2121" s="1">
        <v>0.603599314</v>
      </c>
      <c r="M2121" s="3">
        <v>0.63481471599999995</v>
      </c>
      <c r="N2121" s="1" t="s">
        <v>20</v>
      </c>
      <c r="O2121" s="1">
        <v>1.2140902870000001</v>
      </c>
      <c r="P2121" s="1">
        <v>64.900000000000006</v>
      </c>
      <c r="Q2121" s="1">
        <v>146.19999999999999</v>
      </c>
      <c r="R2121" s="1">
        <v>0.57744332766666662</v>
      </c>
      <c r="S2121" s="1">
        <v>0.11082050215966745</v>
      </c>
      <c r="T2121" t="s">
        <v>2268</v>
      </c>
      <c r="U2121" s="1">
        <v>4869</v>
      </c>
      <c r="V2121">
        <f t="shared" si="132"/>
        <v>0.4097155305050994</v>
      </c>
      <c r="W2121" s="1">
        <f t="shared" si="133"/>
        <v>4.4000000000000057</v>
      </c>
      <c r="X2121">
        <f t="shared" si="134"/>
        <v>6.3974814000000046E-2</v>
      </c>
      <c r="Y2121">
        <f t="shared" si="135"/>
        <v>16.299999999999983</v>
      </c>
      <c r="Z2121" s="1">
        <v>9</v>
      </c>
      <c r="AA2121">
        <v>91</v>
      </c>
      <c r="AB2121">
        <v>9.8900000000000002E-2</v>
      </c>
      <c r="AC2121">
        <v>12</v>
      </c>
      <c r="AD2121">
        <v>102</v>
      </c>
      <c r="AE2121">
        <v>0.1176</v>
      </c>
      <c r="AF2121" t="s">
        <v>2589</v>
      </c>
      <c r="AG2121" t="s">
        <v>2593</v>
      </c>
    </row>
    <row r="2122" spans="1:33">
      <c r="A2122" s="2" t="s">
        <v>59</v>
      </c>
      <c r="B2122" s="2" t="s">
        <v>21</v>
      </c>
      <c r="C2122" s="1">
        <v>0.56225432799999997</v>
      </c>
      <c r="D2122">
        <v>0.68100706499999997</v>
      </c>
      <c r="E2122">
        <v>0.67505263699999996</v>
      </c>
      <c r="F2122" s="1" t="s">
        <v>60</v>
      </c>
      <c r="G2122" s="1">
        <v>1.1501154730000001</v>
      </c>
      <c r="H2122" s="1">
        <v>60.5</v>
      </c>
      <c r="I2122" s="1">
        <v>129.9</v>
      </c>
      <c r="J2122" s="1">
        <v>0.63943801</v>
      </c>
      <c r="K2122" s="1">
        <v>0.53276376800000003</v>
      </c>
      <c r="L2122" s="1">
        <v>0.65428149899999999</v>
      </c>
      <c r="M2122" s="3">
        <v>0.70160154799999996</v>
      </c>
      <c r="N2122" s="1" t="s">
        <v>22</v>
      </c>
      <c r="O2122" s="1">
        <v>1.2440604749999999</v>
      </c>
      <c r="P2122" s="1">
        <v>24.6</v>
      </c>
      <c r="Q2122" s="1">
        <v>46.3</v>
      </c>
      <c r="R2122" s="1">
        <v>0.62954893833333336</v>
      </c>
      <c r="S2122" s="1">
        <v>4.7841338635325338E-2</v>
      </c>
      <c r="T2122" t="s">
        <v>2269</v>
      </c>
      <c r="U2122" s="1">
        <v>15406</v>
      </c>
      <c r="V2122">
        <f t="shared" si="132"/>
        <v>0.46529887705835382</v>
      </c>
      <c r="W2122" s="1">
        <f t="shared" si="133"/>
        <v>35.9</v>
      </c>
      <c r="X2122">
        <f t="shared" si="134"/>
        <v>9.3945001999999889E-2</v>
      </c>
      <c r="Y2122">
        <f t="shared" si="135"/>
        <v>83.600000000000009</v>
      </c>
      <c r="Z2122" s="1">
        <v>2</v>
      </c>
      <c r="AA2122">
        <v>98</v>
      </c>
      <c r="AB2122">
        <v>2.0400000000000001E-2</v>
      </c>
      <c r="AC2122">
        <v>2</v>
      </c>
      <c r="AD2122">
        <v>118</v>
      </c>
      <c r="AE2122">
        <v>1.6899999999999998E-2</v>
      </c>
      <c r="AF2122" t="s">
        <v>2589</v>
      </c>
      <c r="AG2122" t="s">
        <v>2589</v>
      </c>
    </row>
    <row r="2123" spans="1:33">
      <c r="A2123" s="2" t="s">
        <v>59</v>
      </c>
      <c r="B2123" s="2" t="s">
        <v>23</v>
      </c>
      <c r="C2123" s="1">
        <v>0.56225432799999997</v>
      </c>
      <c r="D2123">
        <v>0.68100706499999997</v>
      </c>
      <c r="E2123">
        <v>0.67505263699999996</v>
      </c>
      <c r="F2123" s="1" t="s">
        <v>60</v>
      </c>
      <c r="G2123" s="1">
        <v>1.1501154730000001</v>
      </c>
      <c r="H2123" s="1">
        <v>60.5</v>
      </c>
      <c r="I2123" s="1">
        <v>129.9</v>
      </c>
      <c r="J2123" s="1">
        <v>0.63943801</v>
      </c>
      <c r="K2123" s="1">
        <v>0.49415677200000002</v>
      </c>
      <c r="L2123" s="1">
        <v>0.62090818999999997</v>
      </c>
      <c r="M2123" s="3">
        <v>0.63381026900000004</v>
      </c>
      <c r="N2123" s="1" t="s">
        <v>24</v>
      </c>
      <c r="O2123" s="1">
        <v>1.141304348</v>
      </c>
      <c r="P2123" s="1">
        <v>44.4</v>
      </c>
      <c r="Q2123" s="1">
        <v>101.2</v>
      </c>
      <c r="R2123" s="1">
        <v>0.58295841033333329</v>
      </c>
      <c r="S2123" s="1">
        <v>9.9750111918163631E-2</v>
      </c>
      <c r="T2123" t="s">
        <v>2270</v>
      </c>
      <c r="U2123" s="1">
        <v>2426</v>
      </c>
      <c r="V2123">
        <f t="shared" si="132"/>
        <v>0.37609897739228382</v>
      </c>
      <c r="W2123" s="1">
        <f t="shared" si="133"/>
        <v>16.100000000000001</v>
      </c>
      <c r="X2123">
        <f t="shared" si="134"/>
        <v>8.8111250000000307E-3</v>
      </c>
      <c r="Y2123">
        <f t="shared" si="135"/>
        <v>28.700000000000003</v>
      </c>
      <c r="Z2123" s="1">
        <v>3</v>
      </c>
      <c r="AA2123">
        <v>97</v>
      </c>
      <c r="AB2123">
        <v>3.09E-2</v>
      </c>
      <c r="AC2123">
        <v>5</v>
      </c>
      <c r="AD2123">
        <v>111</v>
      </c>
      <c r="AE2123">
        <v>4.4999999999999998E-2</v>
      </c>
      <c r="AF2123" t="s">
        <v>2589</v>
      </c>
      <c r="AG2123" t="s">
        <v>2590</v>
      </c>
    </row>
    <row r="2124" spans="1:33">
      <c r="A2124" s="2" t="s">
        <v>59</v>
      </c>
      <c r="B2124" s="2" t="s">
        <v>25</v>
      </c>
      <c r="C2124" s="1">
        <v>0.56225432799999997</v>
      </c>
      <c r="D2124">
        <v>0.68100706499999997</v>
      </c>
      <c r="E2124">
        <v>0.67505263699999996</v>
      </c>
      <c r="F2124" s="1" t="s">
        <v>60</v>
      </c>
      <c r="G2124" s="1">
        <v>1.1501154730000001</v>
      </c>
      <c r="H2124" s="1">
        <v>60.5</v>
      </c>
      <c r="I2124" s="1">
        <v>129.9</v>
      </c>
      <c r="J2124" s="1">
        <v>0.63943801</v>
      </c>
      <c r="K2124" s="1">
        <v>0.53959274199999996</v>
      </c>
      <c r="L2124" s="1">
        <v>0.64971567399999997</v>
      </c>
      <c r="M2124" s="3">
        <v>0.65028459999999999</v>
      </c>
      <c r="N2124" s="1" t="s">
        <v>26</v>
      </c>
      <c r="O2124" s="1">
        <v>1.623046875</v>
      </c>
      <c r="P2124" s="1">
        <v>34.700000000000003</v>
      </c>
      <c r="Q2124" s="1">
        <v>51.2</v>
      </c>
      <c r="R2124" s="1">
        <v>0.61319767199999997</v>
      </c>
      <c r="S2124" s="1">
        <v>4.5892856607359325E-2</v>
      </c>
      <c r="T2124" t="s">
        <v>2271</v>
      </c>
      <c r="U2124" s="1">
        <v>15543</v>
      </c>
      <c r="V2124">
        <f t="shared" si="132"/>
        <v>0.46572609411186483</v>
      </c>
      <c r="W2124" s="1">
        <f t="shared" si="133"/>
        <v>25.799999999999997</v>
      </c>
      <c r="X2124">
        <f t="shared" si="134"/>
        <v>0.47293140199999995</v>
      </c>
      <c r="Y2124">
        <f t="shared" si="135"/>
        <v>78.7</v>
      </c>
      <c r="Z2124" s="1">
        <v>0</v>
      </c>
      <c r="AA2124">
        <v>100</v>
      </c>
      <c r="AB2124">
        <v>0</v>
      </c>
      <c r="AC2124">
        <v>0</v>
      </c>
      <c r="AD2124">
        <v>118</v>
      </c>
      <c r="AE2124">
        <v>0</v>
      </c>
      <c r="AF2124" t="s">
        <v>2589</v>
      </c>
      <c r="AG2124" t="s">
        <v>2594</v>
      </c>
    </row>
    <row r="2125" spans="1:33">
      <c r="A2125" s="2" t="s">
        <v>59</v>
      </c>
      <c r="B2125" s="2" t="s">
        <v>27</v>
      </c>
      <c r="C2125" s="1">
        <v>0.56225432799999997</v>
      </c>
      <c r="D2125">
        <v>0.68100706499999997</v>
      </c>
      <c r="E2125">
        <v>0.67505263699999996</v>
      </c>
      <c r="F2125" s="1" t="s">
        <v>60</v>
      </c>
      <c r="G2125" s="1">
        <v>1.1501154730000001</v>
      </c>
      <c r="H2125" s="1">
        <v>60.5</v>
      </c>
      <c r="I2125" s="1">
        <v>129.9</v>
      </c>
      <c r="J2125" s="1">
        <v>0.63943801</v>
      </c>
      <c r="K2125" s="1">
        <v>0.518608662</v>
      </c>
      <c r="L2125" s="1">
        <v>0.64320369700000002</v>
      </c>
      <c r="M2125" s="3">
        <v>0.62228994199999998</v>
      </c>
      <c r="N2125" s="1" t="s">
        <v>28</v>
      </c>
      <c r="O2125" s="1">
        <v>1.8717391299999999</v>
      </c>
      <c r="P2125" s="1">
        <v>33.700000000000003</v>
      </c>
      <c r="Q2125" s="1">
        <v>46</v>
      </c>
      <c r="R2125" s="1">
        <v>0.59470076699999996</v>
      </c>
      <c r="S2125" s="1">
        <v>7.8217266485028705E-2</v>
      </c>
      <c r="T2125" t="s">
        <v>2272</v>
      </c>
      <c r="U2125" s="1">
        <v>1944</v>
      </c>
      <c r="V2125">
        <f t="shared" si="132"/>
        <v>0.36541069562113954</v>
      </c>
      <c r="W2125" s="1">
        <f t="shared" si="133"/>
        <v>26.799999999999997</v>
      </c>
      <c r="X2125">
        <f t="shared" si="134"/>
        <v>0.72162365699999986</v>
      </c>
      <c r="Y2125">
        <f t="shared" si="135"/>
        <v>83.9</v>
      </c>
      <c r="Z2125" s="1">
        <v>2</v>
      </c>
      <c r="AA2125">
        <v>98</v>
      </c>
      <c r="AB2125">
        <v>2.0400000000000001E-2</v>
      </c>
      <c r="AC2125">
        <v>3</v>
      </c>
      <c r="AD2125">
        <v>122</v>
      </c>
      <c r="AE2125">
        <v>2.46E-2</v>
      </c>
      <c r="AF2125" t="s">
        <v>2589</v>
      </c>
      <c r="AG2125" t="s">
        <v>2590</v>
      </c>
    </row>
    <row r="2126" spans="1:33">
      <c r="A2126" s="2" t="s">
        <v>59</v>
      </c>
      <c r="B2126" s="2" t="s">
        <v>29</v>
      </c>
      <c r="C2126" s="1">
        <v>0.56225432799999997</v>
      </c>
      <c r="D2126">
        <v>0.68100706499999997</v>
      </c>
      <c r="E2126">
        <v>0.67505263699999996</v>
      </c>
      <c r="F2126" s="1" t="s">
        <v>60</v>
      </c>
      <c r="G2126" s="1">
        <v>1.1501154730000001</v>
      </c>
      <c r="H2126" s="1">
        <v>60.5</v>
      </c>
      <c r="I2126" s="1">
        <v>129.9</v>
      </c>
      <c r="J2126" s="1">
        <v>0.63943801</v>
      </c>
      <c r="K2126" s="1">
        <v>0.59351545100000003</v>
      </c>
      <c r="L2126" s="1">
        <v>0.68136602400000001</v>
      </c>
      <c r="M2126" s="3">
        <v>0.73518087600000004</v>
      </c>
      <c r="N2126" s="1" t="s">
        <v>30</v>
      </c>
      <c r="O2126" s="1">
        <v>2.849112426</v>
      </c>
      <c r="P2126" s="1">
        <v>37.9</v>
      </c>
      <c r="Q2126" s="1">
        <v>33.799999999999997</v>
      </c>
      <c r="R2126" s="1">
        <v>0.67002078366666673</v>
      </c>
      <c r="S2126" s="1">
        <v>6.7770139353744471E-2</v>
      </c>
      <c r="T2126" t="s">
        <v>2273</v>
      </c>
      <c r="U2126" s="1">
        <v>870</v>
      </c>
      <c r="V2126">
        <f t="shared" si="132"/>
        <v>0.32661325029095761</v>
      </c>
      <c r="W2126" s="1">
        <f t="shared" si="133"/>
        <v>22.6</v>
      </c>
      <c r="X2126">
        <f t="shared" si="134"/>
        <v>1.698996953</v>
      </c>
      <c r="Y2126">
        <f t="shared" si="135"/>
        <v>96.100000000000009</v>
      </c>
      <c r="Z2126" s="1">
        <v>0</v>
      </c>
      <c r="AA2126">
        <v>100</v>
      </c>
      <c r="AB2126">
        <v>0</v>
      </c>
      <c r="AC2126">
        <v>0</v>
      </c>
      <c r="AD2126">
        <v>114</v>
      </c>
      <c r="AE2126">
        <v>0</v>
      </c>
      <c r="AF2126" t="s">
        <v>2589</v>
      </c>
      <c r="AG2126" t="s">
        <v>2593</v>
      </c>
    </row>
    <row r="2127" spans="1:33">
      <c r="A2127" s="2" t="s">
        <v>59</v>
      </c>
      <c r="B2127" s="2" t="s">
        <v>31</v>
      </c>
      <c r="C2127" s="1">
        <v>0.56225432799999997</v>
      </c>
      <c r="D2127">
        <v>0.68100706499999997</v>
      </c>
      <c r="E2127">
        <v>0.67505263699999996</v>
      </c>
      <c r="F2127" s="1" t="s">
        <v>60</v>
      </c>
      <c r="G2127" s="1">
        <v>1.1501154730000001</v>
      </c>
      <c r="H2127" s="1">
        <v>60.5</v>
      </c>
      <c r="I2127" s="1">
        <v>129.9</v>
      </c>
      <c r="J2127" s="1">
        <v>0.63943801</v>
      </c>
      <c r="K2127" s="1">
        <v>0.47727961800000002</v>
      </c>
      <c r="L2127" s="1">
        <v>0.66941086400000005</v>
      </c>
      <c r="M2127" s="3">
        <v>0.69294815300000001</v>
      </c>
      <c r="N2127" s="1" t="s">
        <v>32</v>
      </c>
      <c r="O2127" s="1">
        <v>1.341891892</v>
      </c>
      <c r="P2127" s="1">
        <v>42.1</v>
      </c>
      <c r="Q2127" s="1">
        <v>74</v>
      </c>
      <c r="R2127" s="1">
        <v>0.61321287833333338</v>
      </c>
      <c r="S2127" s="1">
        <v>8.7609489840557511E-2</v>
      </c>
      <c r="T2127" t="s">
        <v>2274</v>
      </c>
      <c r="U2127" s="1">
        <v>12094</v>
      </c>
      <c r="V2127">
        <f t="shared" si="132"/>
        <v>0.45361888491888031</v>
      </c>
      <c r="W2127" s="1">
        <f t="shared" si="133"/>
        <v>18.399999999999999</v>
      </c>
      <c r="X2127">
        <f t="shared" si="134"/>
        <v>0.19177641899999998</v>
      </c>
      <c r="Y2127">
        <f t="shared" si="135"/>
        <v>55.900000000000006</v>
      </c>
      <c r="Z2127" s="1">
        <v>11</v>
      </c>
      <c r="AA2127">
        <v>89</v>
      </c>
      <c r="AB2127">
        <v>0.1236</v>
      </c>
      <c r="AC2127">
        <v>12</v>
      </c>
      <c r="AD2127">
        <v>110</v>
      </c>
      <c r="AE2127">
        <v>0.1091</v>
      </c>
      <c r="AF2127" t="s">
        <v>2589</v>
      </c>
      <c r="AG2127" t="s">
        <v>2589</v>
      </c>
    </row>
    <row r="2128" spans="1:33">
      <c r="A2128" s="2" t="s">
        <v>59</v>
      </c>
      <c r="B2128" s="2" t="s">
        <v>33</v>
      </c>
      <c r="C2128" s="1">
        <v>0.56225432799999997</v>
      </c>
      <c r="D2128">
        <v>0.68100706499999997</v>
      </c>
      <c r="E2128">
        <v>0.67505263699999996</v>
      </c>
      <c r="F2128" s="1" t="s">
        <v>60</v>
      </c>
      <c r="G2128" s="1">
        <v>1.1501154730000001</v>
      </c>
      <c r="H2128" s="1">
        <v>60.5</v>
      </c>
      <c r="I2128" s="1">
        <v>129.9</v>
      </c>
      <c r="J2128" s="1">
        <v>0.63943801</v>
      </c>
      <c r="K2128" s="1">
        <v>0.51347926600000005</v>
      </c>
      <c r="L2128" s="1">
        <v>0.63144379399999995</v>
      </c>
      <c r="M2128" s="3">
        <v>0.64189093500000005</v>
      </c>
      <c r="N2128" s="1" t="s">
        <v>34</v>
      </c>
      <c r="O2128" s="1">
        <v>2.3123667380000001</v>
      </c>
      <c r="P2128" s="1">
        <v>79.099999999999994</v>
      </c>
      <c r="Q2128" s="1">
        <v>93.8</v>
      </c>
      <c r="R2128" s="1">
        <v>0.59560466500000009</v>
      </c>
      <c r="S2128" s="1">
        <v>7.7040398394998433E-2</v>
      </c>
      <c r="T2128" t="s">
        <v>2275</v>
      </c>
      <c r="U2128" s="1">
        <v>7306</v>
      </c>
      <c r="V2128">
        <f t="shared" si="132"/>
        <v>0.42929774087509975</v>
      </c>
      <c r="W2128" s="1">
        <f t="shared" si="133"/>
        <v>18.599999999999994</v>
      </c>
      <c r="X2128">
        <f t="shared" si="134"/>
        <v>1.1622512650000001</v>
      </c>
      <c r="Y2128">
        <f t="shared" si="135"/>
        <v>36.100000000000009</v>
      </c>
      <c r="Z2128" s="1">
        <v>8</v>
      </c>
      <c r="AA2128">
        <v>92</v>
      </c>
      <c r="AB2128">
        <v>8.6999999999999994E-2</v>
      </c>
      <c r="AC2128">
        <v>9</v>
      </c>
      <c r="AD2128">
        <v>107</v>
      </c>
      <c r="AE2128">
        <v>8.4099999999999994E-2</v>
      </c>
      <c r="AF2128" t="s">
        <v>2589</v>
      </c>
      <c r="AG2128" t="s">
        <v>2590</v>
      </c>
    </row>
    <row r="2129" spans="1:33">
      <c r="A2129" s="2" t="s">
        <v>59</v>
      </c>
      <c r="B2129" s="2" t="s">
        <v>35</v>
      </c>
      <c r="C2129" s="1">
        <v>0.56225432799999997</v>
      </c>
      <c r="D2129">
        <v>0.68100706499999997</v>
      </c>
      <c r="E2129">
        <v>0.67505263699999996</v>
      </c>
      <c r="F2129" s="1" t="s">
        <v>60</v>
      </c>
      <c r="G2129" s="1">
        <v>1.1501154730000001</v>
      </c>
      <c r="H2129" s="1">
        <v>60.5</v>
      </c>
      <c r="I2129" s="1">
        <v>129.9</v>
      </c>
      <c r="J2129" s="1">
        <v>0.63943801</v>
      </c>
      <c r="K2129" s="1">
        <v>0.52542897600000005</v>
      </c>
      <c r="L2129" s="1">
        <v>0.60774736299999998</v>
      </c>
      <c r="M2129" s="3">
        <v>0.62585751700000003</v>
      </c>
      <c r="N2129" s="1" t="s">
        <v>36</v>
      </c>
      <c r="O2129" s="1">
        <v>0.98848810399999998</v>
      </c>
      <c r="P2129" s="1">
        <v>54.2</v>
      </c>
      <c r="Q2129" s="1">
        <v>130.30000000000001</v>
      </c>
      <c r="R2129" s="1">
        <v>0.58634461866666665</v>
      </c>
      <c r="S2129" s="1">
        <v>9.5620344691216691E-2</v>
      </c>
      <c r="T2129" t="s">
        <v>2276</v>
      </c>
      <c r="U2129" s="1">
        <v>23400</v>
      </c>
      <c r="V2129">
        <f t="shared" si="132"/>
        <v>0.48546842860112693</v>
      </c>
      <c r="W2129" s="1">
        <f t="shared" si="133"/>
        <v>6.2999999999999972</v>
      </c>
      <c r="X2129">
        <f t="shared" si="134"/>
        <v>0.16162736900000008</v>
      </c>
      <c r="Y2129">
        <f t="shared" si="135"/>
        <v>0.40000000000000568</v>
      </c>
      <c r="Z2129" s="1">
        <v>11</v>
      </c>
      <c r="AA2129">
        <v>89</v>
      </c>
      <c r="AB2129">
        <v>0.1236</v>
      </c>
      <c r="AC2129">
        <v>12</v>
      </c>
      <c r="AD2129">
        <v>103</v>
      </c>
      <c r="AE2129">
        <v>0.11650000000000001</v>
      </c>
      <c r="AF2129" t="s">
        <v>2589</v>
      </c>
      <c r="AG2129" t="s">
        <v>2589</v>
      </c>
    </row>
    <row r="2130" spans="1:33">
      <c r="A2130" s="2" t="s">
        <v>59</v>
      </c>
      <c r="B2130" s="2" t="s">
        <v>37</v>
      </c>
      <c r="C2130" s="1">
        <v>0.56225432799999997</v>
      </c>
      <c r="D2130">
        <v>0.68100706499999997</v>
      </c>
      <c r="E2130">
        <v>0.67505263699999996</v>
      </c>
      <c r="F2130" s="1" t="s">
        <v>60</v>
      </c>
      <c r="G2130" s="1">
        <v>1.1501154730000001</v>
      </c>
      <c r="H2130" s="1">
        <v>60.5</v>
      </c>
      <c r="I2130" s="1">
        <v>129.9</v>
      </c>
      <c r="J2130" s="1">
        <v>0.63943801</v>
      </c>
      <c r="K2130" s="1">
        <v>0.50856695500000004</v>
      </c>
      <c r="L2130" s="1">
        <v>0.654733224</v>
      </c>
      <c r="M2130" s="3">
        <v>0.61418267199999999</v>
      </c>
      <c r="N2130" s="1" t="s">
        <v>38</v>
      </c>
      <c r="O2130" s="1">
        <v>0.64065708399999999</v>
      </c>
      <c r="P2130" s="1">
        <v>41.9</v>
      </c>
      <c r="Q2130" s="1">
        <v>146.1</v>
      </c>
      <c r="R2130" s="1">
        <v>0.59249428366666679</v>
      </c>
      <c r="S2130" s="1">
        <v>8.5310030943820558E-2</v>
      </c>
      <c r="T2130" t="s">
        <v>2277</v>
      </c>
      <c r="U2130" s="1">
        <v>4425</v>
      </c>
      <c r="V2130">
        <f t="shared" si="132"/>
        <v>0.40510147500376048</v>
      </c>
      <c r="W2130" s="1">
        <f t="shared" si="133"/>
        <v>18.600000000000001</v>
      </c>
      <c r="X2130">
        <f t="shared" si="134"/>
        <v>0.50945838900000007</v>
      </c>
      <c r="Y2130">
        <f t="shared" si="135"/>
        <v>16.199999999999989</v>
      </c>
      <c r="Z2130" s="1">
        <v>5</v>
      </c>
      <c r="AA2130">
        <v>95</v>
      </c>
      <c r="AB2130">
        <v>5.2600000000000001E-2</v>
      </c>
      <c r="AC2130">
        <v>6</v>
      </c>
      <c r="AD2130">
        <v>108</v>
      </c>
      <c r="AE2130">
        <v>5.5599999999999997E-2</v>
      </c>
      <c r="AF2130" t="s">
        <v>2589</v>
      </c>
      <c r="AG2130" t="s">
        <v>2590</v>
      </c>
    </row>
    <row r="2131" spans="1:33">
      <c r="A2131" s="2" t="s">
        <v>59</v>
      </c>
      <c r="B2131" s="2" t="s">
        <v>39</v>
      </c>
      <c r="C2131" s="1">
        <v>0.56225432799999997</v>
      </c>
      <c r="D2131">
        <v>0.68100706499999997</v>
      </c>
      <c r="E2131">
        <v>0.67505263699999996</v>
      </c>
      <c r="F2131" s="1" t="s">
        <v>60</v>
      </c>
      <c r="G2131" s="1">
        <v>1.1501154730000001</v>
      </c>
      <c r="H2131" s="1">
        <v>60.5</v>
      </c>
      <c r="I2131" s="1">
        <v>129.9</v>
      </c>
      <c r="J2131" s="1">
        <v>0.63943801</v>
      </c>
      <c r="K2131" s="1">
        <v>0.60811616199999996</v>
      </c>
      <c r="L2131" s="1">
        <v>0.721105683</v>
      </c>
      <c r="M2131" s="3">
        <v>0.741016169</v>
      </c>
      <c r="N2131" s="1" t="s">
        <v>40</v>
      </c>
      <c r="O2131" s="1">
        <v>1.0601915180000001</v>
      </c>
      <c r="P2131" s="1">
        <v>34</v>
      </c>
      <c r="Q2131" s="1">
        <v>73.099999999999994</v>
      </c>
      <c r="R2131" s="1">
        <v>0.69007933799999999</v>
      </c>
      <c r="S2131" s="1">
        <v>8.9790837713368682E-2</v>
      </c>
      <c r="T2131" t="s">
        <v>2278</v>
      </c>
      <c r="U2131" s="1">
        <v>30454</v>
      </c>
      <c r="V2131">
        <f t="shared" si="132"/>
        <v>0.49818270482225901</v>
      </c>
      <c r="W2131" s="1">
        <f t="shared" si="133"/>
        <v>26.5</v>
      </c>
      <c r="X2131">
        <f t="shared" si="134"/>
        <v>8.9923954999999944E-2</v>
      </c>
      <c r="Y2131">
        <f t="shared" si="135"/>
        <v>56.800000000000011</v>
      </c>
      <c r="Z2131" s="1">
        <v>3</v>
      </c>
      <c r="AA2131">
        <v>97</v>
      </c>
      <c r="AB2131">
        <v>3.09E-2</v>
      </c>
      <c r="AC2131">
        <v>5</v>
      </c>
      <c r="AD2131">
        <v>112</v>
      </c>
      <c r="AE2131">
        <v>4.4600000000000001E-2</v>
      </c>
      <c r="AF2131" t="s">
        <v>2589</v>
      </c>
      <c r="AG2131" t="s">
        <v>2589</v>
      </c>
    </row>
    <row r="2132" spans="1:33">
      <c r="A2132" s="2" t="s">
        <v>59</v>
      </c>
      <c r="B2132" s="2" t="s">
        <v>41</v>
      </c>
      <c r="C2132" s="1">
        <v>0.56225432799999997</v>
      </c>
      <c r="D2132">
        <v>0.68100706499999997</v>
      </c>
      <c r="E2132">
        <v>0.67505263699999996</v>
      </c>
      <c r="F2132" s="1" t="s">
        <v>60</v>
      </c>
      <c r="G2132" s="1">
        <v>1.1501154730000001</v>
      </c>
      <c r="H2132" s="1">
        <v>60.5</v>
      </c>
      <c r="I2132" s="1">
        <v>129.9</v>
      </c>
      <c r="J2132" s="1">
        <v>0.63943801</v>
      </c>
      <c r="K2132" s="1">
        <v>0.60402244999999999</v>
      </c>
      <c r="L2132" s="1">
        <v>0.669189213</v>
      </c>
      <c r="M2132" s="3">
        <v>0.69821693799999995</v>
      </c>
      <c r="N2132" s="1" t="s">
        <v>42</v>
      </c>
      <c r="O2132" s="1">
        <v>1.3243902439999999</v>
      </c>
      <c r="P2132" s="1">
        <v>23</v>
      </c>
      <c r="Q2132" s="1">
        <v>41</v>
      </c>
      <c r="R2132" s="1">
        <v>0.65714286700000002</v>
      </c>
      <c r="S2132" s="1">
        <v>4.9201854458133888E-2</v>
      </c>
      <c r="T2132" t="s">
        <v>2279</v>
      </c>
      <c r="U2132" s="1">
        <v>1233</v>
      </c>
      <c r="V2132">
        <f t="shared" si="132"/>
        <v>0.34344034184397015</v>
      </c>
      <c r="W2132" s="1">
        <f t="shared" si="133"/>
        <v>37.5</v>
      </c>
      <c r="X2132">
        <f t="shared" si="134"/>
        <v>0.17427477099999988</v>
      </c>
      <c r="Y2132">
        <f t="shared" si="135"/>
        <v>88.9</v>
      </c>
      <c r="Z2132" s="1">
        <v>0</v>
      </c>
      <c r="AA2132">
        <v>100</v>
      </c>
      <c r="AB2132">
        <v>0</v>
      </c>
      <c r="AC2132">
        <v>0</v>
      </c>
      <c r="AD2132">
        <v>131</v>
      </c>
      <c r="AE2132">
        <v>0</v>
      </c>
      <c r="AF2132" t="s">
        <v>2589</v>
      </c>
      <c r="AG2132" t="s">
        <v>2591</v>
      </c>
    </row>
    <row r="2133" spans="1:33">
      <c r="A2133" s="2" t="s">
        <v>59</v>
      </c>
      <c r="B2133" s="2" t="s">
        <v>43</v>
      </c>
      <c r="C2133" s="1">
        <v>0.56225432799999997</v>
      </c>
      <c r="D2133">
        <v>0.68100706499999997</v>
      </c>
      <c r="E2133">
        <v>0.67505263699999996</v>
      </c>
      <c r="F2133" s="1" t="s">
        <v>60</v>
      </c>
      <c r="G2133" s="1">
        <v>1.1501154730000001</v>
      </c>
      <c r="H2133" s="1">
        <v>60.5</v>
      </c>
      <c r="I2133" s="1">
        <v>129.9</v>
      </c>
      <c r="J2133" s="1">
        <v>0.63943801</v>
      </c>
      <c r="K2133" s="1">
        <v>0.54180634699999997</v>
      </c>
      <c r="L2133" s="1">
        <v>0.59470779900000004</v>
      </c>
      <c r="M2133" s="3">
        <v>0.69518155599999998</v>
      </c>
      <c r="N2133" s="1" t="s">
        <v>44</v>
      </c>
      <c r="O2133" s="1">
        <v>1.7403685090000001</v>
      </c>
      <c r="P2133" s="1">
        <v>41.2</v>
      </c>
      <c r="Q2133" s="1">
        <v>59.7</v>
      </c>
      <c r="R2133" s="1">
        <v>0.61056523400000007</v>
      </c>
      <c r="S2133" s="1">
        <v>9.0944250061362683E-2</v>
      </c>
      <c r="T2133" t="s">
        <v>2280</v>
      </c>
      <c r="U2133" s="1">
        <v>31150</v>
      </c>
      <c r="V2133">
        <f t="shared" si="132"/>
        <v>0.49927311677724312</v>
      </c>
      <c r="W2133" s="1">
        <f t="shared" si="133"/>
        <v>19.299999999999997</v>
      </c>
      <c r="X2133">
        <f t="shared" si="134"/>
        <v>0.59025303600000001</v>
      </c>
      <c r="Y2133">
        <f t="shared" si="135"/>
        <v>70.2</v>
      </c>
      <c r="Z2133" s="1">
        <v>9</v>
      </c>
      <c r="AA2133">
        <v>91</v>
      </c>
      <c r="AB2133">
        <v>9.8900000000000002E-2</v>
      </c>
      <c r="AC2133">
        <v>16</v>
      </c>
      <c r="AD2133">
        <v>137</v>
      </c>
      <c r="AE2133">
        <v>0.1168</v>
      </c>
      <c r="AF2133" t="s">
        <v>2589</v>
      </c>
      <c r="AG2133" t="s">
        <v>2589</v>
      </c>
    </row>
    <row r="2134" spans="1:33">
      <c r="A2134" s="2" t="s">
        <v>59</v>
      </c>
      <c r="B2134" s="2" t="s">
        <v>45</v>
      </c>
      <c r="C2134" s="1">
        <v>0.56225432799999997</v>
      </c>
      <c r="D2134">
        <v>0.68100706499999997</v>
      </c>
      <c r="E2134">
        <v>0.67505263699999996</v>
      </c>
      <c r="F2134" s="1" t="s">
        <v>60</v>
      </c>
      <c r="G2134" s="1">
        <v>1.1501154730000001</v>
      </c>
      <c r="H2134" s="1">
        <v>60.5</v>
      </c>
      <c r="I2134" s="1">
        <v>129.9</v>
      </c>
      <c r="J2134" s="1">
        <v>0.63943801</v>
      </c>
      <c r="K2134" s="1">
        <v>0.50907007599999998</v>
      </c>
      <c r="L2134" s="1">
        <v>0.68428041399999995</v>
      </c>
      <c r="M2134" s="3">
        <v>0.67454742099999998</v>
      </c>
      <c r="N2134" s="1" t="s">
        <v>46</v>
      </c>
      <c r="O2134" s="1">
        <v>0.98140043799999999</v>
      </c>
      <c r="P2134" s="1">
        <v>38.9</v>
      </c>
      <c r="Q2134" s="1">
        <v>91.4</v>
      </c>
      <c r="R2134" s="1">
        <v>0.62263263699999993</v>
      </c>
      <c r="S2134" s="1">
        <v>5.3287284765523191E-2</v>
      </c>
      <c r="T2134" t="s">
        <v>2281</v>
      </c>
      <c r="U2134" s="1">
        <v>42535</v>
      </c>
      <c r="V2134">
        <f t="shared" si="132"/>
        <v>0.51430515968232449</v>
      </c>
      <c r="W2134" s="1">
        <f t="shared" si="133"/>
        <v>21.6</v>
      </c>
      <c r="X2134">
        <f t="shared" si="134"/>
        <v>0.16871503500000007</v>
      </c>
      <c r="Y2134">
        <f t="shared" si="135"/>
        <v>38.5</v>
      </c>
      <c r="Z2134" s="1">
        <v>11</v>
      </c>
      <c r="AA2134">
        <v>89</v>
      </c>
      <c r="AB2134">
        <v>0.1236</v>
      </c>
      <c r="AC2134">
        <v>12</v>
      </c>
      <c r="AD2134">
        <v>121</v>
      </c>
      <c r="AE2134">
        <v>9.9199999999999997E-2</v>
      </c>
      <c r="AF2134" t="s">
        <v>2589</v>
      </c>
      <c r="AG2134" t="s">
        <v>2589</v>
      </c>
    </row>
    <row r="2135" spans="1:33">
      <c r="A2135" s="2" t="s">
        <v>59</v>
      </c>
      <c r="B2135" s="2" t="s">
        <v>47</v>
      </c>
      <c r="C2135" s="1">
        <v>0.56225432799999997</v>
      </c>
      <c r="D2135">
        <v>0.68100706499999997</v>
      </c>
      <c r="E2135">
        <v>0.67505263699999996</v>
      </c>
      <c r="F2135" s="1" t="s">
        <v>60</v>
      </c>
      <c r="G2135" s="1">
        <v>1.1501154730000001</v>
      </c>
      <c r="H2135" s="1">
        <v>60.5</v>
      </c>
      <c r="I2135" s="1">
        <v>129.9</v>
      </c>
      <c r="J2135" s="1">
        <v>0.63943801</v>
      </c>
      <c r="K2135" s="1">
        <v>0.50612154099999995</v>
      </c>
      <c r="L2135" s="1">
        <v>0.55940039100000005</v>
      </c>
      <c r="M2135" s="3">
        <v>0.66789001699999995</v>
      </c>
      <c r="N2135" s="1" t="s">
        <v>48</v>
      </c>
      <c r="O2135" s="1">
        <v>1.242622951</v>
      </c>
      <c r="P2135" s="1">
        <v>17.8</v>
      </c>
      <c r="Q2135" s="1">
        <v>30.5</v>
      </c>
      <c r="R2135" s="1">
        <v>0.57780398300000002</v>
      </c>
      <c r="S2135" s="1">
        <v>0.13412820755901431</v>
      </c>
      <c r="T2135" t="s">
        <v>2282</v>
      </c>
      <c r="U2135" s="1">
        <v>1429</v>
      </c>
      <c r="V2135">
        <f t="shared" si="132"/>
        <v>0.35055913653233006</v>
      </c>
      <c r="W2135" s="1">
        <f t="shared" si="133"/>
        <v>42.7</v>
      </c>
      <c r="X2135">
        <f t="shared" si="134"/>
        <v>9.2507477999999921E-2</v>
      </c>
      <c r="Y2135">
        <f t="shared" si="135"/>
        <v>99.4</v>
      </c>
      <c r="Z2135" s="1">
        <v>1</v>
      </c>
      <c r="AA2135">
        <v>99</v>
      </c>
      <c r="AB2135">
        <v>1.01E-2</v>
      </c>
      <c r="AC2135">
        <v>2</v>
      </c>
      <c r="AD2135">
        <v>138</v>
      </c>
      <c r="AE2135">
        <v>1.4500000000000001E-2</v>
      </c>
      <c r="AF2135" t="s">
        <v>2589</v>
      </c>
      <c r="AG2135" t="s">
        <v>2590</v>
      </c>
    </row>
    <row r="2136" spans="1:33">
      <c r="A2136" s="2" t="s">
        <v>59</v>
      </c>
      <c r="B2136" s="2" t="s">
        <v>49</v>
      </c>
      <c r="C2136" s="1">
        <v>0.56225432799999997</v>
      </c>
      <c r="D2136">
        <v>0.68100706499999997</v>
      </c>
      <c r="E2136">
        <v>0.67505263699999996</v>
      </c>
      <c r="F2136" s="1" t="s">
        <v>60</v>
      </c>
      <c r="G2136" s="1">
        <v>1.1501154730000001</v>
      </c>
      <c r="H2136" s="1">
        <v>60.5</v>
      </c>
      <c r="I2136" s="1">
        <v>129.9</v>
      </c>
      <c r="J2136" s="1">
        <v>0.63943801</v>
      </c>
      <c r="K2136" s="1">
        <v>0.50647110500000003</v>
      </c>
      <c r="L2136" s="1">
        <v>0.55713136799999996</v>
      </c>
      <c r="M2136" s="3">
        <v>0.63402682300000002</v>
      </c>
      <c r="N2136" s="1" t="s">
        <v>50</v>
      </c>
      <c r="O2136" s="1">
        <v>1.876675603</v>
      </c>
      <c r="P2136" s="1">
        <v>28.8</v>
      </c>
      <c r="Q2136" s="1">
        <v>37.299999999999997</v>
      </c>
      <c r="R2136" s="1">
        <v>0.56587643200000004</v>
      </c>
      <c r="S2136" s="1">
        <v>0.14191572742253103</v>
      </c>
      <c r="T2136" t="s">
        <v>2283</v>
      </c>
      <c r="U2136" s="1">
        <v>2097</v>
      </c>
      <c r="V2136">
        <f t="shared" si="132"/>
        <v>0.36906649227392707</v>
      </c>
      <c r="W2136" s="1">
        <f t="shared" si="133"/>
        <v>31.7</v>
      </c>
      <c r="X2136">
        <f t="shared" si="134"/>
        <v>0.72656012999999997</v>
      </c>
      <c r="Y2136">
        <f t="shared" si="135"/>
        <v>92.600000000000009</v>
      </c>
      <c r="Z2136" s="1">
        <v>3</v>
      </c>
      <c r="AA2136">
        <v>97</v>
      </c>
      <c r="AB2136">
        <v>3.09E-2</v>
      </c>
      <c r="AC2136">
        <v>4</v>
      </c>
      <c r="AD2136">
        <v>110</v>
      </c>
      <c r="AE2136">
        <v>3.6400000000000002E-2</v>
      </c>
      <c r="AF2136" t="s">
        <v>2589</v>
      </c>
      <c r="AG2136" t="s">
        <v>2590</v>
      </c>
    </row>
    <row r="2137" spans="1:33">
      <c r="A2137" s="2" t="s">
        <v>59</v>
      </c>
      <c r="B2137" s="2" t="s">
        <v>51</v>
      </c>
      <c r="C2137" s="1">
        <v>0.56225432799999997</v>
      </c>
      <c r="D2137">
        <v>0.68100706499999997</v>
      </c>
      <c r="E2137">
        <v>0.67505263699999996</v>
      </c>
      <c r="F2137" s="1" t="s">
        <v>60</v>
      </c>
      <c r="G2137" s="1">
        <v>1.1501154730000001</v>
      </c>
      <c r="H2137" s="1">
        <v>60.5</v>
      </c>
      <c r="I2137" s="1">
        <v>129.9</v>
      </c>
      <c r="J2137" s="1">
        <v>0.63943801</v>
      </c>
      <c r="K2137" s="1">
        <v>0.60067161999999996</v>
      </c>
      <c r="L2137" s="1">
        <v>0.68094129999999997</v>
      </c>
      <c r="M2137" s="3">
        <v>0.73595931299999995</v>
      </c>
      <c r="N2137" s="1" t="s">
        <v>52</v>
      </c>
      <c r="O2137" s="1">
        <v>1.858638743</v>
      </c>
      <c r="P2137" s="1">
        <v>29.4</v>
      </c>
      <c r="Q2137" s="1">
        <v>38.200000000000003</v>
      </c>
      <c r="R2137" s="1">
        <v>0.67252407766666666</v>
      </c>
      <c r="S2137" s="1">
        <v>7.2010525834890718E-2</v>
      </c>
      <c r="T2137" t="s">
        <v>2284</v>
      </c>
      <c r="U2137" s="1">
        <v>1783</v>
      </c>
      <c r="V2137">
        <f t="shared" si="132"/>
        <v>0.36123903813059494</v>
      </c>
      <c r="W2137" s="1">
        <f t="shared" si="133"/>
        <v>31.1</v>
      </c>
      <c r="X2137">
        <f t="shared" si="134"/>
        <v>0.70852326999999993</v>
      </c>
      <c r="Y2137">
        <f t="shared" si="135"/>
        <v>91.7</v>
      </c>
      <c r="Z2137" s="1">
        <v>3</v>
      </c>
      <c r="AA2137">
        <v>97</v>
      </c>
      <c r="AB2137">
        <v>3.09E-2</v>
      </c>
      <c r="AC2137">
        <v>4</v>
      </c>
      <c r="AD2137">
        <v>119</v>
      </c>
      <c r="AE2137">
        <v>3.3599999999999998E-2</v>
      </c>
      <c r="AF2137" t="s">
        <v>2589</v>
      </c>
      <c r="AG2137" t="s">
        <v>2591</v>
      </c>
    </row>
    <row r="2138" spans="1:33">
      <c r="A2138" s="2" t="s">
        <v>59</v>
      </c>
      <c r="B2138" s="2" t="s">
        <v>53</v>
      </c>
      <c r="C2138" s="1">
        <v>0.56225432799999997</v>
      </c>
      <c r="D2138">
        <v>0.68100706499999997</v>
      </c>
      <c r="E2138">
        <v>0.67505263699999996</v>
      </c>
      <c r="F2138" s="1" t="s">
        <v>60</v>
      </c>
      <c r="G2138" s="1">
        <v>1.1501154730000001</v>
      </c>
      <c r="H2138" s="1">
        <v>60.5</v>
      </c>
      <c r="I2138" s="1">
        <v>129.9</v>
      </c>
      <c r="J2138" s="1">
        <v>0.63943801</v>
      </c>
      <c r="K2138" s="1">
        <v>0.54695832700000002</v>
      </c>
      <c r="L2138" s="1">
        <v>0.659790137</v>
      </c>
      <c r="M2138" s="3">
        <v>0.70662085500000005</v>
      </c>
      <c r="N2138" s="1" t="s">
        <v>54</v>
      </c>
      <c r="O2138" s="1">
        <v>2.5053995680000001</v>
      </c>
      <c r="P2138" s="1">
        <v>43.9</v>
      </c>
      <c r="Q2138" s="1">
        <v>46.3</v>
      </c>
      <c r="R2138" s="1">
        <v>0.63778977300000006</v>
      </c>
      <c r="S2138" s="1">
        <v>4.0996073812558098E-2</v>
      </c>
      <c r="T2138" t="s">
        <v>2285</v>
      </c>
      <c r="U2138" s="1">
        <v>4137</v>
      </c>
      <c r="V2138">
        <f t="shared" si="132"/>
        <v>0.40185394676616798</v>
      </c>
      <c r="W2138" s="1">
        <f t="shared" si="133"/>
        <v>16.600000000000001</v>
      </c>
      <c r="X2138">
        <f t="shared" si="134"/>
        <v>1.355284095</v>
      </c>
      <c r="Y2138">
        <f t="shared" si="135"/>
        <v>83.600000000000009</v>
      </c>
      <c r="Z2138" s="1">
        <v>1</v>
      </c>
      <c r="AA2138">
        <v>99</v>
      </c>
      <c r="AB2138">
        <v>1.01E-2</v>
      </c>
      <c r="AC2138">
        <v>2</v>
      </c>
      <c r="AD2138">
        <v>121</v>
      </c>
      <c r="AE2138">
        <v>1.6500000000000001E-2</v>
      </c>
      <c r="AF2138" t="s">
        <v>2589</v>
      </c>
      <c r="AG2138" t="s">
        <v>2593</v>
      </c>
    </row>
    <row r="2139" spans="1:33">
      <c r="A2139" s="2" t="s">
        <v>59</v>
      </c>
      <c r="B2139" s="2" t="s">
        <v>55</v>
      </c>
      <c r="C2139" s="1">
        <v>0.56225432799999997</v>
      </c>
      <c r="D2139">
        <v>0.68100706499999997</v>
      </c>
      <c r="E2139">
        <v>0.67505263699999996</v>
      </c>
      <c r="F2139" s="1" t="s">
        <v>60</v>
      </c>
      <c r="G2139" s="1">
        <v>1.1501154730000001</v>
      </c>
      <c r="H2139" s="1">
        <v>60.5</v>
      </c>
      <c r="I2139" s="1">
        <v>129.9</v>
      </c>
      <c r="J2139" s="1">
        <v>0.63943801</v>
      </c>
      <c r="K2139" s="1">
        <v>0.52971861799999997</v>
      </c>
      <c r="L2139" s="1">
        <v>0.62258244500000004</v>
      </c>
      <c r="M2139" s="3">
        <v>0.63939760400000001</v>
      </c>
      <c r="N2139" s="1" t="s">
        <v>56</v>
      </c>
      <c r="O2139" s="1">
        <v>1.0796934869999999</v>
      </c>
      <c r="P2139" s="1">
        <v>55.3</v>
      </c>
      <c r="Q2139" s="1">
        <v>130.5</v>
      </c>
      <c r="R2139" s="1">
        <v>0.59723288899999993</v>
      </c>
      <c r="S2139" s="1">
        <v>7.5784497264147474E-2</v>
      </c>
      <c r="T2139" t="s">
        <v>2286</v>
      </c>
      <c r="U2139" s="1">
        <v>13767</v>
      </c>
      <c r="V2139">
        <f t="shared" si="132"/>
        <v>0.45987103471270241</v>
      </c>
      <c r="W2139" s="1">
        <f t="shared" si="133"/>
        <v>5.2000000000000028</v>
      </c>
      <c r="X2139">
        <f t="shared" si="134"/>
        <v>7.0421986000000159E-2</v>
      </c>
      <c r="Y2139">
        <f t="shared" si="135"/>
        <v>0.59999999999999432</v>
      </c>
      <c r="Z2139" s="1">
        <v>12</v>
      </c>
      <c r="AA2139">
        <v>88</v>
      </c>
      <c r="AB2139">
        <v>0.13639999999999999</v>
      </c>
      <c r="AC2139">
        <v>13</v>
      </c>
      <c r="AD2139">
        <v>102</v>
      </c>
      <c r="AE2139">
        <v>0.1275</v>
      </c>
      <c r="AF2139" t="s">
        <v>2589</v>
      </c>
      <c r="AG2139" t="s">
        <v>2592</v>
      </c>
    </row>
    <row r="2140" spans="1:33">
      <c r="A2140" s="2" t="s">
        <v>59</v>
      </c>
      <c r="B2140" s="2" t="s">
        <v>57</v>
      </c>
      <c r="C2140" s="1">
        <v>0.56225432799999997</v>
      </c>
      <c r="D2140">
        <v>0.68100706499999997</v>
      </c>
      <c r="E2140">
        <v>0.67505263699999996</v>
      </c>
      <c r="F2140" s="1" t="s">
        <v>60</v>
      </c>
      <c r="G2140" s="1">
        <v>1.1501154730000001</v>
      </c>
      <c r="H2140" s="1">
        <v>60.5</v>
      </c>
      <c r="I2140" s="1">
        <v>129.9</v>
      </c>
      <c r="J2140" s="1">
        <v>0.63943801</v>
      </c>
      <c r="K2140" s="1">
        <v>0.528732855</v>
      </c>
      <c r="L2140" s="1">
        <v>0.63387497599999998</v>
      </c>
      <c r="M2140" s="3">
        <v>0.63337360200000004</v>
      </c>
      <c r="N2140" s="1" t="s">
        <v>58</v>
      </c>
      <c r="O2140" s="1">
        <v>1.386610879</v>
      </c>
      <c r="P2140" s="1">
        <v>69</v>
      </c>
      <c r="Q2140" s="1">
        <v>119.5</v>
      </c>
      <c r="R2140" s="1">
        <v>0.59866047766666663</v>
      </c>
      <c r="S2140" s="1">
        <v>7.1290005780087193E-2</v>
      </c>
      <c r="T2140" t="s">
        <v>2287</v>
      </c>
      <c r="U2140" s="1">
        <v>19998</v>
      </c>
      <c r="V2140">
        <f t="shared" si="132"/>
        <v>0.4778873960049082</v>
      </c>
      <c r="W2140" s="1">
        <f t="shared" si="133"/>
        <v>8.5</v>
      </c>
      <c r="X2140">
        <f t="shared" si="134"/>
        <v>0.23649540599999996</v>
      </c>
      <c r="Y2140">
        <f t="shared" si="135"/>
        <v>10.400000000000006</v>
      </c>
      <c r="Z2140" s="1">
        <v>14</v>
      </c>
      <c r="AA2140">
        <v>86</v>
      </c>
      <c r="AB2140">
        <v>0.1628</v>
      </c>
      <c r="AC2140">
        <v>16</v>
      </c>
      <c r="AD2140">
        <v>105</v>
      </c>
      <c r="AE2140">
        <v>0.15240000000000001</v>
      </c>
      <c r="AF2140" t="s">
        <v>2589</v>
      </c>
      <c r="AG2140" t="s">
        <v>2589</v>
      </c>
    </row>
    <row r="2141" spans="1:33">
      <c r="A2141" s="2" t="s">
        <v>57</v>
      </c>
      <c r="B2141" s="2" t="s">
        <v>10</v>
      </c>
      <c r="C2141" s="1">
        <v>0.528732855</v>
      </c>
      <c r="D2141">
        <v>0.63387497599999998</v>
      </c>
      <c r="E2141">
        <v>0.63337360200000004</v>
      </c>
      <c r="F2141" s="1" t="s">
        <v>58</v>
      </c>
      <c r="G2141" s="1">
        <v>1.386610879</v>
      </c>
      <c r="H2141" s="1">
        <v>69</v>
      </c>
      <c r="I2141" s="1">
        <v>119.5</v>
      </c>
      <c r="J2141" s="1">
        <v>0.59866047766666663</v>
      </c>
      <c r="K2141" s="1">
        <v>0.52456325500000001</v>
      </c>
      <c r="L2141" s="1">
        <v>0.61925627999999999</v>
      </c>
      <c r="M2141" s="3">
        <v>0.72111139899999999</v>
      </c>
      <c r="N2141" s="1" t="s">
        <v>12</v>
      </c>
      <c r="O2141" s="1">
        <v>0.61690647499999995</v>
      </c>
      <c r="P2141" s="1">
        <v>30</v>
      </c>
      <c r="Q2141" s="1">
        <v>111.2</v>
      </c>
      <c r="R2141" s="1">
        <v>0.62164364466666666</v>
      </c>
      <c r="S2141" s="1">
        <v>8.9045004684786308E-2</v>
      </c>
      <c r="T2141" t="s">
        <v>2288</v>
      </c>
      <c r="U2141" s="1">
        <v>1154</v>
      </c>
      <c r="V2141">
        <f t="shared" si="132"/>
        <v>0.34024508986885693</v>
      </c>
      <c r="W2141" s="1">
        <f t="shared" si="133"/>
        <v>39</v>
      </c>
      <c r="X2141">
        <f t="shared" si="134"/>
        <v>0.76970440400000006</v>
      </c>
      <c r="Y2141">
        <f t="shared" si="135"/>
        <v>8.2999999999999972</v>
      </c>
      <c r="Z2141" s="1">
        <v>4</v>
      </c>
      <c r="AA2141">
        <v>96</v>
      </c>
      <c r="AB2141">
        <v>4.1700000000000001E-2</v>
      </c>
      <c r="AC2141">
        <v>7</v>
      </c>
      <c r="AD2141">
        <v>151</v>
      </c>
      <c r="AE2141">
        <v>4.6399999999999997E-2</v>
      </c>
      <c r="AF2141" t="s">
        <v>2589</v>
      </c>
      <c r="AG2141" t="s">
        <v>2588</v>
      </c>
    </row>
    <row r="2142" spans="1:33">
      <c r="A2142" s="2" t="s">
        <v>57</v>
      </c>
      <c r="B2142" s="2" t="s">
        <v>13</v>
      </c>
      <c r="C2142" s="1">
        <v>0.528732855</v>
      </c>
      <c r="D2142">
        <v>0.63387497599999998</v>
      </c>
      <c r="E2142">
        <v>0.63337360200000004</v>
      </c>
      <c r="F2142" s="1" t="s">
        <v>58</v>
      </c>
      <c r="G2142" s="1">
        <v>1.386610879</v>
      </c>
      <c r="H2142" s="1">
        <v>69</v>
      </c>
      <c r="I2142" s="1">
        <v>119.5</v>
      </c>
      <c r="J2142" s="1">
        <v>0.59866047766666663</v>
      </c>
      <c r="K2142" s="1">
        <v>0.48695497399999998</v>
      </c>
      <c r="L2142" s="1">
        <v>0.54991327199999995</v>
      </c>
      <c r="M2142" s="3">
        <v>0.67282609299999996</v>
      </c>
      <c r="N2142" s="1" t="s">
        <v>14</v>
      </c>
      <c r="O2142" s="1">
        <v>1.6052009460000001</v>
      </c>
      <c r="P2142" s="1">
        <v>26.6</v>
      </c>
      <c r="Q2142" s="1">
        <v>42.3</v>
      </c>
      <c r="R2142" s="1">
        <v>0.56989811299999993</v>
      </c>
      <c r="S2142" s="1">
        <v>0.10174211579055577</v>
      </c>
      <c r="T2142" t="s">
        <v>2289</v>
      </c>
      <c r="U2142" s="1">
        <v>952</v>
      </c>
      <c r="V2142">
        <f t="shared" si="132"/>
        <v>0.33095966093160828</v>
      </c>
      <c r="W2142" s="1">
        <f t="shared" si="133"/>
        <v>42.4</v>
      </c>
      <c r="X2142">
        <f t="shared" si="134"/>
        <v>0.21859006700000005</v>
      </c>
      <c r="Y2142">
        <f t="shared" si="135"/>
        <v>77.2</v>
      </c>
      <c r="Z2142" s="1">
        <v>1</v>
      </c>
      <c r="AA2142">
        <v>99</v>
      </c>
      <c r="AB2142">
        <v>1.01E-2</v>
      </c>
      <c r="AC2142">
        <v>2</v>
      </c>
      <c r="AD2142">
        <v>103</v>
      </c>
      <c r="AE2142">
        <v>1.9400000000000001E-2</v>
      </c>
      <c r="AF2142" t="s">
        <v>2589</v>
      </c>
      <c r="AG2142" t="s">
        <v>2590</v>
      </c>
    </row>
    <row r="2143" spans="1:33">
      <c r="A2143" s="2" t="s">
        <v>57</v>
      </c>
      <c r="B2143" s="2" t="s">
        <v>15</v>
      </c>
      <c r="C2143" s="1">
        <v>0.528732855</v>
      </c>
      <c r="D2143">
        <v>0.63387497599999998</v>
      </c>
      <c r="E2143">
        <v>0.63337360200000004</v>
      </c>
      <c r="F2143" s="1" t="s">
        <v>58</v>
      </c>
      <c r="G2143" s="1">
        <v>1.386610879</v>
      </c>
      <c r="H2143" s="1">
        <v>69</v>
      </c>
      <c r="I2143" s="1">
        <v>119.5</v>
      </c>
      <c r="J2143" s="1">
        <v>0.59866047766666663</v>
      </c>
      <c r="K2143" s="1">
        <v>0.54560998800000005</v>
      </c>
      <c r="L2143" s="1">
        <v>0.66721428400000005</v>
      </c>
      <c r="M2143" s="3">
        <v>0.72650398400000005</v>
      </c>
      <c r="N2143" s="1" t="s">
        <v>16</v>
      </c>
      <c r="O2143" s="1">
        <v>5.1392405060000002</v>
      </c>
      <c r="P2143" s="1">
        <v>35.9</v>
      </c>
      <c r="Q2143" s="1">
        <v>15.8</v>
      </c>
      <c r="R2143" s="1">
        <v>0.64644275200000012</v>
      </c>
      <c r="S2143" s="1">
        <v>0.10034747195462616</v>
      </c>
      <c r="T2143" t="s">
        <v>2290</v>
      </c>
      <c r="U2143" s="1">
        <v>708</v>
      </c>
      <c r="V2143">
        <f t="shared" si="132"/>
        <v>0.31667036196552989</v>
      </c>
      <c r="W2143" s="1">
        <f t="shared" si="133"/>
        <v>33.1</v>
      </c>
      <c r="X2143">
        <f t="shared" si="134"/>
        <v>3.7526296270000001</v>
      </c>
      <c r="Y2143">
        <f t="shared" si="135"/>
        <v>103.7</v>
      </c>
      <c r="Z2143" s="1">
        <v>0</v>
      </c>
      <c r="AA2143">
        <v>100</v>
      </c>
      <c r="AB2143">
        <v>0</v>
      </c>
      <c r="AC2143">
        <v>0</v>
      </c>
      <c r="AD2143">
        <v>101</v>
      </c>
      <c r="AE2143">
        <v>0</v>
      </c>
      <c r="AF2143" t="s">
        <v>2589</v>
      </c>
      <c r="AG2143" t="s">
        <v>2591</v>
      </c>
    </row>
    <row r="2144" spans="1:33">
      <c r="A2144" s="2" t="s">
        <v>57</v>
      </c>
      <c r="B2144" s="2" t="s">
        <v>17</v>
      </c>
      <c r="C2144" s="1">
        <v>0.528732855</v>
      </c>
      <c r="D2144">
        <v>0.63387497599999998</v>
      </c>
      <c r="E2144">
        <v>0.63337360200000004</v>
      </c>
      <c r="F2144" s="1" t="s">
        <v>58</v>
      </c>
      <c r="G2144" s="1">
        <v>1.386610879</v>
      </c>
      <c r="H2144" s="1">
        <v>69</v>
      </c>
      <c r="I2144" s="1">
        <v>119.5</v>
      </c>
      <c r="J2144" s="1">
        <v>0.59866047766666663</v>
      </c>
      <c r="K2144" s="1">
        <v>0.659112378</v>
      </c>
      <c r="L2144" s="1">
        <v>0.68333493499999998</v>
      </c>
      <c r="M2144" s="3">
        <v>0.70345495199999997</v>
      </c>
      <c r="N2144" s="1" t="s">
        <v>18</v>
      </c>
      <c r="O2144" s="1">
        <v>1.9463955639999999</v>
      </c>
      <c r="P2144" s="1">
        <v>46.3</v>
      </c>
      <c r="Q2144" s="1">
        <v>54.1</v>
      </c>
      <c r="R2144" s="1">
        <v>0.68196742166666668</v>
      </c>
      <c r="S2144" s="1">
        <v>0.15606570148438029</v>
      </c>
      <c r="T2144" t="s">
        <v>2291</v>
      </c>
      <c r="U2144" s="1">
        <v>1442</v>
      </c>
      <c r="V2144">
        <f t="shared" si="132"/>
        <v>0.35099614004260116</v>
      </c>
      <c r="W2144" s="1">
        <f t="shared" si="133"/>
        <v>22.700000000000003</v>
      </c>
      <c r="X2144">
        <f t="shared" si="134"/>
        <v>0.55978468499999989</v>
      </c>
      <c r="Y2144">
        <f t="shared" si="135"/>
        <v>65.400000000000006</v>
      </c>
      <c r="Z2144" s="1">
        <v>0</v>
      </c>
      <c r="AA2144">
        <v>100</v>
      </c>
      <c r="AB2144">
        <v>0</v>
      </c>
      <c r="AC2144">
        <v>0</v>
      </c>
      <c r="AD2144">
        <v>115</v>
      </c>
      <c r="AE2144">
        <v>0</v>
      </c>
      <c r="AF2144" t="s">
        <v>2589</v>
      </c>
      <c r="AG2144" t="s">
        <v>2591</v>
      </c>
    </row>
    <row r="2145" spans="1:33">
      <c r="A2145" s="2" t="s">
        <v>57</v>
      </c>
      <c r="B2145" s="2" t="s">
        <v>19</v>
      </c>
      <c r="C2145" s="1">
        <v>0.528732855</v>
      </c>
      <c r="D2145">
        <v>0.63387497599999998</v>
      </c>
      <c r="E2145">
        <v>0.63337360200000004</v>
      </c>
      <c r="F2145" s="1" t="s">
        <v>58</v>
      </c>
      <c r="G2145" s="1">
        <v>1.386610879</v>
      </c>
      <c r="H2145" s="1">
        <v>69</v>
      </c>
      <c r="I2145" s="1">
        <v>119.5</v>
      </c>
      <c r="J2145" s="1">
        <v>0.59866047766666663</v>
      </c>
      <c r="K2145" s="1">
        <v>0.49391595300000002</v>
      </c>
      <c r="L2145" s="1">
        <v>0.603599314</v>
      </c>
      <c r="M2145" s="3">
        <v>0.63481471599999995</v>
      </c>
      <c r="N2145" s="1" t="s">
        <v>20</v>
      </c>
      <c r="O2145" s="1">
        <v>1.2140902870000001</v>
      </c>
      <c r="P2145" s="1">
        <v>64.900000000000006</v>
      </c>
      <c r="Q2145" s="1">
        <v>146.19999999999999</v>
      </c>
      <c r="R2145" s="1">
        <v>0.57744332766666662</v>
      </c>
      <c r="S2145" s="1">
        <v>4.6161771889484927E-2</v>
      </c>
      <c r="T2145" t="s">
        <v>2292</v>
      </c>
      <c r="U2145" s="1">
        <v>4722</v>
      </c>
      <c r="V2145">
        <f t="shared" si="132"/>
        <v>0.40823622030474538</v>
      </c>
      <c r="W2145" s="1">
        <f t="shared" si="133"/>
        <v>4.0999999999999943</v>
      </c>
      <c r="X2145">
        <f t="shared" si="134"/>
        <v>0.17252059199999992</v>
      </c>
      <c r="Y2145">
        <f t="shared" si="135"/>
        <v>26.699999999999989</v>
      </c>
      <c r="Z2145" s="1">
        <v>20</v>
      </c>
      <c r="AA2145">
        <v>80</v>
      </c>
      <c r="AB2145">
        <v>0.25</v>
      </c>
      <c r="AC2145">
        <v>18</v>
      </c>
      <c r="AD2145">
        <v>77</v>
      </c>
      <c r="AE2145">
        <v>0.23380000000000001</v>
      </c>
      <c r="AF2145" t="s">
        <v>2589</v>
      </c>
      <c r="AG2145" t="s">
        <v>2593</v>
      </c>
    </row>
    <row r="2146" spans="1:33">
      <c r="A2146" s="2" t="s">
        <v>57</v>
      </c>
      <c r="B2146" s="2" t="s">
        <v>21</v>
      </c>
      <c r="C2146" s="1">
        <v>0.528732855</v>
      </c>
      <c r="D2146">
        <v>0.63387497599999998</v>
      </c>
      <c r="E2146">
        <v>0.63337360200000004</v>
      </c>
      <c r="F2146" s="1" t="s">
        <v>58</v>
      </c>
      <c r="G2146" s="1">
        <v>1.386610879</v>
      </c>
      <c r="H2146" s="1">
        <v>69</v>
      </c>
      <c r="I2146" s="1">
        <v>119.5</v>
      </c>
      <c r="J2146" s="1">
        <v>0.59866047766666663</v>
      </c>
      <c r="K2146" s="1">
        <v>0.53276376800000003</v>
      </c>
      <c r="L2146" s="1">
        <v>0.65428149899999999</v>
      </c>
      <c r="M2146" s="3">
        <v>0.70160154799999996</v>
      </c>
      <c r="N2146" s="1" t="s">
        <v>22</v>
      </c>
      <c r="O2146" s="1">
        <v>1.2440604749999999</v>
      </c>
      <c r="P2146" s="1">
        <v>24.6</v>
      </c>
      <c r="Q2146" s="1">
        <v>46.3</v>
      </c>
      <c r="R2146" s="1">
        <v>0.62954893833333336</v>
      </c>
      <c r="S2146" s="1">
        <v>7.1328304732006673E-2</v>
      </c>
      <c r="T2146" t="s">
        <v>2293</v>
      </c>
      <c r="U2146" s="1">
        <v>21818</v>
      </c>
      <c r="V2146">
        <f t="shared" si="132"/>
        <v>0.4820905486019576</v>
      </c>
      <c r="W2146" s="1">
        <f t="shared" si="133"/>
        <v>44.4</v>
      </c>
      <c r="X2146">
        <f t="shared" si="134"/>
        <v>0.14255040400000007</v>
      </c>
      <c r="Y2146">
        <f t="shared" si="135"/>
        <v>73.2</v>
      </c>
      <c r="Z2146" s="1">
        <v>4</v>
      </c>
      <c r="AA2146">
        <v>96</v>
      </c>
      <c r="AB2146">
        <v>4.1700000000000001E-2</v>
      </c>
      <c r="AC2146">
        <v>4</v>
      </c>
      <c r="AD2146">
        <v>97</v>
      </c>
      <c r="AE2146">
        <v>4.1200000000000001E-2</v>
      </c>
      <c r="AF2146" t="s">
        <v>2589</v>
      </c>
      <c r="AG2146" t="s">
        <v>2589</v>
      </c>
    </row>
    <row r="2147" spans="1:33">
      <c r="A2147" s="2" t="s">
        <v>57</v>
      </c>
      <c r="B2147" s="2" t="s">
        <v>23</v>
      </c>
      <c r="C2147" s="1">
        <v>0.528732855</v>
      </c>
      <c r="D2147">
        <v>0.63387497599999998</v>
      </c>
      <c r="E2147">
        <v>0.63337360200000004</v>
      </c>
      <c r="F2147" s="1" t="s">
        <v>58</v>
      </c>
      <c r="G2147" s="1">
        <v>1.386610879</v>
      </c>
      <c r="H2147" s="1">
        <v>69</v>
      </c>
      <c r="I2147" s="1">
        <v>119.5</v>
      </c>
      <c r="J2147" s="1">
        <v>0.59866047766666663</v>
      </c>
      <c r="K2147" s="1">
        <v>0.49415677200000002</v>
      </c>
      <c r="L2147" s="1">
        <v>0.62090818999999997</v>
      </c>
      <c r="M2147" s="3">
        <v>0.63381026900000004</v>
      </c>
      <c r="N2147" s="1" t="s">
        <v>24</v>
      </c>
      <c r="O2147" s="1">
        <v>1.141304348</v>
      </c>
      <c r="P2147" s="1">
        <v>44.4</v>
      </c>
      <c r="Q2147" s="1">
        <v>101.2</v>
      </c>
      <c r="R2147" s="1">
        <v>0.58295841033333329</v>
      </c>
      <c r="S2147" s="1">
        <v>3.6930119589050514E-2</v>
      </c>
      <c r="T2147" t="s">
        <v>2294</v>
      </c>
      <c r="U2147" s="1">
        <v>823</v>
      </c>
      <c r="V2147">
        <f t="shared" si="132"/>
        <v>0.32393331502358552</v>
      </c>
      <c r="W2147" s="1">
        <f t="shared" si="133"/>
        <v>24.6</v>
      </c>
      <c r="X2147">
        <f t="shared" si="134"/>
        <v>0.24530653099999999</v>
      </c>
      <c r="Y2147">
        <f t="shared" si="135"/>
        <v>18.299999999999997</v>
      </c>
      <c r="Z2147" s="1">
        <v>3</v>
      </c>
      <c r="AA2147">
        <v>97</v>
      </c>
      <c r="AB2147">
        <v>3.09E-2</v>
      </c>
      <c r="AC2147">
        <v>7</v>
      </c>
      <c r="AD2147">
        <v>90</v>
      </c>
      <c r="AE2147">
        <v>7.7799999999999994E-2</v>
      </c>
      <c r="AF2147" t="s">
        <v>2589</v>
      </c>
      <c r="AG2147" t="s">
        <v>2590</v>
      </c>
    </row>
    <row r="2148" spans="1:33">
      <c r="A2148" s="2" t="s">
        <v>57</v>
      </c>
      <c r="B2148" s="2" t="s">
        <v>25</v>
      </c>
      <c r="C2148" s="1">
        <v>0.528732855</v>
      </c>
      <c r="D2148">
        <v>0.63387497599999998</v>
      </c>
      <c r="E2148">
        <v>0.63337360200000004</v>
      </c>
      <c r="F2148" s="1" t="s">
        <v>58</v>
      </c>
      <c r="G2148" s="1">
        <v>1.386610879</v>
      </c>
      <c r="H2148" s="1">
        <v>69</v>
      </c>
      <c r="I2148" s="1">
        <v>119.5</v>
      </c>
      <c r="J2148" s="1">
        <v>0.59866047766666663</v>
      </c>
      <c r="K2148" s="1">
        <v>0.53959274199999996</v>
      </c>
      <c r="L2148" s="1">
        <v>0.64971567399999997</v>
      </c>
      <c r="M2148" s="3">
        <v>0.65028459999999999</v>
      </c>
      <c r="N2148" s="1" t="s">
        <v>26</v>
      </c>
      <c r="O2148" s="1">
        <v>1.623046875</v>
      </c>
      <c r="P2148" s="1">
        <v>34.700000000000003</v>
      </c>
      <c r="Q2148" s="1">
        <v>51.2</v>
      </c>
      <c r="R2148" s="1">
        <v>0.61319767199999997</v>
      </c>
      <c r="S2148" s="1">
        <v>2.5589972882673676E-2</v>
      </c>
      <c r="T2148" t="s">
        <v>2295</v>
      </c>
      <c r="U2148" s="1">
        <v>4382</v>
      </c>
      <c r="V2148">
        <f t="shared" si="132"/>
        <v>0.40463026369163185</v>
      </c>
      <c r="W2148" s="1">
        <f t="shared" si="133"/>
        <v>34.299999999999997</v>
      </c>
      <c r="X2148">
        <f t="shared" si="134"/>
        <v>0.23643599599999998</v>
      </c>
      <c r="Y2148">
        <f t="shared" si="135"/>
        <v>68.3</v>
      </c>
      <c r="Z2148" s="1">
        <v>0</v>
      </c>
      <c r="AA2148">
        <v>100</v>
      </c>
      <c r="AB2148">
        <v>0</v>
      </c>
      <c r="AC2148">
        <v>0</v>
      </c>
      <c r="AD2148">
        <v>99</v>
      </c>
      <c r="AE2148">
        <v>0</v>
      </c>
      <c r="AF2148" t="s">
        <v>2589</v>
      </c>
      <c r="AG2148" t="s">
        <v>2594</v>
      </c>
    </row>
    <row r="2149" spans="1:33">
      <c r="A2149" s="2" t="s">
        <v>57</v>
      </c>
      <c r="B2149" s="2" t="s">
        <v>27</v>
      </c>
      <c r="C2149" s="1">
        <v>0.528732855</v>
      </c>
      <c r="D2149">
        <v>0.63387497599999998</v>
      </c>
      <c r="E2149">
        <v>0.63337360200000004</v>
      </c>
      <c r="F2149" s="1" t="s">
        <v>58</v>
      </c>
      <c r="G2149" s="1">
        <v>1.386610879</v>
      </c>
      <c r="H2149" s="1">
        <v>69</v>
      </c>
      <c r="I2149" s="1">
        <v>119.5</v>
      </c>
      <c r="J2149" s="1">
        <v>0.59866047766666663</v>
      </c>
      <c r="K2149" s="1">
        <v>0.518608662</v>
      </c>
      <c r="L2149" s="1">
        <v>0.64320369700000002</v>
      </c>
      <c r="M2149" s="3">
        <v>0.62228994199999998</v>
      </c>
      <c r="N2149" s="1" t="s">
        <v>28</v>
      </c>
      <c r="O2149" s="1">
        <v>1.8717391299999999</v>
      </c>
      <c r="P2149" s="1">
        <v>33.700000000000003</v>
      </c>
      <c r="Q2149" s="1">
        <v>46</v>
      </c>
      <c r="R2149" s="1">
        <v>0.59470076699999996</v>
      </c>
      <c r="S2149" s="1">
        <v>1.7674044200258525E-2</v>
      </c>
      <c r="T2149" t="s">
        <v>2296</v>
      </c>
      <c r="U2149" s="1">
        <v>5679</v>
      </c>
      <c r="V2149">
        <f t="shared" si="132"/>
        <v>0.41714131874260657</v>
      </c>
      <c r="W2149" s="1">
        <f t="shared" si="133"/>
        <v>35.299999999999997</v>
      </c>
      <c r="X2149">
        <f t="shared" si="134"/>
        <v>0.4851282509999999</v>
      </c>
      <c r="Y2149">
        <f t="shared" si="135"/>
        <v>73.5</v>
      </c>
      <c r="Z2149" s="1">
        <v>2</v>
      </c>
      <c r="AA2149">
        <v>98</v>
      </c>
      <c r="AB2149">
        <v>2.0400000000000001E-2</v>
      </c>
      <c r="AC2149">
        <v>3</v>
      </c>
      <c r="AD2149">
        <v>103</v>
      </c>
      <c r="AE2149">
        <v>2.9100000000000001E-2</v>
      </c>
      <c r="AF2149" t="s">
        <v>2589</v>
      </c>
      <c r="AG2149" t="s">
        <v>2590</v>
      </c>
    </row>
    <row r="2150" spans="1:33">
      <c r="A2150" s="2" t="s">
        <v>57</v>
      </c>
      <c r="B2150" s="2" t="s">
        <v>29</v>
      </c>
      <c r="C2150" s="1">
        <v>0.528732855</v>
      </c>
      <c r="D2150">
        <v>0.63387497599999998</v>
      </c>
      <c r="E2150">
        <v>0.63337360200000004</v>
      </c>
      <c r="F2150" s="1" t="s">
        <v>58</v>
      </c>
      <c r="G2150" s="1">
        <v>1.386610879</v>
      </c>
      <c r="H2150" s="1">
        <v>69</v>
      </c>
      <c r="I2150" s="1">
        <v>119.5</v>
      </c>
      <c r="J2150" s="1">
        <v>0.59866047766666663</v>
      </c>
      <c r="K2150" s="1">
        <v>0.59351545100000003</v>
      </c>
      <c r="L2150" s="1">
        <v>0.68136602400000001</v>
      </c>
      <c r="M2150" s="3">
        <v>0.73518087600000004</v>
      </c>
      <c r="N2150" s="1" t="s">
        <v>30</v>
      </c>
      <c r="O2150" s="1">
        <v>2.849112426</v>
      </c>
      <c r="P2150" s="1">
        <v>37.9</v>
      </c>
      <c r="Q2150" s="1">
        <v>33.799999999999997</v>
      </c>
      <c r="R2150" s="1">
        <v>0.67002078366666673</v>
      </c>
      <c r="S2150" s="1">
        <v>0.12968001165927079</v>
      </c>
      <c r="T2150" t="s">
        <v>2297</v>
      </c>
      <c r="U2150" s="1">
        <v>493</v>
      </c>
      <c r="V2150">
        <f t="shared" si="132"/>
        <v>0.29920521325302557</v>
      </c>
      <c r="W2150" s="1">
        <f t="shared" si="133"/>
        <v>31.1</v>
      </c>
      <c r="X2150">
        <f t="shared" si="134"/>
        <v>1.462501547</v>
      </c>
      <c r="Y2150">
        <f t="shared" si="135"/>
        <v>85.7</v>
      </c>
      <c r="Z2150" s="1">
        <v>0</v>
      </c>
      <c r="AA2150">
        <v>100</v>
      </c>
      <c r="AB2150">
        <v>0</v>
      </c>
      <c r="AC2150">
        <v>0</v>
      </c>
      <c r="AD2150">
        <v>95</v>
      </c>
      <c r="AE2150">
        <v>0</v>
      </c>
      <c r="AF2150" t="s">
        <v>2589</v>
      </c>
      <c r="AG2150" t="s">
        <v>2593</v>
      </c>
    </row>
    <row r="2151" spans="1:33">
      <c r="A2151" s="2" t="s">
        <v>57</v>
      </c>
      <c r="B2151" s="2" t="s">
        <v>31</v>
      </c>
      <c r="C2151" s="1">
        <v>0.528732855</v>
      </c>
      <c r="D2151">
        <v>0.63387497599999998</v>
      </c>
      <c r="E2151">
        <v>0.63337360200000004</v>
      </c>
      <c r="F2151" s="1" t="s">
        <v>58</v>
      </c>
      <c r="G2151" s="1">
        <v>1.386610879</v>
      </c>
      <c r="H2151" s="1">
        <v>69</v>
      </c>
      <c r="I2151" s="1">
        <v>119.5</v>
      </c>
      <c r="J2151" s="1">
        <v>0.59866047766666663</v>
      </c>
      <c r="K2151" s="1">
        <v>0.47727961800000002</v>
      </c>
      <c r="L2151" s="1">
        <v>0.66941086400000005</v>
      </c>
      <c r="M2151" s="3">
        <v>0.69294815300000001</v>
      </c>
      <c r="N2151" s="1" t="s">
        <v>32</v>
      </c>
      <c r="O2151" s="1">
        <v>1.341891892</v>
      </c>
      <c r="P2151" s="1">
        <v>42.1</v>
      </c>
      <c r="Q2151" s="1">
        <v>74</v>
      </c>
      <c r="R2151" s="1">
        <v>0.61321287833333338</v>
      </c>
      <c r="S2151" s="1">
        <v>8.6367598441651219E-2</v>
      </c>
      <c r="T2151" t="s">
        <v>2298</v>
      </c>
      <c r="U2151" s="1">
        <v>11526</v>
      </c>
      <c r="V2151">
        <f t="shared" si="132"/>
        <v>0.45129762391614858</v>
      </c>
      <c r="W2151" s="1">
        <f t="shared" si="133"/>
        <v>26.9</v>
      </c>
      <c r="X2151">
        <f t="shared" si="134"/>
        <v>4.4718986999999988E-2</v>
      </c>
      <c r="Y2151">
        <f t="shared" si="135"/>
        <v>45.5</v>
      </c>
      <c r="Z2151" s="1">
        <v>12</v>
      </c>
      <c r="AA2151">
        <v>88</v>
      </c>
      <c r="AB2151">
        <v>0.13639999999999999</v>
      </c>
      <c r="AC2151">
        <v>13</v>
      </c>
      <c r="AD2151">
        <v>90</v>
      </c>
      <c r="AE2151">
        <v>0.1444</v>
      </c>
      <c r="AF2151" t="s">
        <v>2589</v>
      </c>
      <c r="AG2151" t="s">
        <v>2589</v>
      </c>
    </row>
    <row r="2152" spans="1:33">
      <c r="A2152" s="2" t="s">
        <v>57</v>
      </c>
      <c r="B2152" s="2" t="s">
        <v>33</v>
      </c>
      <c r="C2152" s="1">
        <v>0.528732855</v>
      </c>
      <c r="D2152">
        <v>0.63387497599999998</v>
      </c>
      <c r="E2152">
        <v>0.63337360200000004</v>
      </c>
      <c r="F2152" s="1" t="s">
        <v>58</v>
      </c>
      <c r="G2152" s="1">
        <v>1.386610879</v>
      </c>
      <c r="H2152" s="1">
        <v>69</v>
      </c>
      <c r="I2152" s="1">
        <v>119.5</v>
      </c>
      <c r="J2152" s="1">
        <v>0.59866047766666663</v>
      </c>
      <c r="K2152" s="1">
        <v>0.51347926600000005</v>
      </c>
      <c r="L2152" s="1">
        <v>0.63144379399999995</v>
      </c>
      <c r="M2152" s="3">
        <v>0.64189093500000005</v>
      </c>
      <c r="N2152" s="1" t="s">
        <v>34</v>
      </c>
      <c r="O2152" s="1">
        <v>2.3123667380000001</v>
      </c>
      <c r="P2152" s="1">
        <v>79.099999999999994</v>
      </c>
      <c r="Q2152" s="1">
        <v>93.8</v>
      </c>
      <c r="R2152" s="1">
        <v>0.59560466500000009</v>
      </c>
      <c r="S2152" s="1">
        <v>1.7638809050809896E-2</v>
      </c>
      <c r="T2152" t="s">
        <v>2299</v>
      </c>
      <c r="U2152" s="1">
        <v>7543</v>
      </c>
      <c r="V2152">
        <f t="shared" si="132"/>
        <v>0.43083823419066047</v>
      </c>
      <c r="W2152" s="1">
        <f t="shared" si="133"/>
        <v>10.099999999999994</v>
      </c>
      <c r="X2152">
        <f t="shared" si="134"/>
        <v>0.92575585900000013</v>
      </c>
      <c r="Y2152">
        <f t="shared" si="135"/>
        <v>25.700000000000003</v>
      </c>
      <c r="Z2152" s="1">
        <v>13</v>
      </c>
      <c r="AA2152">
        <v>87</v>
      </c>
      <c r="AB2152">
        <v>0.14940000000000001</v>
      </c>
      <c r="AC2152">
        <v>13</v>
      </c>
      <c r="AD2152">
        <v>84</v>
      </c>
      <c r="AE2152">
        <v>0.15479999999999999</v>
      </c>
      <c r="AF2152" t="s">
        <v>2589</v>
      </c>
      <c r="AG2152" t="s">
        <v>2590</v>
      </c>
    </row>
    <row r="2153" spans="1:33">
      <c r="A2153" s="2" t="s">
        <v>57</v>
      </c>
      <c r="B2153" s="2" t="s">
        <v>35</v>
      </c>
      <c r="C2153" s="1">
        <v>0.528732855</v>
      </c>
      <c r="D2153">
        <v>0.63387497599999998</v>
      </c>
      <c r="E2153">
        <v>0.63337360200000004</v>
      </c>
      <c r="F2153" s="1" t="s">
        <v>58</v>
      </c>
      <c r="G2153" s="1">
        <v>1.386610879</v>
      </c>
      <c r="H2153" s="1">
        <v>69</v>
      </c>
      <c r="I2153" s="1">
        <v>119.5</v>
      </c>
      <c r="J2153" s="1">
        <v>0.59866047766666663</v>
      </c>
      <c r="K2153" s="1">
        <v>0.52542897600000005</v>
      </c>
      <c r="L2153" s="1">
        <v>0.60774736299999998</v>
      </c>
      <c r="M2153" s="3">
        <v>0.62585751700000003</v>
      </c>
      <c r="N2153" s="1" t="s">
        <v>36</v>
      </c>
      <c r="O2153" s="1">
        <v>0.98848810399999998</v>
      </c>
      <c r="P2153" s="1">
        <v>54.2</v>
      </c>
      <c r="Q2153" s="1">
        <v>130.30000000000001</v>
      </c>
      <c r="R2153" s="1">
        <v>0.58634461866666665</v>
      </c>
      <c r="S2153" s="1">
        <v>2.7387210724198155E-2</v>
      </c>
      <c r="T2153" t="s">
        <v>2300</v>
      </c>
      <c r="U2153" s="1">
        <v>167940</v>
      </c>
      <c r="V2153">
        <f t="shared" si="132"/>
        <v>0.58057268320553401</v>
      </c>
      <c r="W2153" s="1">
        <f t="shared" si="133"/>
        <v>14.799999999999997</v>
      </c>
      <c r="X2153">
        <f t="shared" si="134"/>
        <v>0.39812277500000004</v>
      </c>
      <c r="Y2153">
        <f t="shared" si="135"/>
        <v>10.800000000000011</v>
      </c>
      <c r="Z2153" s="1">
        <v>19</v>
      </c>
      <c r="AA2153">
        <v>81</v>
      </c>
      <c r="AB2153">
        <v>0.2346</v>
      </c>
      <c r="AC2153">
        <v>19</v>
      </c>
      <c r="AD2153">
        <v>77</v>
      </c>
      <c r="AE2153">
        <v>0.24679999999999999</v>
      </c>
      <c r="AF2153" t="s">
        <v>2589</v>
      </c>
      <c r="AG2153" t="s">
        <v>2589</v>
      </c>
    </row>
    <row r="2154" spans="1:33">
      <c r="A2154" s="2" t="s">
        <v>57</v>
      </c>
      <c r="B2154" s="2" t="s">
        <v>37</v>
      </c>
      <c r="C2154" s="1">
        <v>0.528732855</v>
      </c>
      <c r="D2154">
        <v>0.63387497599999998</v>
      </c>
      <c r="E2154">
        <v>0.63337360200000004</v>
      </c>
      <c r="F2154" s="1" t="s">
        <v>58</v>
      </c>
      <c r="G2154" s="1">
        <v>1.386610879</v>
      </c>
      <c r="H2154" s="1">
        <v>69</v>
      </c>
      <c r="I2154" s="1">
        <v>119.5</v>
      </c>
      <c r="J2154" s="1">
        <v>0.59866047766666663</v>
      </c>
      <c r="K2154" s="1">
        <v>0.50856695500000004</v>
      </c>
      <c r="L2154" s="1">
        <v>0.654733224</v>
      </c>
      <c r="M2154" s="3">
        <v>0.61418267199999999</v>
      </c>
      <c r="N2154" s="1" t="s">
        <v>38</v>
      </c>
      <c r="O2154" s="1">
        <v>0.64065708399999999</v>
      </c>
      <c r="P2154" s="1">
        <v>41.9</v>
      </c>
      <c r="Q2154" s="1">
        <v>146.1</v>
      </c>
      <c r="R2154" s="1">
        <v>0.59249428366666679</v>
      </c>
      <c r="S2154" s="1">
        <v>3.4785367997254325E-2</v>
      </c>
      <c r="T2154" t="s">
        <v>2301</v>
      </c>
      <c r="U2154" s="1">
        <v>2583</v>
      </c>
      <c r="V2154">
        <f t="shared" si="132"/>
        <v>0.37912493401925745</v>
      </c>
      <c r="W2154" s="1">
        <f t="shared" si="133"/>
        <v>27.1</v>
      </c>
      <c r="X2154">
        <f t="shared" si="134"/>
        <v>0.74595379500000003</v>
      </c>
      <c r="Y2154">
        <f t="shared" si="135"/>
        <v>26.599999999999994</v>
      </c>
      <c r="Z2154" s="1">
        <v>9</v>
      </c>
      <c r="AA2154">
        <v>91</v>
      </c>
      <c r="AB2154">
        <v>9.8900000000000002E-2</v>
      </c>
      <c r="AC2154">
        <v>11</v>
      </c>
      <c r="AD2154">
        <v>84</v>
      </c>
      <c r="AE2154">
        <v>0.13100000000000001</v>
      </c>
      <c r="AF2154" t="s">
        <v>2589</v>
      </c>
      <c r="AG2154" t="s">
        <v>2590</v>
      </c>
    </row>
    <row r="2155" spans="1:33">
      <c r="A2155" s="2" t="s">
        <v>57</v>
      </c>
      <c r="B2155" s="2" t="s">
        <v>39</v>
      </c>
      <c r="C2155" s="1">
        <v>0.528732855</v>
      </c>
      <c r="D2155">
        <v>0.63387497599999998</v>
      </c>
      <c r="E2155">
        <v>0.63337360200000004</v>
      </c>
      <c r="F2155" s="1" t="s">
        <v>58</v>
      </c>
      <c r="G2155" s="1">
        <v>1.386610879</v>
      </c>
      <c r="H2155" s="1">
        <v>69</v>
      </c>
      <c r="I2155" s="1">
        <v>119.5</v>
      </c>
      <c r="J2155" s="1">
        <v>0.59866047766666663</v>
      </c>
      <c r="K2155" s="1">
        <v>0.60811616199999996</v>
      </c>
      <c r="L2155" s="1">
        <v>0.721105683</v>
      </c>
      <c r="M2155" s="3">
        <v>0.741016169</v>
      </c>
      <c r="N2155" s="1" t="s">
        <v>40</v>
      </c>
      <c r="O2155" s="1">
        <v>1.0601915180000001</v>
      </c>
      <c r="P2155" s="1">
        <v>34</v>
      </c>
      <c r="Q2155" s="1">
        <v>73.099999999999994</v>
      </c>
      <c r="R2155" s="1">
        <v>0.69007933799999999</v>
      </c>
      <c r="S2155" s="1">
        <v>0.15968039298650782</v>
      </c>
      <c r="T2155" t="s">
        <v>2302</v>
      </c>
      <c r="U2155" s="1">
        <v>16566</v>
      </c>
      <c r="V2155">
        <f t="shared" si="132"/>
        <v>0.46880196189143408</v>
      </c>
      <c r="W2155" s="1">
        <f t="shared" si="133"/>
        <v>35</v>
      </c>
      <c r="X2155">
        <f t="shared" si="134"/>
        <v>0.32641936099999991</v>
      </c>
      <c r="Y2155">
        <f t="shared" si="135"/>
        <v>46.400000000000006</v>
      </c>
      <c r="Z2155" s="1">
        <v>4</v>
      </c>
      <c r="AA2155">
        <v>96</v>
      </c>
      <c r="AB2155">
        <v>4.1700000000000001E-2</v>
      </c>
      <c r="AC2155">
        <v>6</v>
      </c>
      <c r="AD2155">
        <v>92</v>
      </c>
      <c r="AE2155">
        <v>6.5199999999999994E-2</v>
      </c>
      <c r="AF2155" t="s">
        <v>2589</v>
      </c>
      <c r="AG2155" t="s">
        <v>2589</v>
      </c>
    </row>
    <row r="2156" spans="1:33">
      <c r="A2156" s="2" t="s">
        <v>57</v>
      </c>
      <c r="B2156" s="2" t="s">
        <v>41</v>
      </c>
      <c r="C2156" s="1">
        <v>0.528732855</v>
      </c>
      <c r="D2156">
        <v>0.63387497599999998</v>
      </c>
      <c r="E2156">
        <v>0.63337360200000004</v>
      </c>
      <c r="F2156" s="1" t="s">
        <v>58</v>
      </c>
      <c r="G2156" s="1">
        <v>1.386610879</v>
      </c>
      <c r="H2156" s="1">
        <v>69</v>
      </c>
      <c r="I2156" s="1">
        <v>119.5</v>
      </c>
      <c r="J2156" s="1">
        <v>0.59866047766666663</v>
      </c>
      <c r="K2156" s="1">
        <v>0.60402244999999999</v>
      </c>
      <c r="L2156" s="1">
        <v>0.669189213</v>
      </c>
      <c r="M2156" s="3">
        <v>0.69821693799999995</v>
      </c>
      <c r="N2156" s="1" t="s">
        <v>42</v>
      </c>
      <c r="O2156" s="1">
        <v>1.3243902439999999</v>
      </c>
      <c r="P2156" s="1">
        <v>23</v>
      </c>
      <c r="Q2156" s="1">
        <v>41</v>
      </c>
      <c r="R2156" s="1">
        <v>0.65714286700000002</v>
      </c>
      <c r="S2156" s="1">
        <v>0.10545272245781558</v>
      </c>
      <c r="T2156" t="s">
        <v>2303</v>
      </c>
      <c r="U2156" s="1">
        <v>963</v>
      </c>
      <c r="V2156">
        <f t="shared" si="132"/>
        <v>0.33151403190272605</v>
      </c>
      <c r="W2156" s="1">
        <f t="shared" si="133"/>
        <v>46</v>
      </c>
      <c r="X2156">
        <f t="shared" si="134"/>
        <v>6.222063500000008E-2</v>
      </c>
      <c r="Y2156">
        <f t="shared" si="135"/>
        <v>78.5</v>
      </c>
      <c r="Z2156" s="1">
        <v>0</v>
      </c>
      <c r="AA2156">
        <v>100</v>
      </c>
      <c r="AB2156">
        <v>0</v>
      </c>
      <c r="AC2156">
        <v>0</v>
      </c>
      <c r="AD2156">
        <v>112</v>
      </c>
      <c r="AE2156">
        <v>0</v>
      </c>
      <c r="AF2156" t="s">
        <v>2589</v>
      </c>
      <c r="AG2156" t="s">
        <v>2591</v>
      </c>
    </row>
    <row r="2157" spans="1:33">
      <c r="A2157" s="2" t="s">
        <v>57</v>
      </c>
      <c r="B2157" s="2" t="s">
        <v>43</v>
      </c>
      <c r="C2157" s="1">
        <v>0.528732855</v>
      </c>
      <c r="D2157">
        <v>0.63387497599999998</v>
      </c>
      <c r="E2157">
        <v>0.63337360200000004</v>
      </c>
      <c r="F2157" s="1" t="s">
        <v>58</v>
      </c>
      <c r="G2157" s="1">
        <v>1.386610879</v>
      </c>
      <c r="H2157" s="1">
        <v>69</v>
      </c>
      <c r="I2157" s="1">
        <v>119.5</v>
      </c>
      <c r="J2157" s="1">
        <v>0.59866047766666663</v>
      </c>
      <c r="K2157" s="1">
        <v>0.54180634699999997</v>
      </c>
      <c r="L2157" s="1">
        <v>0.59470779900000004</v>
      </c>
      <c r="M2157" s="3">
        <v>0.69518155599999998</v>
      </c>
      <c r="N2157" s="1" t="s">
        <v>44</v>
      </c>
      <c r="O2157" s="1">
        <v>1.7403685090000001</v>
      </c>
      <c r="P2157" s="1">
        <v>41.2</v>
      </c>
      <c r="Q2157" s="1">
        <v>59.7</v>
      </c>
      <c r="R2157" s="1">
        <v>0.61056523400000007</v>
      </c>
      <c r="S2157" s="1">
        <v>7.4331736996316025E-2</v>
      </c>
      <c r="T2157" t="s">
        <v>2304</v>
      </c>
      <c r="U2157" s="1">
        <v>12838</v>
      </c>
      <c r="V2157">
        <f t="shared" si="132"/>
        <v>0.45649970792758437</v>
      </c>
      <c r="W2157" s="1">
        <f t="shared" si="133"/>
        <v>27.799999999999997</v>
      </c>
      <c r="X2157">
        <f t="shared" si="134"/>
        <v>0.35375763000000005</v>
      </c>
      <c r="Y2157">
        <f t="shared" si="135"/>
        <v>59.8</v>
      </c>
      <c r="Z2157" s="1">
        <v>11</v>
      </c>
      <c r="AA2157">
        <v>89</v>
      </c>
      <c r="AB2157">
        <v>0.1236</v>
      </c>
      <c r="AC2157">
        <v>13</v>
      </c>
      <c r="AD2157">
        <v>121</v>
      </c>
      <c r="AE2157">
        <v>0.1074</v>
      </c>
      <c r="AF2157" t="s">
        <v>2589</v>
      </c>
      <c r="AG2157" t="s">
        <v>2589</v>
      </c>
    </row>
    <row r="2158" spans="1:33">
      <c r="A2158" s="2" t="s">
        <v>57</v>
      </c>
      <c r="B2158" s="2" t="s">
        <v>45</v>
      </c>
      <c r="C2158" s="1">
        <v>0.528732855</v>
      </c>
      <c r="D2158">
        <v>0.63387497599999998</v>
      </c>
      <c r="E2158">
        <v>0.63337360200000004</v>
      </c>
      <c r="F2158" s="1" t="s">
        <v>58</v>
      </c>
      <c r="G2158" s="1">
        <v>1.386610879</v>
      </c>
      <c r="H2158" s="1">
        <v>69</v>
      </c>
      <c r="I2158" s="1">
        <v>119.5</v>
      </c>
      <c r="J2158" s="1">
        <v>0.59866047766666663</v>
      </c>
      <c r="K2158" s="1">
        <v>0.50907007599999998</v>
      </c>
      <c r="L2158" s="1">
        <v>0.68428041399999995</v>
      </c>
      <c r="M2158" s="3">
        <v>0.67454742099999998</v>
      </c>
      <c r="N2158" s="1" t="s">
        <v>46</v>
      </c>
      <c r="O2158" s="1">
        <v>0.98140043799999999</v>
      </c>
      <c r="P2158" s="1">
        <v>38.9</v>
      </c>
      <c r="Q2158" s="1">
        <v>91.4</v>
      </c>
      <c r="R2158" s="1">
        <v>0.62263263699999993</v>
      </c>
      <c r="S2158" s="1">
        <v>6.7989825922849953E-2</v>
      </c>
      <c r="T2158" t="s">
        <v>2305</v>
      </c>
      <c r="U2158" s="1">
        <v>37194</v>
      </c>
      <c r="V2158">
        <f t="shared" si="132"/>
        <v>0.50783032074835743</v>
      </c>
      <c r="W2158" s="1">
        <f t="shared" si="133"/>
        <v>30.1</v>
      </c>
      <c r="X2158">
        <f t="shared" si="134"/>
        <v>0.40521044100000003</v>
      </c>
      <c r="Y2158">
        <f t="shared" si="135"/>
        <v>28.099999999999994</v>
      </c>
      <c r="Z2158" s="1">
        <v>13</v>
      </c>
      <c r="AA2158">
        <v>87</v>
      </c>
      <c r="AB2158">
        <v>0.14940000000000001</v>
      </c>
      <c r="AC2158">
        <v>14</v>
      </c>
      <c r="AD2158">
        <v>100</v>
      </c>
      <c r="AE2158">
        <v>0.14000000000000001</v>
      </c>
      <c r="AF2158" t="s">
        <v>2589</v>
      </c>
      <c r="AG2158" t="s">
        <v>2589</v>
      </c>
    </row>
    <row r="2159" spans="1:33">
      <c r="A2159" s="2" t="s">
        <v>57</v>
      </c>
      <c r="B2159" s="2" t="s">
        <v>47</v>
      </c>
      <c r="C2159" s="1">
        <v>0.528732855</v>
      </c>
      <c r="D2159">
        <v>0.63387497599999998</v>
      </c>
      <c r="E2159">
        <v>0.63337360200000004</v>
      </c>
      <c r="F2159" s="1" t="s">
        <v>58</v>
      </c>
      <c r="G2159" s="1">
        <v>1.386610879</v>
      </c>
      <c r="H2159" s="1">
        <v>69</v>
      </c>
      <c r="I2159" s="1">
        <v>119.5</v>
      </c>
      <c r="J2159" s="1">
        <v>0.59866047766666663</v>
      </c>
      <c r="K2159" s="1">
        <v>0.50612154099999995</v>
      </c>
      <c r="L2159" s="1">
        <v>0.55940039100000005</v>
      </c>
      <c r="M2159" s="3">
        <v>0.66789001699999995</v>
      </c>
      <c r="N2159" s="1" t="s">
        <v>48</v>
      </c>
      <c r="O2159" s="1">
        <v>1.242622951</v>
      </c>
      <c r="P2159" s="1">
        <v>17.8</v>
      </c>
      <c r="Q2159" s="1">
        <v>30.5</v>
      </c>
      <c r="R2159" s="1">
        <v>0.57780398300000002</v>
      </c>
      <c r="S2159" s="1">
        <v>8.5141753776751802E-2</v>
      </c>
      <c r="T2159" t="s">
        <v>2306</v>
      </c>
      <c r="U2159" s="1">
        <v>2388</v>
      </c>
      <c r="V2159">
        <f t="shared" si="132"/>
        <v>0.37533714693970349</v>
      </c>
      <c r="W2159" s="1">
        <f t="shared" si="133"/>
        <v>51.2</v>
      </c>
      <c r="X2159">
        <f t="shared" si="134"/>
        <v>0.14398792800000004</v>
      </c>
      <c r="Y2159">
        <f t="shared" si="135"/>
        <v>89</v>
      </c>
      <c r="Z2159" s="1">
        <v>1</v>
      </c>
      <c r="AA2159">
        <v>99</v>
      </c>
      <c r="AB2159">
        <v>1.01E-2</v>
      </c>
      <c r="AC2159">
        <v>2</v>
      </c>
      <c r="AD2159">
        <v>119</v>
      </c>
      <c r="AE2159">
        <v>1.6799999999999999E-2</v>
      </c>
      <c r="AF2159" t="s">
        <v>2589</v>
      </c>
      <c r="AG2159" t="s">
        <v>2590</v>
      </c>
    </row>
    <row r="2160" spans="1:33">
      <c r="A2160" s="2" t="s">
        <v>57</v>
      </c>
      <c r="B2160" s="2" t="s">
        <v>49</v>
      </c>
      <c r="C2160" s="1">
        <v>0.528732855</v>
      </c>
      <c r="D2160">
        <v>0.63387497599999998</v>
      </c>
      <c r="E2160">
        <v>0.63337360200000004</v>
      </c>
      <c r="F2160" s="1" t="s">
        <v>58</v>
      </c>
      <c r="G2160" s="1">
        <v>1.386610879</v>
      </c>
      <c r="H2160" s="1">
        <v>69</v>
      </c>
      <c r="I2160" s="1">
        <v>119.5</v>
      </c>
      <c r="J2160" s="1">
        <v>0.59866047766666663</v>
      </c>
      <c r="K2160" s="1">
        <v>0.50647110500000003</v>
      </c>
      <c r="L2160" s="1">
        <v>0.55713136799999996</v>
      </c>
      <c r="M2160" s="3">
        <v>0.63402682300000002</v>
      </c>
      <c r="N2160" s="1" t="s">
        <v>50</v>
      </c>
      <c r="O2160" s="1">
        <v>1.876675603</v>
      </c>
      <c r="P2160" s="1">
        <v>28.8</v>
      </c>
      <c r="Q2160" s="1">
        <v>37.299999999999997</v>
      </c>
      <c r="R2160" s="1">
        <v>0.56587643200000004</v>
      </c>
      <c r="S2160" s="1">
        <v>7.9909909145205557E-2</v>
      </c>
      <c r="T2160" t="s">
        <v>2307</v>
      </c>
      <c r="U2160" s="1">
        <v>4513</v>
      </c>
      <c r="V2160">
        <f t="shared" si="132"/>
        <v>0.40605170372446064</v>
      </c>
      <c r="W2160" s="1">
        <f t="shared" si="133"/>
        <v>40.200000000000003</v>
      </c>
      <c r="X2160">
        <f t="shared" si="134"/>
        <v>0.49006472400000001</v>
      </c>
      <c r="Y2160">
        <f t="shared" si="135"/>
        <v>82.2</v>
      </c>
      <c r="Z2160" s="1">
        <v>3</v>
      </c>
      <c r="AA2160">
        <v>97</v>
      </c>
      <c r="AB2160">
        <v>3.09E-2</v>
      </c>
      <c r="AC2160">
        <v>6</v>
      </c>
      <c r="AD2160">
        <v>89</v>
      </c>
      <c r="AE2160">
        <v>6.7400000000000002E-2</v>
      </c>
      <c r="AF2160" t="s">
        <v>2589</v>
      </c>
      <c r="AG2160" t="s">
        <v>2590</v>
      </c>
    </row>
    <row r="2161" spans="1:33">
      <c r="A2161" s="2" t="s">
        <v>57</v>
      </c>
      <c r="B2161" s="2" t="s">
        <v>51</v>
      </c>
      <c r="C2161" s="1">
        <v>0.528732855</v>
      </c>
      <c r="D2161">
        <v>0.63387497599999998</v>
      </c>
      <c r="E2161">
        <v>0.63337360200000004</v>
      </c>
      <c r="F2161" s="1" t="s">
        <v>58</v>
      </c>
      <c r="G2161" s="1">
        <v>1.386610879</v>
      </c>
      <c r="H2161" s="1">
        <v>69</v>
      </c>
      <c r="I2161" s="1">
        <v>119.5</v>
      </c>
      <c r="J2161" s="1">
        <v>0.59866047766666663</v>
      </c>
      <c r="K2161" s="1">
        <v>0.60067161999999996</v>
      </c>
      <c r="L2161" s="1">
        <v>0.68094129999999997</v>
      </c>
      <c r="M2161" s="3">
        <v>0.73595931299999995</v>
      </c>
      <c r="N2161" s="1" t="s">
        <v>52</v>
      </c>
      <c r="O2161" s="1">
        <v>1.858638743</v>
      </c>
      <c r="P2161" s="1">
        <v>29.4</v>
      </c>
      <c r="Q2161" s="1">
        <v>38.200000000000003</v>
      </c>
      <c r="R2161" s="1">
        <v>0.67252407766666666</v>
      </c>
      <c r="S2161" s="1">
        <v>0.13384413646467183</v>
      </c>
      <c r="T2161" t="s">
        <v>2308</v>
      </c>
      <c r="U2161" s="1">
        <v>739</v>
      </c>
      <c r="V2161">
        <f t="shared" si="132"/>
        <v>0.31873827093275842</v>
      </c>
      <c r="W2161" s="1">
        <f t="shared" si="133"/>
        <v>39.6</v>
      </c>
      <c r="X2161">
        <f t="shared" si="134"/>
        <v>0.47202786399999996</v>
      </c>
      <c r="Y2161">
        <f t="shared" si="135"/>
        <v>81.3</v>
      </c>
      <c r="Z2161" s="1">
        <v>3</v>
      </c>
      <c r="AA2161">
        <v>97</v>
      </c>
      <c r="AB2161">
        <v>3.09E-2</v>
      </c>
      <c r="AC2161">
        <v>4</v>
      </c>
      <c r="AD2161">
        <v>100</v>
      </c>
      <c r="AE2161">
        <v>0.04</v>
      </c>
      <c r="AF2161" t="s">
        <v>2589</v>
      </c>
      <c r="AG2161" t="s">
        <v>2591</v>
      </c>
    </row>
    <row r="2162" spans="1:33">
      <c r="A2162" s="2" t="s">
        <v>57</v>
      </c>
      <c r="B2162" s="2" t="s">
        <v>53</v>
      </c>
      <c r="C2162" s="1">
        <v>0.528732855</v>
      </c>
      <c r="D2162">
        <v>0.63387497599999998</v>
      </c>
      <c r="E2162">
        <v>0.63337360200000004</v>
      </c>
      <c r="F2162" s="1" t="s">
        <v>58</v>
      </c>
      <c r="G2162" s="1">
        <v>1.386610879</v>
      </c>
      <c r="H2162" s="1">
        <v>69</v>
      </c>
      <c r="I2162" s="1">
        <v>119.5</v>
      </c>
      <c r="J2162" s="1">
        <v>0.59866047766666663</v>
      </c>
      <c r="K2162" s="1">
        <v>0.54695832700000002</v>
      </c>
      <c r="L2162" s="1">
        <v>0.659790137</v>
      </c>
      <c r="M2162" s="3">
        <v>0.70662085500000005</v>
      </c>
      <c r="N2162" s="1" t="s">
        <v>54</v>
      </c>
      <c r="O2162" s="1">
        <v>2.5053995680000001</v>
      </c>
      <c r="P2162" s="1">
        <v>43.9</v>
      </c>
      <c r="Q2162" s="1">
        <v>46.3</v>
      </c>
      <c r="R2162" s="1">
        <v>0.63778977300000006</v>
      </c>
      <c r="S2162" s="1">
        <v>7.9805535342635958E-2</v>
      </c>
      <c r="T2162" t="s">
        <v>2309</v>
      </c>
      <c r="U2162" s="1">
        <v>1561</v>
      </c>
      <c r="V2162">
        <f t="shared" si="132"/>
        <v>0.35482254478471309</v>
      </c>
      <c r="W2162" s="1">
        <f t="shared" si="133"/>
        <v>25.1</v>
      </c>
      <c r="X2162">
        <f t="shared" si="134"/>
        <v>1.1187886890000001</v>
      </c>
      <c r="Y2162">
        <f t="shared" si="135"/>
        <v>73.2</v>
      </c>
      <c r="Z2162" s="1">
        <v>1</v>
      </c>
      <c r="AA2162">
        <v>99</v>
      </c>
      <c r="AB2162">
        <v>1.01E-2</v>
      </c>
      <c r="AC2162">
        <v>2</v>
      </c>
      <c r="AD2162">
        <v>102</v>
      </c>
      <c r="AE2162">
        <v>1.9599999999999999E-2</v>
      </c>
      <c r="AF2162" t="s">
        <v>2589</v>
      </c>
      <c r="AG2162" t="s">
        <v>2593</v>
      </c>
    </row>
    <row r="2163" spans="1:33">
      <c r="A2163" s="2" t="s">
        <v>57</v>
      </c>
      <c r="B2163" s="2" t="s">
        <v>55</v>
      </c>
      <c r="C2163" s="1">
        <v>0.528732855</v>
      </c>
      <c r="D2163">
        <v>0.63387497599999998</v>
      </c>
      <c r="E2163">
        <v>0.63337360200000004</v>
      </c>
      <c r="F2163" s="1" t="s">
        <v>58</v>
      </c>
      <c r="G2163" s="1">
        <v>1.386610879</v>
      </c>
      <c r="H2163" s="1">
        <v>69</v>
      </c>
      <c r="I2163" s="1">
        <v>119.5</v>
      </c>
      <c r="J2163" s="1">
        <v>0.59866047766666663</v>
      </c>
      <c r="K2163" s="1">
        <v>0.52971861799999997</v>
      </c>
      <c r="L2163" s="1">
        <v>0.62258244500000004</v>
      </c>
      <c r="M2163" s="3">
        <v>0.63939760400000001</v>
      </c>
      <c r="N2163" s="1" t="s">
        <v>56</v>
      </c>
      <c r="O2163" s="1">
        <v>1.0796934869999999</v>
      </c>
      <c r="P2163" s="1">
        <v>55.3</v>
      </c>
      <c r="Q2163" s="1">
        <v>130.5</v>
      </c>
      <c r="R2163" s="1">
        <v>0.59723288899999993</v>
      </c>
      <c r="S2163" s="1">
        <v>1.2836727977725953E-2</v>
      </c>
      <c r="T2163" t="s">
        <v>2310</v>
      </c>
      <c r="U2163" s="1">
        <v>9181</v>
      </c>
      <c r="V2163">
        <f t="shared" si="132"/>
        <v>0.440321109710199</v>
      </c>
      <c r="W2163" s="1">
        <f t="shared" si="133"/>
        <v>13.700000000000003</v>
      </c>
      <c r="X2163">
        <f t="shared" si="134"/>
        <v>0.30691739200000012</v>
      </c>
      <c r="Y2163">
        <f t="shared" si="135"/>
        <v>11</v>
      </c>
      <c r="Z2163" s="1">
        <v>21</v>
      </c>
      <c r="AA2163">
        <v>79</v>
      </c>
      <c r="AB2163">
        <v>0.26579999999999998</v>
      </c>
      <c r="AC2163">
        <v>18</v>
      </c>
      <c r="AD2163">
        <v>78</v>
      </c>
      <c r="AE2163">
        <v>0.23080000000000001</v>
      </c>
      <c r="AF2163" t="s">
        <v>2589</v>
      </c>
      <c r="AG2163" t="s">
        <v>2592</v>
      </c>
    </row>
    <row r="2164" spans="1:33">
      <c r="A2164" s="2" t="s">
        <v>55</v>
      </c>
      <c r="B2164" s="2" t="s">
        <v>10</v>
      </c>
      <c r="C2164" s="1">
        <v>0.52971861799999997</v>
      </c>
      <c r="D2164">
        <v>0.62258244500000004</v>
      </c>
      <c r="E2164">
        <v>0.63939760400000001</v>
      </c>
      <c r="F2164" s="1" t="s">
        <v>56</v>
      </c>
      <c r="G2164" s="1">
        <v>1.0796934869999999</v>
      </c>
      <c r="H2164" s="1">
        <v>55.3</v>
      </c>
      <c r="I2164" s="1">
        <v>130.5</v>
      </c>
      <c r="J2164" s="1">
        <v>0.59723288899999993</v>
      </c>
      <c r="K2164" s="1">
        <v>0.52456325500000001</v>
      </c>
      <c r="L2164" s="1">
        <v>0.61925627999999999</v>
      </c>
      <c r="M2164" s="3">
        <v>0.72111139899999999</v>
      </c>
      <c r="N2164" s="1" t="s">
        <v>12</v>
      </c>
      <c r="O2164" s="1">
        <v>0.61690647499999995</v>
      </c>
      <c r="P2164" s="1">
        <v>30</v>
      </c>
      <c r="Q2164" s="1">
        <v>111.2</v>
      </c>
      <c r="R2164" s="1">
        <v>0.62164364466666666</v>
      </c>
      <c r="S2164" s="1">
        <v>8.1943794362788785E-2</v>
      </c>
      <c r="T2164" t="s">
        <v>2311</v>
      </c>
      <c r="U2164" s="1">
        <v>15229</v>
      </c>
      <c r="V2164">
        <f t="shared" si="132"/>
        <v>0.46474126518616427</v>
      </c>
      <c r="W2164" s="1">
        <f t="shared" si="133"/>
        <v>25.299999999999997</v>
      </c>
      <c r="X2164">
        <f t="shared" si="134"/>
        <v>0.46278701199999994</v>
      </c>
      <c r="Y2164">
        <f t="shared" si="135"/>
        <v>19.299999999999997</v>
      </c>
      <c r="Z2164" s="1">
        <v>6</v>
      </c>
      <c r="AA2164">
        <v>94</v>
      </c>
      <c r="AB2164">
        <v>6.3799999999999996E-2</v>
      </c>
      <c r="AC2164">
        <v>9</v>
      </c>
      <c r="AD2164">
        <v>143</v>
      </c>
      <c r="AE2164">
        <v>6.2899999999999998E-2</v>
      </c>
      <c r="AF2164" t="s">
        <v>2592</v>
      </c>
      <c r="AG2164" t="s">
        <v>2588</v>
      </c>
    </row>
    <row r="2165" spans="1:33">
      <c r="A2165" s="2" t="s">
        <v>55</v>
      </c>
      <c r="B2165" s="2" t="s">
        <v>13</v>
      </c>
      <c r="C2165" s="1">
        <v>0.52971861799999997</v>
      </c>
      <c r="D2165">
        <v>0.62258244500000004</v>
      </c>
      <c r="E2165">
        <v>0.63939760400000001</v>
      </c>
      <c r="F2165" s="1" t="s">
        <v>56</v>
      </c>
      <c r="G2165" s="1">
        <v>1.0796934869999999</v>
      </c>
      <c r="H2165" s="1">
        <v>55.3</v>
      </c>
      <c r="I2165" s="1">
        <v>130.5</v>
      </c>
      <c r="J2165" s="1">
        <v>0.59723288899999993</v>
      </c>
      <c r="K2165" s="1">
        <v>0.48695497399999998</v>
      </c>
      <c r="L2165" s="1">
        <v>0.54991327199999995</v>
      </c>
      <c r="M2165" s="3">
        <v>0.67282609299999996</v>
      </c>
      <c r="N2165" s="1" t="s">
        <v>14</v>
      </c>
      <c r="O2165" s="1">
        <v>1.6052009460000001</v>
      </c>
      <c r="P2165" s="1">
        <v>26.6</v>
      </c>
      <c r="Q2165" s="1">
        <v>42.3</v>
      </c>
      <c r="R2165" s="1">
        <v>0.56989811299999993</v>
      </c>
      <c r="S2165" s="1">
        <v>9.0702821507854955E-2</v>
      </c>
      <c r="T2165" t="s">
        <v>2312</v>
      </c>
      <c r="U2165" s="1">
        <v>3679</v>
      </c>
      <c r="V2165">
        <f t="shared" si="132"/>
        <v>0.396192198647903</v>
      </c>
      <c r="W2165" s="1">
        <f t="shared" si="133"/>
        <v>28.699999999999996</v>
      </c>
      <c r="X2165">
        <f t="shared" si="134"/>
        <v>0.52550745900000018</v>
      </c>
      <c r="Y2165">
        <f t="shared" si="135"/>
        <v>88.2</v>
      </c>
      <c r="Z2165" s="1">
        <v>1</v>
      </c>
      <c r="AA2165">
        <v>99</v>
      </c>
      <c r="AB2165">
        <v>1.01E-2</v>
      </c>
      <c r="AC2165">
        <v>2</v>
      </c>
      <c r="AD2165">
        <v>97</v>
      </c>
      <c r="AE2165">
        <v>2.06E-2</v>
      </c>
      <c r="AF2165" t="s">
        <v>2592</v>
      </c>
      <c r="AG2165" t="s">
        <v>2590</v>
      </c>
    </row>
    <row r="2166" spans="1:33">
      <c r="A2166" s="2" t="s">
        <v>55</v>
      </c>
      <c r="B2166" s="2" t="s">
        <v>15</v>
      </c>
      <c r="C2166" s="1">
        <v>0.52971861799999997</v>
      </c>
      <c r="D2166">
        <v>0.62258244500000004</v>
      </c>
      <c r="E2166">
        <v>0.63939760400000001</v>
      </c>
      <c r="F2166" s="1" t="s">
        <v>56</v>
      </c>
      <c r="G2166" s="1">
        <v>1.0796934869999999</v>
      </c>
      <c r="H2166" s="1">
        <v>55.3</v>
      </c>
      <c r="I2166" s="1">
        <v>130.5</v>
      </c>
      <c r="J2166" s="1">
        <v>0.59723288899999993</v>
      </c>
      <c r="K2166" s="1">
        <v>0.54560998800000005</v>
      </c>
      <c r="L2166" s="1">
        <v>0.66721428400000005</v>
      </c>
      <c r="M2166" s="3">
        <v>0.72650398400000005</v>
      </c>
      <c r="N2166" s="1" t="s">
        <v>16</v>
      </c>
      <c r="O2166" s="1">
        <v>5.1392405060000002</v>
      </c>
      <c r="P2166" s="1">
        <v>35.9</v>
      </c>
      <c r="Q2166" s="1">
        <v>15.8</v>
      </c>
      <c r="R2166" s="1">
        <v>0.64644275200000012</v>
      </c>
      <c r="S2166" s="1">
        <v>9.9156735170654098E-2</v>
      </c>
      <c r="T2166" t="s">
        <v>2313</v>
      </c>
      <c r="U2166" s="1">
        <v>374</v>
      </c>
      <c r="V2166">
        <f t="shared" si="132"/>
        <v>0.28587462246672002</v>
      </c>
      <c r="W2166" s="1">
        <f t="shared" si="133"/>
        <v>19.399999999999999</v>
      </c>
      <c r="X2166">
        <f t="shared" si="134"/>
        <v>4.059547019</v>
      </c>
      <c r="Y2166">
        <f t="shared" si="135"/>
        <v>114.7</v>
      </c>
      <c r="Z2166" s="1">
        <v>0</v>
      </c>
      <c r="AA2166">
        <v>100</v>
      </c>
      <c r="AB2166">
        <v>0</v>
      </c>
      <c r="AC2166">
        <v>0</v>
      </c>
      <c r="AD2166">
        <v>95</v>
      </c>
      <c r="AE2166">
        <v>0</v>
      </c>
      <c r="AF2166" t="s">
        <v>2592</v>
      </c>
      <c r="AG2166" t="s">
        <v>2591</v>
      </c>
    </row>
    <row r="2167" spans="1:33">
      <c r="A2167" s="2" t="s">
        <v>55</v>
      </c>
      <c r="B2167" s="2" t="s">
        <v>17</v>
      </c>
      <c r="C2167" s="1">
        <v>0.52971861799999997</v>
      </c>
      <c r="D2167">
        <v>0.62258244500000004</v>
      </c>
      <c r="E2167">
        <v>0.63939760400000001</v>
      </c>
      <c r="F2167" s="1" t="s">
        <v>56</v>
      </c>
      <c r="G2167" s="1">
        <v>1.0796934869999999</v>
      </c>
      <c r="H2167" s="1">
        <v>55.3</v>
      </c>
      <c r="I2167" s="1">
        <v>130.5</v>
      </c>
      <c r="J2167" s="1">
        <v>0.59723288899999993</v>
      </c>
      <c r="K2167" s="1">
        <v>0.659112378</v>
      </c>
      <c r="L2167" s="1">
        <v>0.68333493499999998</v>
      </c>
      <c r="M2167" s="3">
        <v>0.70345495199999997</v>
      </c>
      <c r="N2167" s="1" t="s">
        <v>18</v>
      </c>
      <c r="O2167" s="1">
        <v>1.9463955639999999</v>
      </c>
      <c r="P2167" s="1">
        <v>46.3</v>
      </c>
      <c r="Q2167" s="1">
        <v>54.1</v>
      </c>
      <c r="R2167" s="1">
        <v>0.68196742166666668</v>
      </c>
      <c r="S2167" s="1">
        <v>0.15664275917172424</v>
      </c>
      <c r="T2167" t="s">
        <v>2314</v>
      </c>
      <c r="U2167" s="1">
        <v>10241</v>
      </c>
      <c r="V2167">
        <f t="shared" si="132"/>
        <v>0.44559359623772976</v>
      </c>
      <c r="W2167" s="1">
        <f t="shared" si="133"/>
        <v>9</v>
      </c>
      <c r="X2167">
        <f t="shared" si="134"/>
        <v>0.86670207700000002</v>
      </c>
      <c r="Y2167">
        <f t="shared" si="135"/>
        <v>76.400000000000006</v>
      </c>
      <c r="Z2167" s="1">
        <v>0</v>
      </c>
      <c r="AA2167">
        <v>100</v>
      </c>
      <c r="AB2167">
        <v>0</v>
      </c>
      <c r="AC2167">
        <v>0</v>
      </c>
      <c r="AD2167">
        <v>109</v>
      </c>
      <c r="AE2167">
        <v>0</v>
      </c>
      <c r="AF2167" t="s">
        <v>2592</v>
      </c>
      <c r="AG2167" t="s">
        <v>2591</v>
      </c>
    </row>
    <row r="2168" spans="1:33">
      <c r="A2168" s="2" t="s">
        <v>55</v>
      </c>
      <c r="B2168" s="2" t="s">
        <v>19</v>
      </c>
      <c r="C2168" s="1">
        <v>0.52971861799999997</v>
      </c>
      <c r="D2168">
        <v>0.62258244500000004</v>
      </c>
      <c r="E2168">
        <v>0.63939760400000001</v>
      </c>
      <c r="F2168" s="1" t="s">
        <v>56</v>
      </c>
      <c r="G2168" s="1">
        <v>1.0796934869999999</v>
      </c>
      <c r="H2168" s="1">
        <v>55.3</v>
      </c>
      <c r="I2168" s="1">
        <v>130.5</v>
      </c>
      <c r="J2168" s="1">
        <v>0.59723288899999993</v>
      </c>
      <c r="K2168" s="1">
        <v>0.49391595300000002</v>
      </c>
      <c r="L2168" s="1">
        <v>0.603599314</v>
      </c>
      <c r="M2168" s="3">
        <v>0.63481471599999995</v>
      </c>
      <c r="N2168" s="1" t="s">
        <v>20</v>
      </c>
      <c r="O2168" s="1">
        <v>1.2140902870000001</v>
      </c>
      <c r="P2168" s="1">
        <v>64.900000000000006</v>
      </c>
      <c r="Q2168" s="1">
        <v>146.19999999999999</v>
      </c>
      <c r="R2168" s="1">
        <v>0.57744332766666662</v>
      </c>
      <c r="S2168" s="1">
        <v>4.078226264058836E-2</v>
      </c>
      <c r="T2168" t="s">
        <v>2315</v>
      </c>
      <c r="U2168" s="1">
        <v>8270</v>
      </c>
      <c r="V2168">
        <f t="shared" si="132"/>
        <v>0.43527838995028295</v>
      </c>
      <c r="W2168" s="1">
        <f t="shared" si="133"/>
        <v>9.6000000000000085</v>
      </c>
      <c r="X2168">
        <f t="shared" si="134"/>
        <v>0.1343968000000002</v>
      </c>
      <c r="Y2168">
        <f t="shared" si="135"/>
        <v>15.699999999999989</v>
      </c>
      <c r="Z2168" s="1">
        <v>30</v>
      </c>
      <c r="AA2168">
        <v>70</v>
      </c>
      <c r="AB2168">
        <v>0.42859999999999998</v>
      </c>
      <c r="AC2168">
        <v>29</v>
      </c>
      <c r="AD2168">
        <v>60</v>
      </c>
      <c r="AE2168">
        <v>0.48330000000000001</v>
      </c>
      <c r="AF2168" t="s">
        <v>2592</v>
      </c>
      <c r="AG2168" t="s">
        <v>2593</v>
      </c>
    </row>
    <row r="2169" spans="1:33">
      <c r="A2169" s="2" t="s">
        <v>55</v>
      </c>
      <c r="B2169" s="2" t="s">
        <v>21</v>
      </c>
      <c r="C2169" s="1">
        <v>0.52971861799999997</v>
      </c>
      <c r="D2169">
        <v>0.62258244500000004</v>
      </c>
      <c r="E2169">
        <v>0.63939760400000001</v>
      </c>
      <c r="F2169" s="1" t="s">
        <v>56</v>
      </c>
      <c r="G2169" s="1">
        <v>1.0796934869999999</v>
      </c>
      <c r="H2169" s="1">
        <v>55.3</v>
      </c>
      <c r="I2169" s="1">
        <v>130.5</v>
      </c>
      <c r="J2169" s="1">
        <v>0.59723288899999993</v>
      </c>
      <c r="K2169" s="1">
        <v>0.53276376800000003</v>
      </c>
      <c r="L2169" s="1">
        <v>0.65428149899999999</v>
      </c>
      <c r="M2169" s="3">
        <v>0.70160154799999996</v>
      </c>
      <c r="N2169" s="1" t="s">
        <v>22</v>
      </c>
      <c r="O2169" s="1">
        <v>1.2440604749999999</v>
      </c>
      <c r="P2169" s="1">
        <v>24.6</v>
      </c>
      <c r="Q2169" s="1">
        <v>46.3</v>
      </c>
      <c r="R2169" s="1">
        <v>0.62954893833333336</v>
      </c>
      <c r="S2169" s="1">
        <v>6.9881568472470221E-2</v>
      </c>
      <c r="T2169" t="s">
        <v>2316</v>
      </c>
      <c r="U2169" s="1">
        <v>970</v>
      </c>
      <c r="V2169">
        <f t="shared" si="132"/>
        <v>0.33186352602958274</v>
      </c>
      <c r="W2169" s="1">
        <f t="shared" si="133"/>
        <v>30.699999999999996</v>
      </c>
      <c r="X2169">
        <f t="shared" si="134"/>
        <v>0.16436698800000005</v>
      </c>
      <c r="Y2169">
        <f t="shared" si="135"/>
        <v>84.2</v>
      </c>
      <c r="Z2169" s="1">
        <v>2</v>
      </c>
      <c r="AA2169">
        <v>98</v>
      </c>
      <c r="AB2169">
        <v>2.0400000000000001E-2</v>
      </c>
      <c r="AC2169">
        <v>4</v>
      </c>
      <c r="AD2169">
        <v>91</v>
      </c>
      <c r="AE2169">
        <v>4.3999999999999997E-2</v>
      </c>
      <c r="AF2169" t="s">
        <v>2592</v>
      </c>
      <c r="AG2169" t="s">
        <v>2589</v>
      </c>
    </row>
    <row r="2170" spans="1:33">
      <c r="A2170" s="2" t="s">
        <v>55</v>
      </c>
      <c r="B2170" s="2" t="s">
        <v>23</v>
      </c>
      <c r="C2170" s="1">
        <v>0.52971861799999997</v>
      </c>
      <c r="D2170">
        <v>0.62258244500000004</v>
      </c>
      <c r="E2170">
        <v>0.63939760400000001</v>
      </c>
      <c r="F2170" s="1" t="s">
        <v>56</v>
      </c>
      <c r="G2170" s="1">
        <v>1.0796934869999999</v>
      </c>
      <c r="H2170" s="1">
        <v>55.3</v>
      </c>
      <c r="I2170" s="1">
        <v>130.5</v>
      </c>
      <c r="J2170" s="1">
        <v>0.59723288899999993</v>
      </c>
      <c r="K2170" s="1">
        <v>0.49415677200000002</v>
      </c>
      <c r="L2170" s="1">
        <v>0.62090818999999997</v>
      </c>
      <c r="M2170" s="3">
        <v>0.63381026900000004</v>
      </c>
      <c r="N2170" s="1" t="s">
        <v>24</v>
      </c>
      <c r="O2170" s="1">
        <v>1.141304348</v>
      </c>
      <c r="P2170" s="1">
        <v>44.4</v>
      </c>
      <c r="Q2170" s="1">
        <v>101.2</v>
      </c>
      <c r="R2170" s="1">
        <v>0.58295841033333329</v>
      </c>
      <c r="S2170" s="1">
        <v>3.6037013377012289E-2</v>
      </c>
      <c r="T2170" t="s">
        <v>2317</v>
      </c>
      <c r="U2170" s="1">
        <v>6743</v>
      </c>
      <c r="V2170">
        <f t="shared" si="132"/>
        <v>0.42542812885296</v>
      </c>
      <c r="W2170" s="1">
        <f t="shared" si="133"/>
        <v>10.899999999999999</v>
      </c>
      <c r="X2170">
        <f t="shared" si="134"/>
        <v>6.1610861000000128E-2</v>
      </c>
      <c r="Y2170">
        <f t="shared" si="135"/>
        <v>29.299999999999997</v>
      </c>
      <c r="Z2170" s="1">
        <v>5</v>
      </c>
      <c r="AA2170">
        <v>95</v>
      </c>
      <c r="AB2170">
        <v>5.2600000000000001E-2</v>
      </c>
      <c r="AC2170">
        <v>8</v>
      </c>
      <c r="AD2170">
        <v>83</v>
      </c>
      <c r="AE2170">
        <v>9.64E-2</v>
      </c>
      <c r="AF2170" t="s">
        <v>2592</v>
      </c>
      <c r="AG2170" t="s">
        <v>2590</v>
      </c>
    </row>
    <row r="2171" spans="1:33">
      <c r="A2171" s="2" t="s">
        <v>55</v>
      </c>
      <c r="B2171" s="2" t="s">
        <v>25</v>
      </c>
      <c r="C2171" s="1">
        <v>0.52971861799999997</v>
      </c>
      <c r="D2171">
        <v>0.62258244500000004</v>
      </c>
      <c r="E2171">
        <v>0.63939760400000001</v>
      </c>
      <c r="F2171" s="1" t="s">
        <v>56</v>
      </c>
      <c r="G2171" s="1">
        <v>1.0796934869999999</v>
      </c>
      <c r="H2171" s="1">
        <v>55.3</v>
      </c>
      <c r="I2171" s="1">
        <v>130.5</v>
      </c>
      <c r="J2171" s="1">
        <v>0.59723288899999993</v>
      </c>
      <c r="K2171" s="1">
        <v>0.53959274199999996</v>
      </c>
      <c r="L2171" s="1">
        <v>0.64971567399999997</v>
      </c>
      <c r="M2171" s="3">
        <v>0.65028459999999999</v>
      </c>
      <c r="N2171" s="1" t="s">
        <v>26</v>
      </c>
      <c r="O2171" s="1">
        <v>1.623046875</v>
      </c>
      <c r="P2171" s="1">
        <v>34.700000000000003</v>
      </c>
      <c r="Q2171" s="1">
        <v>51.2</v>
      </c>
      <c r="R2171" s="1">
        <v>0.61319767199999997</v>
      </c>
      <c r="S2171" s="1">
        <v>3.0858339596255471E-2</v>
      </c>
      <c r="T2171" t="s">
        <v>2318</v>
      </c>
      <c r="U2171" s="1">
        <v>638</v>
      </c>
      <c r="V2171">
        <f t="shared" si="132"/>
        <v>0.31164674208012916</v>
      </c>
      <c r="W2171" s="1">
        <f t="shared" si="133"/>
        <v>20.599999999999994</v>
      </c>
      <c r="X2171">
        <f t="shared" si="134"/>
        <v>0.5433533880000001</v>
      </c>
      <c r="Y2171">
        <f t="shared" si="135"/>
        <v>79.3</v>
      </c>
      <c r="Z2171" s="1">
        <v>0</v>
      </c>
      <c r="AA2171">
        <v>100</v>
      </c>
      <c r="AB2171">
        <v>0</v>
      </c>
      <c r="AC2171">
        <v>0</v>
      </c>
      <c r="AD2171">
        <v>93</v>
      </c>
      <c r="AE2171">
        <v>0</v>
      </c>
      <c r="AF2171" t="s">
        <v>2592</v>
      </c>
      <c r="AG2171" t="s">
        <v>2594</v>
      </c>
    </row>
    <row r="2172" spans="1:33">
      <c r="A2172" s="2" t="s">
        <v>55</v>
      </c>
      <c r="B2172" s="2" t="s">
        <v>27</v>
      </c>
      <c r="C2172" s="1">
        <v>0.52971861799999997</v>
      </c>
      <c r="D2172">
        <v>0.62258244500000004</v>
      </c>
      <c r="E2172">
        <v>0.63939760400000001</v>
      </c>
      <c r="F2172" s="1" t="s">
        <v>56</v>
      </c>
      <c r="G2172" s="1">
        <v>1.0796934869999999</v>
      </c>
      <c r="H2172" s="1">
        <v>55.3</v>
      </c>
      <c r="I2172" s="1">
        <v>130.5</v>
      </c>
      <c r="J2172" s="1">
        <v>0.59723288899999993</v>
      </c>
      <c r="K2172" s="1">
        <v>0.518608662</v>
      </c>
      <c r="L2172" s="1">
        <v>0.64320369700000002</v>
      </c>
      <c r="M2172" s="3">
        <v>0.62228994199999998</v>
      </c>
      <c r="N2172" s="1" t="s">
        <v>28</v>
      </c>
      <c r="O2172" s="1">
        <v>1.8717391299999999</v>
      </c>
      <c r="P2172" s="1">
        <v>33.700000000000003</v>
      </c>
      <c r="Q2172" s="1">
        <v>46</v>
      </c>
      <c r="R2172" s="1">
        <v>0.59470076699999996</v>
      </c>
      <c r="S2172" s="1">
        <v>2.900584864257006E-2</v>
      </c>
      <c r="T2172" t="s">
        <v>2319</v>
      </c>
      <c r="U2172" s="1">
        <v>4789</v>
      </c>
      <c r="V2172">
        <f t="shared" si="132"/>
        <v>0.40891609300473419</v>
      </c>
      <c r="W2172" s="1">
        <f t="shared" si="133"/>
        <v>21.599999999999994</v>
      </c>
      <c r="X2172">
        <f t="shared" si="134"/>
        <v>0.79204564300000002</v>
      </c>
      <c r="Y2172">
        <f t="shared" si="135"/>
        <v>84.5</v>
      </c>
      <c r="Z2172" s="1">
        <v>2</v>
      </c>
      <c r="AA2172">
        <v>98</v>
      </c>
      <c r="AB2172">
        <v>2.0400000000000001E-2</v>
      </c>
      <c r="AC2172">
        <v>4</v>
      </c>
      <c r="AD2172">
        <v>96</v>
      </c>
      <c r="AE2172">
        <v>4.1700000000000001E-2</v>
      </c>
      <c r="AF2172" t="s">
        <v>2592</v>
      </c>
      <c r="AG2172" t="s">
        <v>2590</v>
      </c>
    </row>
    <row r="2173" spans="1:33">
      <c r="A2173" s="2" t="s">
        <v>55</v>
      </c>
      <c r="B2173" s="2" t="s">
        <v>29</v>
      </c>
      <c r="C2173" s="1">
        <v>0.52971861799999997</v>
      </c>
      <c r="D2173">
        <v>0.62258244500000004</v>
      </c>
      <c r="E2173">
        <v>0.63939760400000001</v>
      </c>
      <c r="F2173" s="1" t="s">
        <v>56</v>
      </c>
      <c r="G2173" s="1">
        <v>1.0796934869999999</v>
      </c>
      <c r="H2173" s="1">
        <v>55.3</v>
      </c>
      <c r="I2173" s="1">
        <v>130.5</v>
      </c>
      <c r="J2173" s="1">
        <v>0.59723288899999993</v>
      </c>
      <c r="K2173" s="1">
        <v>0.59351545100000003</v>
      </c>
      <c r="L2173" s="1">
        <v>0.68136602400000001</v>
      </c>
      <c r="M2173" s="3">
        <v>0.73518087600000004</v>
      </c>
      <c r="N2173" s="1" t="s">
        <v>30</v>
      </c>
      <c r="O2173" s="1">
        <v>2.849112426</v>
      </c>
      <c r="P2173" s="1">
        <v>37.9</v>
      </c>
      <c r="Q2173" s="1">
        <v>33.799999999999997</v>
      </c>
      <c r="R2173" s="1">
        <v>0.67002078366666673</v>
      </c>
      <c r="S2173" s="1">
        <v>0.12922840344098166</v>
      </c>
      <c r="T2173" t="s">
        <v>2320</v>
      </c>
      <c r="U2173" s="1">
        <v>332</v>
      </c>
      <c r="V2173">
        <f t="shared" si="132"/>
        <v>0.28012645374489292</v>
      </c>
      <c r="W2173" s="1">
        <f t="shared" si="133"/>
        <v>17.399999999999999</v>
      </c>
      <c r="X2173">
        <f t="shared" si="134"/>
        <v>1.7694189390000001</v>
      </c>
      <c r="Y2173">
        <f t="shared" si="135"/>
        <v>96.7</v>
      </c>
      <c r="Z2173" s="1">
        <v>0</v>
      </c>
      <c r="AA2173">
        <v>100</v>
      </c>
      <c r="AB2173">
        <v>0</v>
      </c>
      <c r="AC2173">
        <v>0</v>
      </c>
      <c r="AD2173">
        <v>89</v>
      </c>
      <c r="AE2173">
        <v>0</v>
      </c>
      <c r="AF2173" t="s">
        <v>2592</v>
      </c>
      <c r="AG2173" t="s">
        <v>2593</v>
      </c>
    </row>
    <row r="2174" spans="1:33">
      <c r="A2174" s="2" t="s">
        <v>55</v>
      </c>
      <c r="B2174" s="2" t="s">
        <v>31</v>
      </c>
      <c r="C2174" s="1">
        <v>0.52971861799999997</v>
      </c>
      <c r="D2174">
        <v>0.62258244500000004</v>
      </c>
      <c r="E2174">
        <v>0.63939760400000001</v>
      </c>
      <c r="F2174" s="1" t="s">
        <v>56</v>
      </c>
      <c r="G2174" s="1">
        <v>1.0796934869999999</v>
      </c>
      <c r="H2174" s="1">
        <v>55.3</v>
      </c>
      <c r="I2174" s="1">
        <v>130.5</v>
      </c>
      <c r="J2174" s="1">
        <v>0.59723288899999993</v>
      </c>
      <c r="K2174" s="1">
        <v>0.47727961800000002</v>
      </c>
      <c r="L2174" s="1">
        <v>0.66941086400000005</v>
      </c>
      <c r="M2174" s="3">
        <v>0.69294815300000001</v>
      </c>
      <c r="N2174" s="1" t="s">
        <v>32</v>
      </c>
      <c r="O2174" s="1">
        <v>1.341891892</v>
      </c>
      <c r="P2174" s="1">
        <v>42.1</v>
      </c>
      <c r="Q2174" s="1">
        <v>74</v>
      </c>
      <c r="R2174" s="1">
        <v>0.61321287833333338</v>
      </c>
      <c r="S2174" s="1">
        <v>8.8376528814165134E-2</v>
      </c>
      <c r="T2174" t="s">
        <v>2321</v>
      </c>
      <c r="U2174" s="1">
        <v>2692</v>
      </c>
      <c r="V2174">
        <f t="shared" si="132"/>
        <v>0.38111945061688213</v>
      </c>
      <c r="W2174" s="1">
        <f t="shared" si="133"/>
        <v>13.199999999999996</v>
      </c>
      <c r="X2174">
        <f t="shared" si="134"/>
        <v>0.26219840500000013</v>
      </c>
      <c r="Y2174">
        <f t="shared" si="135"/>
        <v>56.5</v>
      </c>
      <c r="Z2174" s="1">
        <v>9</v>
      </c>
      <c r="AA2174">
        <v>91</v>
      </c>
      <c r="AB2174">
        <v>9.8900000000000002E-2</v>
      </c>
      <c r="AC2174">
        <v>10</v>
      </c>
      <c r="AD2174">
        <v>87</v>
      </c>
      <c r="AE2174">
        <v>0.1149</v>
      </c>
      <c r="AF2174" t="s">
        <v>2592</v>
      </c>
      <c r="AG2174" t="s">
        <v>2589</v>
      </c>
    </row>
    <row r="2175" spans="1:33">
      <c r="A2175" s="2" t="s">
        <v>55</v>
      </c>
      <c r="B2175" s="2" t="s">
        <v>33</v>
      </c>
      <c r="C2175" s="1">
        <v>0.52971861799999997</v>
      </c>
      <c r="D2175">
        <v>0.62258244500000004</v>
      </c>
      <c r="E2175">
        <v>0.63939760400000001</v>
      </c>
      <c r="F2175" s="1" t="s">
        <v>56</v>
      </c>
      <c r="G2175" s="1">
        <v>1.0796934869999999</v>
      </c>
      <c r="H2175" s="1">
        <v>55.3</v>
      </c>
      <c r="I2175" s="1">
        <v>130.5</v>
      </c>
      <c r="J2175" s="1">
        <v>0.59723288899999993</v>
      </c>
      <c r="K2175" s="1">
        <v>0.51347926600000005</v>
      </c>
      <c r="L2175" s="1">
        <v>0.63144379399999995</v>
      </c>
      <c r="M2175" s="3">
        <v>0.64189093500000005</v>
      </c>
      <c r="N2175" s="1" t="s">
        <v>34</v>
      </c>
      <c r="O2175" s="1">
        <v>2.3123667380000001</v>
      </c>
      <c r="P2175" s="1">
        <v>79.099999999999994</v>
      </c>
      <c r="Q2175" s="1">
        <v>93.8</v>
      </c>
      <c r="R2175" s="1">
        <v>0.59560466500000009</v>
      </c>
      <c r="S2175" s="1">
        <v>1.8666996516720689E-2</v>
      </c>
      <c r="T2175" t="s">
        <v>2322</v>
      </c>
      <c r="U2175" s="1">
        <v>42051</v>
      </c>
      <c r="V2175">
        <f t="shared" si="132"/>
        <v>0.51375292534007078</v>
      </c>
      <c r="W2175" s="1">
        <f t="shared" si="133"/>
        <v>23.799999999999997</v>
      </c>
      <c r="X2175">
        <f t="shared" si="134"/>
        <v>1.2326732510000002</v>
      </c>
      <c r="Y2175">
        <f t="shared" si="135"/>
        <v>36.700000000000003</v>
      </c>
      <c r="Z2175" s="1">
        <v>18</v>
      </c>
      <c r="AA2175">
        <v>82</v>
      </c>
      <c r="AB2175">
        <v>0.2195</v>
      </c>
      <c r="AC2175">
        <v>18</v>
      </c>
      <c r="AD2175">
        <v>73</v>
      </c>
      <c r="AE2175">
        <v>0.24660000000000001</v>
      </c>
      <c r="AF2175" t="s">
        <v>2592</v>
      </c>
      <c r="AG2175" t="s">
        <v>2590</v>
      </c>
    </row>
    <row r="2176" spans="1:33">
      <c r="A2176" s="2" t="s">
        <v>55</v>
      </c>
      <c r="B2176" s="2" t="s">
        <v>35</v>
      </c>
      <c r="C2176" s="1">
        <v>0.52971861799999997</v>
      </c>
      <c r="D2176">
        <v>0.62258244500000004</v>
      </c>
      <c r="E2176">
        <v>0.63939760400000001</v>
      </c>
      <c r="F2176" s="1" t="s">
        <v>56</v>
      </c>
      <c r="G2176" s="1">
        <v>1.0796934869999999</v>
      </c>
      <c r="H2176" s="1">
        <v>55.3</v>
      </c>
      <c r="I2176" s="1">
        <v>130.5</v>
      </c>
      <c r="J2176" s="1">
        <v>0.59723288899999993</v>
      </c>
      <c r="K2176" s="1">
        <v>0.52542897600000005</v>
      </c>
      <c r="L2176" s="1">
        <v>0.60774736299999998</v>
      </c>
      <c r="M2176" s="3">
        <v>0.62585751700000003</v>
      </c>
      <c r="N2176" s="1" t="s">
        <v>36</v>
      </c>
      <c r="O2176" s="1">
        <v>0.98848810399999998</v>
      </c>
      <c r="P2176" s="1">
        <v>54.2</v>
      </c>
      <c r="Q2176" s="1">
        <v>130.30000000000001</v>
      </c>
      <c r="R2176" s="1">
        <v>0.58634461866666665</v>
      </c>
      <c r="S2176" s="1">
        <v>2.0538126555322844E-2</v>
      </c>
      <c r="T2176" t="s">
        <v>2323</v>
      </c>
      <c r="U2176" s="1">
        <v>9749</v>
      </c>
      <c r="V2176">
        <f t="shared" si="132"/>
        <v>0.44321778559892644</v>
      </c>
      <c r="W2176" s="1">
        <f t="shared" si="133"/>
        <v>1.0999999999999943</v>
      </c>
      <c r="X2176">
        <f t="shared" si="134"/>
        <v>9.1205382999999918E-2</v>
      </c>
      <c r="Y2176">
        <f t="shared" si="135"/>
        <v>0.19999999999998863</v>
      </c>
      <c r="Z2176" s="1">
        <v>12</v>
      </c>
      <c r="AA2176">
        <v>88</v>
      </c>
      <c r="AB2176">
        <v>0.13639999999999999</v>
      </c>
      <c r="AC2176">
        <v>13</v>
      </c>
      <c r="AD2176">
        <v>77</v>
      </c>
      <c r="AE2176">
        <v>0.16880000000000001</v>
      </c>
      <c r="AF2176" t="s">
        <v>2592</v>
      </c>
      <c r="AG2176" t="s">
        <v>2589</v>
      </c>
    </row>
    <row r="2177" spans="1:33">
      <c r="A2177" s="2" t="s">
        <v>55</v>
      </c>
      <c r="B2177" s="2" t="s">
        <v>37</v>
      </c>
      <c r="C2177" s="1">
        <v>0.52971861799999997</v>
      </c>
      <c r="D2177">
        <v>0.62258244500000004</v>
      </c>
      <c r="E2177">
        <v>0.63939760400000001</v>
      </c>
      <c r="F2177" s="1" t="s">
        <v>56</v>
      </c>
      <c r="G2177" s="1">
        <v>1.0796934869999999</v>
      </c>
      <c r="H2177" s="1">
        <v>55.3</v>
      </c>
      <c r="I2177" s="1">
        <v>130.5</v>
      </c>
      <c r="J2177" s="1">
        <v>0.59723288899999993</v>
      </c>
      <c r="K2177" s="1">
        <v>0.50856695500000004</v>
      </c>
      <c r="L2177" s="1">
        <v>0.654733224</v>
      </c>
      <c r="M2177" s="3">
        <v>0.61418267199999999</v>
      </c>
      <c r="N2177" s="1" t="s">
        <v>38</v>
      </c>
      <c r="O2177" s="1">
        <v>0.64065708399999999</v>
      </c>
      <c r="P2177" s="1">
        <v>41.9</v>
      </c>
      <c r="Q2177" s="1">
        <v>146.1</v>
      </c>
      <c r="R2177" s="1">
        <v>0.59249428366666679</v>
      </c>
      <c r="S2177" s="1">
        <v>4.6009327681862833E-2</v>
      </c>
      <c r="T2177" t="s">
        <v>2324</v>
      </c>
      <c r="U2177" s="1">
        <v>5983</v>
      </c>
      <c r="V2177">
        <f t="shared" si="132"/>
        <v>0.41965766698244961</v>
      </c>
      <c r="W2177" s="1">
        <f t="shared" si="133"/>
        <v>13.399999999999999</v>
      </c>
      <c r="X2177">
        <f t="shared" si="134"/>
        <v>0.43903640299999991</v>
      </c>
      <c r="Y2177">
        <f t="shared" si="135"/>
        <v>15.599999999999994</v>
      </c>
      <c r="Z2177" s="1">
        <v>13</v>
      </c>
      <c r="AA2177">
        <v>87</v>
      </c>
      <c r="AB2177">
        <v>0.14940000000000001</v>
      </c>
      <c r="AC2177">
        <v>13</v>
      </c>
      <c r="AD2177">
        <v>76</v>
      </c>
      <c r="AE2177">
        <v>0.1711</v>
      </c>
      <c r="AF2177" t="s">
        <v>2592</v>
      </c>
      <c r="AG2177" t="s">
        <v>2590</v>
      </c>
    </row>
    <row r="2178" spans="1:33">
      <c r="A2178" s="2" t="s">
        <v>55</v>
      </c>
      <c r="B2178" s="2" t="s">
        <v>39</v>
      </c>
      <c r="C2178" s="1">
        <v>0.52971861799999997</v>
      </c>
      <c r="D2178">
        <v>0.62258244500000004</v>
      </c>
      <c r="E2178">
        <v>0.63939760400000001</v>
      </c>
      <c r="F2178" s="1" t="s">
        <v>56</v>
      </c>
      <c r="G2178" s="1">
        <v>1.0796934869999999</v>
      </c>
      <c r="H2178" s="1">
        <v>55.3</v>
      </c>
      <c r="I2178" s="1">
        <v>130.5</v>
      </c>
      <c r="J2178" s="1">
        <v>0.59723288899999993</v>
      </c>
      <c r="K2178" s="1">
        <v>0.60811616199999996</v>
      </c>
      <c r="L2178" s="1">
        <v>0.721105683</v>
      </c>
      <c r="M2178" s="3">
        <v>0.741016169</v>
      </c>
      <c r="N2178" s="1" t="s">
        <v>40</v>
      </c>
      <c r="O2178" s="1">
        <v>1.0601915180000001</v>
      </c>
      <c r="P2178" s="1">
        <v>34</v>
      </c>
      <c r="Q2178" s="1">
        <v>73.099999999999994</v>
      </c>
      <c r="R2178" s="1">
        <v>0.69007933799999999</v>
      </c>
      <c r="S2178" s="1">
        <v>0.16180029692153161</v>
      </c>
      <c r="T2178" t="s">
        <v>2325</v>
      </c>
      <c r="U2178" s="1">
        <v>1793</v>
      </c>
      <c r="V2178">
        <f t="shared" ref="V2178:V2241" si="136">LOG10(U2178) / 9</f>
        <v>0.36150892106246479</v>
      </c>
      <c r="W2178" s="1">
        <f t="shared" ref="W2178:W2241" si="137">ABS(H2178-P2178)</f>
        <v>21.299999999999997</v>
      </c>
      <c r="X2178">
        <f t="shared" ref="X2178:X2241" si="138">ABS(G2178-O2178)</f>
        <v>1.9501968999999786E-2</v>
      </c>
      <c r="Y2178">
        <f t="shared" ref="Y2178:Y2241" si="139">ABS(I2178-Q2178)</f>
        <v>57.400000000000006</v>
      </c>
      <c r="Z2178" s="1">
        <v>3</v>
      </c>
      <c r="AA2178">
        <v>97</v>
      </c>
      <c r="AB2178">
        <v>3.09E-2</v>
      </c>
      <c r="AC2178">
        <v>5</v>
      </c>
      <c r="AD2178">
        <v>87</v>
      </c>
      <c r="AE2178">
        <v>5.7500000000000002E-2</v>
      </c>
      <c r="AF2178" t="s">
        <v>2592</v>
      </c>
      <c r="AG2178" t="s">
        <v>2589</v>
      </c>
    </row>
    <row r="2179" spans="1:33">
      <c r="A2179" s="2" t="s">
        <v>55</v>
      </c>
      <c r="B2179" s="2" t="s">
        <v>41</v>
      </c>
      <c r="C2179" s="1">
        <v>0.52971861799999997</v>
      </c>
      <c r="D2179">
        <v>0.62258244500000004</v>
      </c>
      <c r="E2179">
        <v>0.63939760400000001</v>
      </c>
      <c r="F2179" s="1" t="s">
        <v>56</v>
      </c>
      <c r="G2179" s="1">
        <v>1.0796934869999999</v>
      </c>
      <c r="H2179" s="1">
        <v>55.3</v>
      </c>
      <c r="I2179" s="1">
        <v>130.5</v>
      </c>
      <c r="J2179" s="1">
        <v>0.59723288899999993</v>
      </c>
      <c r="K2179" s="1">
        <v>0.60402244999999999</v>
      </c>
      <c r="L2179" s="1">
        <v>0.669189213</v>
      </c>
      <c r="M2179" s="3">
        <v>0.69821693799999995</v>
      </c>
      <c r="N2179" s="1" t="s">
        <v>42</v>
      </c>
      <c r="O2179" s="1">
        <v>1.3243902439999999</v>
      </c>
      <c r="P2179" s="1">
        <v>23</v>
      </c>
      <c r="Q2179" s="1">
        <v>41</v>
      </c>
      <c r="R2179" s="1">
        <v>0.65714286700000002</v>
      </c>
      <c r="S2179" s="1">
        <v>0.10560759596493804</v>
      </c>
      <c r="T2179" t="s">
        <v>2326</v>
      </c>
      <c r="U2179" s="1">
        <v>773</v>
      </c>
      <c r="V2179">
        <f t="shared" si="136"/>
        <v>0.32090883265759168</v>
      </c>
      <c r="W2179" s="1">
        <f t="shared" si="137"/>
        <v>32.299999999999997</v>
      </c>
      <c r="X2179">
        <f t="shared" si="138"/>
        <v>0.24469675700000004</v>
      </c>
      <c r="Y2179">
        <f t="shared" si="139"/>
        <v>89.5</v>
      </c>
      <c r="Z2179" s="1">
        <v>0</v>
      </c>
      <c r="AA2179">
        <v>100</v>
      </c>
      <c r="AB2179">
        <v>0</v>
      </c>
      <c r="AC2179">
        <v>0</v>
      </c>
      <c r="AD2179">
        <v>106</v>
      </c>
      <c r="AE2179">
        <v>0</v>
      </c>
      <c r="AF2179" t="s">
        <v>2592</v>
      </c>
      <c r="AG2179" t="s">
        <v>2591</v>
      </c>
    </row>
    <row r="2180" spans="1:33">
      <c r="A2180" s="2" t="s">
        <v>55</v>
      </c>
      <c r="B2180" s="2" t="s">
        <v>43</v>
      </c>
      <c r="C2180" s="1">
        <v>0.52971861799999997</v>
      </c>
      <c r="D2180">
        <v>0.62258244500000004</v>
      </c>
      <c r="E2180">
        <v>0.63939760400000001</v>
      </c>
      <c r="F2180" s="1" t="s">
        <v>56</v>
      </c>
      <c r="G2180" s="1">
        <v>1.0796934869999999</v>
      </c>
      <c r="H2180" s="1">
        <v>55.3</v>
      </c>
      <c r="I2180" s="1">
        <v>130.5</v>
      </c>
      <c r="J2180" s="1">
        <v>0.59723288899999993</v>
      </c>
      <c r="K2180" s="1">
        <v>0.54180634699999997</v>
      </c>
      <c r="L2180" s="1">
        <v>0.59470779900000004</v>
      </c>
      <c r="M2180" s="3">
        <v>0.69518155599999998</v>
      </c>
      <c r="N2180" s="1" t="s">
        <v>44</v>
      </c>
      <c r="O2180" s="1">
        <v>1.7403685090000001</v>
      </c>
      <c r="P2180" s="1">
        <v>41.2</v>
      </c>
      <c r="Q2180" s="1">
        <v>59.7</v>
      </c>
      <c r="R2180" s="1">
        <v>0.61056523400000007</v>
      </c>
      <c r="S2180" s="1">
        <v>6.3521322268519073E-2</v>
      </c>
      <c r="T2180" t="s">
        <v>2327</v>
      </c>
      <c r="U2180" s="1">
        <v>4895</v>
      </c>
      <c r="V2180">
        <f t="shared" si="136"/>
        <v>0.40997252179323962</v>
      </c>
      <c r="W2180" s="1">
        <f t="shared" si="137"/>
        <v>14.099999999999994</v>
      </c>
      <c r="X2180">
        <f t="shared" si="138"/>
        <v>0.66067502200000017</v>
      </c>
      <c r="Y2180">
        <f t="shared" si="139"/>
        <v>70.8</v>
      </c>
      <c r="Z2180" s="1">
        <v>10</v>
      </c>
      <c r="AA2180">
        <v>90</v>
      </c>
      <c r="AB2180">
        <v>0.1111</v>
      </c>
      <c r="AC2180">
        <v>10</v>
      </c>
      <c r="AD2180">
        <v>118</v>
      </c>
      <c r="AE2180">
        <v>8.4699999999999998E-2</v>
      </c>
      <c r="AF2180" t="s">
        <v>2592</v>
      </c>
      <c r="AG2180" t="s">
        <v>2589</v>
      </c>
    </row>
    <row r="2181" spans="1:33">
      <c r="A2181" s="2" t="s">
        <v>55</v>
      </c>
      <c r="B2181" s="2" t="s">
        <v>45</v>
      </c>
      <c r="C2181" s="1">
        <v>0.52971861799999997</v>
      </c>
      <c r="D2181">
        <v>0.62258244500000004</v>
      </c>
      <c r="E2181">
        <v>0.63939760400000001</v>
      </c>
      <c r="F2181" s="1" t="s">
        <v>56</v>
      </c>
      <c r="G2181" s="1">
        <v>1.0796934869999999</v>
      </c>
      <c r="H2181" s="1">
        <v>55.3</v>
      </c>
      <c r="I2181" s="1">
        <v>130.5</v>
      </c>
      <c r="J2181" s="1">
        <v>0.59723288899999993</v>
      </c>
      <c r="K2181" s="1">
        <v>0.50907007599999998</v>
      </c>
      <c r="L2181" s="1">
        <v>0.68428041399999995</v>
      </c>
      <c r="M2181" s="3">
        <v>0.67454742099999998</v>
      </c>
      <c r="N2181" s="1" t="s">
        <v>46</v>
      </c>
      <c r="O2181" s="1">
        <v>0.98140043799999999</v>
      </c>
      <c r="P2181" s="1">
        <v>38.9</v>
      </c>
      <c r="Q2181" s="1">
        <v>91.4</v>
      </c>
      <c r="R2181" s="1">
        <v>0.62263263699999993</v>
      </c>
      <c r="S2181" s="1">
        <v>7.3949383368519042E-2</v>
      </c>
      <c r="T2181" t="s">
        <v>2328</v>
      </c>
      <c r="U2181" s="1">
        <v>1546</v>
      </c>
      <c r="V2181">
        <f t="shared" si="136"/>
        <v>0.35435660995358959</v>
      </c>
      <c r="W2181" s="1">
        <f t="shared" si="137"/>
        <v>16.399999999999999</v>
      </c>
      <c r="X2181">
        <f t="shared" si="138"/>
        <v>9.829304899999991E-2</v>
      </c>
      <c r="Y2181">
        <f t="shared" si="139"/>
        <v>39.099999999999994</v>
      </c>
      <c r="Z2181" s="1">
        <v>11</v>
      </c>
      <c r="AA2181">
        <v>89</v>
      </c>
      <c r="AB2181">
        <v>0.1236</v>
      </c>
      <c r="AC2181">
        <v>13</v>
      </c>
      <c r="AD2181">
        <v>95</v>
      </c>
      <c r="AE2181">
        <v>0.1368</v>
      </c>
      <c r="AF2181" t="s">
        <v>2592</v>
      </c>
      <c r="AG2181" t="s">
        <v>2589</v>
      </c>
    </row>
    <row r="2182" spans="1:33">
      <c r="A2182" s="2" t="s">
        <v>55</v>
      </c>
      <c r="B2182" s="2" t="s">
        <v>47</v>
      </c>
      <c r="C2182" s="1">
        <v>0.52971861799999997</v>
      </c>
      <c r="D2182">
        <v>0.62258244500000004</v>
      </c>
      <c r="E2182">
        <v>0.63939760400000001</v>
      </c>
      <c r="F2182" s="1" t="s">
        <v>56</v>
      </c>
      <c r="G2182" s="1">
        <v>1.0796934869999999</v>
      </c>
      <c r="H2182" s="1">
        <v>55.3</v>
      </c>
      <c r="I2182" s="1">
        <v>130.5</v>
      </c>
      <c r="J2182" s="1">
        <v>0.59723288899999993</v>
      </c>
      <c r="K2182" s="1">
        <v>0.50612154099999995</v>
      </c>
      <c r="L2182" s="1">
        <v>0.55940039100000005</v>
      </c>
      <c r="M2182" s="3">
        <v>0.66789001699999995</v>
      </c>
      <c r="N2182" s="1" t="s">
        <v>48</v>
      </c>
      <c r="O2182" s="1">
        <v>1.242622951</v>
      </c>
      <c r="P2182" s="1">
        <v>17.8</v>
      </c>
      <c r="Q2182" s="1">
        <v>30.5</v>
      </c>
      <c r="R2182" s="1">
        <v>0.57780398300000002</v>
      </c>
      <c r="S2182" s="1">
        <v>7.3216197587456081E-2</v>
      </c>
      <c r="T2182" t="s">
        <v>2329</v>
      </c>
      <c r="U2182" s="1">
        <v>1552</v>
      </c>
      <c r="V2182">
        <f t="shared" si="136"/>
        <v>0.35454352410246331</v>
      </c>
      <c r="W2182" s="1">
        <f t="shared" si="137"/>
        <v>37.5</v>
      </c>
      <c r="X2182">
        <f t="shared" si="138"/>
        <v>0.16292946400000008</v>
      </c>
      <c r="Y2182">
        <f t="shared" si="139"/>
        <v>100</v>
      </c>
      <c r="Z2182" s="1">
        <v>1</v>
      </c>
      <c r="AA2182">
        <v>99</v>
      </c>
      <c r="AB2182">
        <v>1.01E-2</v>
      </c>
      <c r="AC2182">
        <v>2</v>
      </c>
      <c r="AD2182">
        <v>113</v>
      </c>
      <c r="AE2182">
        <v>1.77E-2</v>
      </c>
      <c r="AF2182" t="s">
        <v>2592</v>
      </c>
      <c r="AG2182" t="s">
        <v>2590</v>
      </c>
    </row>
    <row r="2183" spans="1:33">
      <c r="A2183" s="2" t="s">
        <v>55</v>
      </c>
      <c r="B2183" s="2" t="s">
        <v>49</v>
      </c>
      <c r="C2183" s="1">
        <v>0.52971861799999997</v>
      </c>
      <c r="D2183">
        <v>0.62258244500000004</v>
      </c>
      <c r="E2183">
        <v>0.63939760400000001</v>
      </c>
      <c r="F2183" s="1" t="s">
        <v>56</v>
      </c>
      <c r="G2183" s="1">
        <v>1.0796934869999999</v>
      </c>
      <c r="H2183" s="1">
        <v>55.3</v>
      </c>
      <c r="I2183" s="1">
        <v>130.5</v>
      </c>
      <c r="J2183" s="1">
        <v>0.59723288899999993</v>
      </c>
      <c r="K2183" s="1">
        <v>0.50647110500000003</v>
      </c>
      <c r="L2183" s="1">
        <v>0.55713136799999996</v>
      </c>
      <c r="M2183" s="3">
        <v>0.63402682300000002</v>
      </c>
      <c r="N2183" s="1" t="s">
        <v>50</v>
      </c>
      <c r="O2183" s="1">
        <v>1.876675603</v>
      </c>
      <c r="P2183" s="1">
        <v>28.8</v>
      </c>
      <c r="Q2183" s="1">
        <v>37.299999999999997</v>
      </c>
      <c r="R2183" s="1">
        <v>0.56587643200000004</v>
      </c>
      <c r="S2183" s="1">
        <v>6.9664450257610352E-2</v>
      </c>
      <c r="T2183" t="s">
        <v>2330</v>
      </c>
      <c r="U2183" s="1">
        <v>30553</v>
      </c>
      <c r="V2183">
        <f t="shared" si="136"/>
        <v>0.49833931778452062</v>
      </c>
      <c r="W2183" s="1">
        <f t="shared" si="137"/>
        <v>26.499999999999996</v>
      </c>
      <c r="X2183">
        <f t="shared" si="138"/>
        <v>0.79698211600000013</v>
      </c>
      <c r="Y2183">
        <f t="shared" si="139"/>
        <v>93.2</v>
      </c>
      <c r="Z2183" s="1">
        <v>6</v>
      </c>
      <c r="AA2183">
        <v>94</v>
      </c>
      <c r="AB2183">
        <v>6.3799999999999996E-2</v>
      </c>
      <c r="AC2183">
        <v>8</v>
      </c>
      <c r="AD2183">
        <v>81</v>
      </c>
      <c r="AE2183">
        <v>9.8799999999999999E-2</v>
      </c>
      <c r="AF2183" t="s">
        <v>2592</v>
      </c>
      <c r="AG2183" t="s">
        <v>2590</v>
      </c>
    </row>
    <row r="2184" spans="1:33">
      <c r="A2184" s="2" t="s">
        <v>55</v>
      </c>
      <c r="B2184" s="2" t="s">
        <v>51</v>
      </c>
      <c r="C2184" s="1">
        <v>0.52971861799999997</v>
      </c>
      <c r="D2184">
        <v>0.62258244500000004</v>
      </c>
      <c r="E2184">
        <v>0.63939760400000001</v>
      </c>
      <c r="F2184" s="1" t="s">
        <v>56</v>
      </c>
      <c r="G2184" s="1">
        <v>1.0796934869999999</v>
      </c>
      <c r="H2184" s="1">
        <v>55.3</v>
      </c>
      <c r="I2184" s="1">
        <v>130.5</v>
      </c>
      <c r="J2184" s="1">
        <v>0.59723288899999993</v>
      </c>
      <c r="K2184" s="1">
        <v>0.60067161999999996</v>
      </c>
      <c r="L2184" s="1">
        <v>0.68094129999999997</v>
      </c>
      <c r="M2184" s="3">
        <v>0.73595931299999995</v>
      </c>
      <c r="N2184" s="1" t="s">
        <v>52</v>
      </c>
      <c r="O2184" s="1">
        <v>1.858638743</v>
      </c>
      <c r="P2184" s="1">
        <v>29.4</v>
      </c>
      <c r="Q2184" s="1">
        <v>38.200000000000003</v>
      </c>
      <c r="R2184" s="1">
        <v>0.67252407766666666</v>
      </c>
      <c r="S2184" s="1">
        <v>0.13328258736505563</v>
      </c>
      <c r="T2184" t="s">
        <v>2331</v>
      </c>
      <c r="U2184" s="1">
        <v>902</v>
      </c>
      <c r="V2184">
        <f t="shared" si="136"/>
        <v>0.3283562819491046</v>
      </c>
      <c r="W2184" s="1">
        <f t="shared" si="137"/>
        <v>25.9</v>
      </c>
      <c r="X2184">
        <f t="shared" si="138"/>
        <v>0.77894525600000009</v>
      </c>
      <c r="Y2184">
        <f t="shared" si="139"/>
        <v>92.3</v>
      </c>
      <c r="Z2184" s="1">
        <v>3</v>
      </c>
      <c r="AA2184">
        <v>97</v>
      </c>
      <c r="AB2184">
        <v>3.09E-2</v>
      </c>
      <c r="AC2184">
        <v>4</v>
      </c>
      <c r="AD2184">
        <v>94</v>
      </c>
      <c r="AE2184">
        <v>4.2599999999999999E-2</v>
      </c>
      <c r="AF2184" t="s">
        <v>2592</v>
      </c>
      <c r="AG2184" t="s">
        <v>2591</v>
      </c>
    </row>
    <row r="2185" spans="1:33">
      <c r="A2185" s="2" t="s">
        <v>55</v>
      </c>
      <c r="B2185" s="2" t="s">
        <v>53</v>
      </c>
      <c r="C2185" s="1">
        <v>0.52971861799999997</v>
      </c>
      <c r="D2185">
        <v>0.62258244500000004</v>
      </c>
      <c r="E2185">
        <v>0.63939760400000001</v>
      </c>
      <c r="F2185" s="1" t="s">
        <v>56</v>
      </c>
      <c r="G2185" s="1">
        <v>1.0796934869999999</v>
      </c>
      <c r="H2185" s="1">
        <v>55.3</v>
      </c>
      <c r="I2185" s="1">
        <v>130.5</v>
      </c>
      <c r="J2185" s="1">
        <v>0.59723288899999993</v>
      </c>
      <c r="K2185" s="1">
        <v>0.54695832700000002</v>
      </c>
      <c r="L2185" s="1">
        <v>0.659790137</v>
      </c>
      <c r="M2185" s="3">
        <v>0.70662085500000005</v>
      </c>
      <c r="N2185" s="1" t="s">
        <v>54</v>
      </c>
      <c r="O2185" s="1">
        <v>2.5053995680000001</v>
      </c>
      <c r="P2185" s="1">
        <v>43.9</v>
      </c>
      <c r="Q2185" s="1">
        <v>46.3</v>
      </c>
      <c r="R2185" s="1">
        <v>0.63778977300000006</v>
      </c>
      <c r="S2185" s="1">
        <v>7.8743795853264201E-2</v>
      </c>
      <c r="T2185" t="s">
        <v>2332</v>
      </c>
      <c r="U2185" s="1">
        <v>1522</v>
      </c>
      <c r="V2185">
        <f t="shared" si="136"/>
        <v>0.35360162804828377</v>
      </c>
      <c r="W2185" s="1">
        <f t="shared" si="137"/>
        <v>11.399999999999999</v>
      </c>
      <c r="X2185">
        <f t="shared" si="138"/>
        <v>1.4257060810000002</v>
      </c>
      <c r="Y2185">
        <f t="shared" si="139"/>
        <v>84.2</v>
      </c>
      <c r="Z2185" s="1">
        <v>1</v>
      </c>
      <c r="AA2185">
        <v>99</v>
      </c>
      <c r="AB2185">
        <v>1.01E-2</v>
      </c>
      <c r="AC2185">
        <v>2</v>
      </c>
      <c r="AD2185">
        <v>96</v>
      </c>
      <c r="AE2185">
        <v>2.0799999999999999E-2</v>
      </c>
      <c r="AF2185" t="s">
        <v>2592</v>
      </c>
      <c r="AG2185" t="s">
        <v>2593</v>
      </c>
    </row>
    <row r="2186" spans="1:33">
      <c r="A2186" s="2" t="s">
        <v>53</v>
      </c>
      <c r="B2186" s="2" t="s">
        <v>10</v>
      </c>
      <c r="C2186" s="1">
        <v>0.54695832700000002</v>
      </c>
      <c r="D2186">
        <v>0.659790137</v>
      </c>
      <c r="E2186">
        <v>0.70662085500000005</v>
      </c>
      <c r="F2186" s="1" t="s">
        <v>54</v>
      </c>
      <c r="G2186" s="1">
        <v>2.5053995680000001</v>
      </c>
      <c r="H2186" s="1">
        <v>43.9</v>
      </c>
      <c r="I2186" s="1">
        <v>46.3</v>
      </c>
      <c r="J2186" s="1">
        <v>0.63778977300000006</v>
      </c>
      <c r="K2186" s="1">
        <v>0.52456325500000001</v>
      </c>
      <c r="L2186" s="1">
        <v>0.61925627999999999</v>
      </c>
      <c r="M2186" s="3">
        <v>0.72111139899999999</v>
      </c>
      <c r="N2186" s="1" t="s">
        <v>12</v>
      </c>
      <c r="O2186" s="1">
        <v>0.61690647499999995</v>
      </c>
      <c r="P2186" s="1">
        <v>30</v>
      </c>
      <c r="Q2186" s="1">
        <v>111.2</v>
      </c>
      <c r="R2186" s="1">
        <v>0.62164364466666666</v>
      </c>
      <c r="S2186" s="1">
        <v>4.852327975928223E-2</v>
      </c>
      <c r="T2186" t="s">
        <v>2333</v>
      </c>
      <c r="U2186" s="1">
        <v>579</v>
      </c>
      <c r="V2186">
        <f t="shared" si="136"/>
        <v>0.306964284858604</v>
      </c>
      <c r="W2186" s="1">
        <f t="shared" si="137"/>
        <v>13.899999999999999</v>
      </c>
      <c r="X2186">
        <f t="shared" si="138"/>
        <v>1.8884930930000001</v>
      </c>
      <c r="Y2186">
        <f t="shared" si="139"/>
        <v>64.900000000000006</v>
      </c>
      <c r="Z2186" s="1">
        <v>1</v>
      </c>
      <c r="AA2186">
        <v>99</v>
      </c>
      <c r="AB2186">
        <v>1.01E-2</v>
      </c>
      <c r="AC2186">
        <v>2</v>
      </c>
      <c r="AD2186">
        <v>158</v>
      </c>
      <c r="AE2186">
        <v>1.2699999999999999E-2</v>
      </c>
      <c r="AF2186" t="s">
        <v>2593</v>
      </c>
      <c r="AG2186" t="s">
        <v>2588</v>
      </c>
    </row>
    <row r="2187" spans="1:33">
      <c r="A2187" s="2" t="s">
        <v>53</v>
      </c>
      <c r="B2187" s="2" t="s">
        <v>13</v>
      </c>
      <c r="C2187" s="1">
        <v>0.54695832700000002</v>
      </c>
      <c r="D2187">
        <v>0.659790137</v>
      </c>
      <c r="E2187">
        <v>0.70662085500000005</v>
      </c>
      <c r="F2187" s="1" t="s">
        <v>54</v>
      </c>
      <c r="G2187" s="1">
        <v>2.5053995680000001</v>
      </c>
      <c r="H2187" s="1">
        <v>43.9</v>
      </c>
      <c r="I2187" s="1">
        <v>46.3</v>
      </c>
      <c r="J2187" s="1">
        <v>0.63778977300000006</v>
      </c>
      <c r="K2187" s="1">
        <v>0.48695497399999998</v>
      </c>
      <c r="L2187" s="1">
        <v>0.54991327199999995</v>
      </c>
      <c r="M2187" s="3">
        <v>0.67282609299999996</v>
      </c>
      <c r="N2187" s="1" t="s">
        <v>14</v>
      </c>
      <c r="O2187" s="1">
        <v>1.6052009460000001</v>
      </c>
      <c r="P2187" s="1">
        <v>26.6</v>
      </c>
      <c r="Q2187" s="1">
        <v>42.3</v>
      </c>
      <c r="R2187" s="1">
        <v>0.56989811299999993</v>
      </c>
      <c r="S2187" s="1">
        <v>0.12967426025278686</v>
      </c>
      <c r="T2187" t="s">
        <v>2334</v>
      </c>
      <c r="U2187" s="1">
        <v>148</v>
      </c>
      <c r="V2187">
        <f t="shared" si="136"/>
        <v>0.24114019059943972</v>
      </c>
      <c r="W2187" s="1">
        <f t="shared" si="137"/>
        <v>17.299999999999997</v>
      </c>
      <c r="X2187">
        <f t="shared" si="138"/>
        <v>0.900198622</v>
      </c>
      <c r="Y2187">
        <f t="shared" si="139"/>
        <v>4</v>
      </c>
      <c r="Z2187" s="1">
        <v>0</v>
      </c>
      <c r="AA2187">
        <v>100</v>
      </c>
      <c r="AB2187">
        <v>0</v>
      </c>
      <c r="AC2187">
        <v>1</v>
      </c>
      <c r="AD2187">
        <v>106</v>
      </c>
      <c r="AE2187">
        <v>9.4000000000000004E-3</v>
      </c>
      <c r="AF2187" t="s">
        <v>2593</v>
      </c>
      <c r="AG2187" t="s">
        <v>2590</v>
      </c>
    </row>
    <row r="2188" spans="1:33">
      <c r="A2188" s="2" t="s">
        <v>53</v>
      </c>
      <c r="B2188" s="2" t="s">
        <v>15</v>
      </c>
      <c r="C2188" s="1">
        <v>0.54695832700000002</v>
      </c>
      <c r="D2188">
        <v>0.659790137</v>
      </c>
      <c r="E2188">
        <v>0.70662085500000005</v>
      </c>
      <c r="F2188" s="1" t="s">
        <v>54</v>
      </c>
      <c r="G2188" s="1">
        <v>2.5053995680000001</v>
      </c>
      <c r="H2188" s="1">
        <v>43.9</v>
      </c>
      <c r="I2188" s="1">
        <v>46.3</v>
      </c>
      <c r="J2188" s="1">
        <v>0.63778977300000006</v>
      </c>
      <c r="K2188" s="1">
        <v>0.54560998800000005</v>
      </c>
      <c r="L2188" s="1">
        <v>0.66721428400000005</v>
      </c>
      <c r="M2188" s="3">
        <v>0.72650398400000005</v>
      </c>
      <c r="N2188" s="1" t="s">
        <v>16</v>
      </c>
      <c r="O2188" s="1">
        <v>5.1392405060000002</v>
      </c>
      <c r="P2188" s="1">
        <v>35.9</v>
      </c>
      <c r="Q2188" s="1">
        <v>15.8</v>
      </c>
      <c r="R2188" s="1">
        <v>0.64644275200000012</v>
      </c>
      <c r="S2188" s="1">
        <v>2.1266753291632731E-2</v>
      </c>
      <c r="T2188" t="s">
        <v>2335</v>
      </c>
      <c r="U2188" s="1">
        <v>82688</v>
      </c>
      <c r="V2188">
        <f t="shared" si="136"/>
        <v>0.54638249862699473</v>
      </c>
      <c r="W2188" s="1">
        <f t="shared" si="137"/>
        <v>8</v>
      </c>
      <c r="X2188">
        <f t="shared" si="138"/>
        <v>2.6338409380000001</v>
      </c>
      <c r="Y2188">
        <f t="shared" si="139"/>
        <v>30.499999999999996</v>
      </c>
      <c r="Z2188" s="1">
        <v>32</v>
      </c>
      <c r="AA2188">
        <v>68</v>
      </c>
      <c r="AB2188">
        <v>0.47060000000000002</v>
      </c>
      <c r="AC2188">
        <v>35</v>
      </c>
      <c r="AD2188">
        <v>68</v>
      </c>
      <c r="AE2188">
        <v>0.51470000000000005</v>
      </c>
      <c r="AF2188" t="s">
        <v>2593</v>
      </c>
      <c r="AG2188" t="s">
        <v>2591</v>
      </c>
    </row>
    <row r="2189" spans="1:33">
      <c r="A2189" s="2" t="s">
        <v>53</v>
      </c>
      <c r="B2189" s="2" t="s">
        <v>17</v>
      </c>
      <c r="C2189" s="1">
        <v>0.54695832700000002</v>
      </c>
      <c r="D2189">
        <v>0.659790137</v>
      </c>
      <c r="E2189">
        <v>0.70662085500000005</v>
      </c>
      <c r="F2189" s="1" t="s">
        <v>54</v>
      </c>
      <c r="G2189" s="1">
        <v>2.5053995680000001</v>
      </c>
      <c r="H2189" s="1">
        <v>43.9</v>
      </c>
      <c r="I2189" s="1">
        <v>46.3</v>
      </c>
      <c r="J2189" s="1">
        <v>0.63778977300000006</v>
      </c>
      <c r="K2189" s="1">
        <v>0.659112378</v>
      </c>
      <c r="L2189" s="1">
        <v>0.68333493499999998</v>
      </c>
      <c r="M2189" s="3">
        <v>0.70345495199999997</v>
      </c>
      <c r="N2189" s="1" t="s">
        <v>18</v>
      </c>
      <c r="O2189" s="1">
        <v>1.9463955639999999</v>
      </c>
      <c r="P2189" s="1">
        <v>46.3</v>
      </c>
      <c r="Q2189" s="1">
        <v>54.1</v>
      </c>
      <c r="R2189" s="1">
        <v>0.68196742166666668</v>
      </c>
      <c r="S2189" s="1">
        <v>0.11464253839817404</v>
      </c>
      <c r="T2189" t="s">
        <v>2336</v>
      </c>
      <c r="U2189" s="1">
        <v>11569</v>
      </c>
      <c r="V2189">
        <f t="shared" si="136"/>
        <v>0.45147731345261338</v>
      </c>
      <c r="W2189" s="1">
        <f t="shared" si="137"/>
        <v>2.3999999999999986</v>
      </c>
      <c r="X2189">
        <f t="shared" si="138"/>
        <v>0.55900400400000017</v>
      </c>
      <c r="Y2189">
        <f t="shared" si="139"/>
        <v>7.8000000000000043</v>
      </c>
      <c r="Z2189" s="1">
        <v>17</v>
      </c>
      <c r="AA2189">
        <v>83</v>
      </c>
      <c r="AB2189">
        <v>0.20480000000000001</v>
      </c>
      <c r="AC2189">
        <v>19</v>
      </c>
      <c r="AD2189">
        <v>98</v>
      </c>
      <c r="AE2189">
        <v>0.19389999999999999</v>
      </c>
      <c r="AF2189" t="s">
        <v>2593</v>
      </c>
      <c r="AG2189" t="s">
        <v>2591</v>
      </c>
    </row>
    <row r="2190" spans="1:33">
      <c r="A2190" s="2" t="s">
        <v>53</v>
      </c>
      <c r="B2190" s="2" t="s">
        <v>19</v>
      </c>
      <c r="C2190" s="1">
        <v>0.54695832700000002</v>
      </c>
      <c r="D2190">
        <v>0.659790137</v>
      </c>
      <c r="E2190">
        <v>0.70662085500000005</v>
      </c>
      <c r="F2190" s="1" t="s">
        <v>54</v>
      </c>
      <c r="G2190" s="1">
        <v>2.5053995680000001</v>
      </c>
      <c r="H2190" s="1">
        <v>43.9</v>
      </c>
      <c r="I2190" s="1">
        <v>46.3</v>
      </c>
      <c r="J2190" s="1">
        <v>0.63778977300000006</v>
      </c>
      <c r="K2190" s="1">
        <v>0.49391595300000002</v>
      </c>
      <c r="L2190" s="1">
        <v>0.603599314</v>
      </c>
      <c r="M2190" s="3">
        <v>0.63481471599999995</v>
      </c>
      <c r="N2190" s="1" t="s">
        <v>20</v>
      </c>
      <c r="O2190" s="1">
        <v>1.2140902870000001</v>
      </c>
      <c r="P2190" s="1">
        <v>64.900000000000006</v>
      </c>
      <c r="Q2190" s="1">
        <v>146.19999999999999</v>
      </c>
      <c r="R2190" s="1">
        <v>0.57744332766666662</v>
      </c>
      <c r="S2190" s="1">
        <v>0.10548470802472054</v>
      </c>
      <c r="T2190" t="s">
        <v>2337</v>
      </c>
      <c r="U2190" s="1">
        <v>10800</v>
      </c>
      <c r="V2190">
        <f t="shared" si="136"/>
        <v>0.44815819505410548</v>
      </c>
      <c r="W2190" s="1">
        <f t="shared" si="137"/>
        <v>21.000000000000007</v>
      </c>
      <c r="X2190">
        <f t="shared" si="138"/>
        <v>1.291309281</v>
      </c>
      <c r="Y2190">
        <f t="shared" si="139"/>
        <v>99.899999999999991</v>
      </c>
      <c r="Z2190" s="1">
        <v>2</v>
      </c>
      <c r="AA2190">
        <v>98</v>
      </c>
      <c r="AB2190">
        <v>2.0400000000000001E-2</v>
      </c>
      <c r="AC2190">
        <v>3</v>
      </c>
      <c r="AD2190">
        <v>94</v>
      </c>
      <c r="AE2190">
        <v>3.1899999999999998E-2</v>
      </c>
      <c r="AF2190" t="s">
        <v>2593</v>
      </c>
      <c r="AG2190" t="s">
        <v>2593</v>
      </c>
    </row>
    <row r="2191" spans="1:33">
      <c r="A2191" s="2" t="s">
        <v>53</v>
      </c>
      <c r="B2191" s="2" t="s">
        <v>21</v>
      </c>
      <c r="C2191" s="1">
        <v>0.54695832700000002</v>
      </c>
      <c r="D2191">
        <v>0.659790137</v>
      </c>
      <c r="E2191">
        <v>0.70662085500000005</v>
      </c>
      <c r="F2191" s="1" t="s">
        <v>54</v>
      </c>
      <c r="G2191" s="1">
        <v>2.5053995680000001</v>
      </c>
      <c r="H2191" s="1">
        <v>43.9</v>
      </c>
      <c r="I2191" s="1">
        <v>46.3</v>
      </c>
      <c r="J2191" s="1">
        <v>0.63778977300000006</v>
      </c>
      <c r="K2191" s="1">
        <v>0.53276376800000003</v>
      </c>
      <c r="L2191" s="1">
        <v>0.65428149899999999</v>
      </c>
      <c r="M2191" s="3">
        <v>0.70160154799999996</v>
      </c>
      <c r="N2191" s="1" t="s">
        <v>22</v>
      </c>
      <c r="O2191" s="1">
        <v>1.2440604749999999</v>
      </c>
      <c r="P2191" s="1">
        <v>24.6</v>
      </c>
      <c r="Q2191" s="1">
        <v>46.3</v>
      </c>
      <c r="R2191" s="1">
        <v>0.62954893833333336</v>
      </c>
      <c r="S2191" s="1">
        <v>1.6031969329429709E-2</v>
      </c>
      <c r="T2191" t="s">
        <v>2338</v>
      </c>
      <c r="U2191" s="1">
        <v>659</v>
      </c>
      <c r="V2191">
        <f t="shared" si="136"/>
        <v>0.3132094905104455</v>
      </c>
      <c r="W2191" s="1">
        <f t="shared" si="137"/>
        <v>19.299999999999997</v>
      </c>
      <c r="X2191">
        <f t="shared" si="138"/>
        <v>1.2613390930000001</v>
      </c>
      <c r="Y2191">
        <f t="shared" si="139"/>
        <v>0</v>
      </c>
      <c r="Z2191" s="1">
        <v>1</v>
      </c>
      <c r="AA2191">
        <v>99</v>
      </c>
      <c r="AB2191">
        <v>1.01E-2</v>
      </c>
      <c r="AC2191">
        <v>2</v>
      </c>
      <c r="AD2191">
        <v>101</v>
      </c>
      <c r="AE2191">
        <v>1.9800000000000002E-2</v>
      </c>
      <c r="AF2191" t="s">
        <v>2593</v>
      </c>
      <c r="AG2191" t="s">
        <v>2589</v>
      </c>
    </row>
    <row r="2192" spans="1:33">
      <c r="A2192" s="2" t="s">
        <v>53</v>
      </c>
      <c r="B2192" s="2" t="s">
        <v>23</v>
      </c>
      <c r="C2192" s="1">
        <v>0.54695832700000002</v>
      </c>
      <c r="D2192">
        <v>0.659790137</v>
      </c>
      <c r="E2192">
        <v>0.70662085500000005</v>
      </c>
      <c r="F2192" s="1" t="s">
        <v>54</v>
      </c>
      <c r="G2192" s="1">
        <v>2.5053995680000001</v>
      </c>
      <c r="H2192" s="1">
        <v>43.9</v>
      </c>
      <c r="I2192" s="1">
        <v>46.3</v>
      </c>
      <c r="J2192" s="1">
        <v>0.63778977300000006</v>
      </c>
      <c r="K2192" s="1">
        <v>0.49415677200000002</v>
      </c>
      <c r="L2192" s="1">
        <v>0.62090818999999997</v>
      </c>
      <c r="M2192" s="3">
        <v>0.63381026900000004</v>
      </c>
      <c r="N2192" s="1" t="s">
        <v>24</v>
      </c>
      <c r="O2192" s="1">
        <v>1.141304348</v>
      </c>
      <c r="P2192" s="1">
        <v>44.4</v>
      </c>
      <c r="Q2192" s="1">
        <v>101.2</v>
      </c>
      <c r="R2192" s="1">
        <v>0.58295841033333329</v>
      </c>
      <c r="S2192" s="1">
        <v>9.7985669598121508E-2</v>
      </c>
      <c r="T2192" t="s">
        <v>2339</v>
      </c>
      <c r="U2192" s="1">
        <v>644</v>
      </c>
      <c r="V2192">
        <f t="shared" si="136"/>
        <v>0.31209842970664581</v>
      </c>
      <c r="W2192" s="1">
        <f t="shared" si="137"/>
        <v>0.5</v>
      </c>
      <c r="X2192">
        <f t="shared" si="138"/>
        <v>1.3640952200000001</v>
      </c>
      <c r="Y2192">
        <f t="shared" si="139"/>
        <v>54.900000000000006</v>
      </c>
      <c r="Z2192" s="1">
        <v>1</v>
      </c>
      <c r="AA2192">
        <v>99</v>
      </c>
      <c r="AB2192">
        <v>1.01E-2</v>
      </c>
      <c r="AC2192">
        <v>2</v>
      </c>
      <c r="AD2192">
        <v>97</v>
      </c>
      <c r="AE2192">
        <v>2.06E-2</v>
      </c>
      <c r="AF2192" t="s">
        <v>2593</v>
      </c>
      <c r="AG2192" t="s">
        <v>2590</v>
      </c>
    </row>
    <row r="2193" spans="1:33">
      <c r="A2193" s="2" t="s">
        <v>53</v>
      </c>
      <c r="B2193" s="2" t="s">
        <v>25</v>
      </c>
      <c r="C2193" s="1">
        <v>0.54695832700000002</v>
      </c>
      <c r="D2193">
        <v>0.659790137</v>
      </c>
      <c r="E2193">
        <v>0.70662085500000005</v>
      </c>
      <c r="F2193" s="1" t="s">
        <v>54</v>
      </c>
      <c r="G2193" s="1">
        <v>2.5053995680000001</v>
      </c>
      <c r="H2193" s="1">
        <v>43.9</v>
      </c>
      <c r="I2193" s="1">
        <v>46.3</v>
      </c>
      <c r="J2193" s="1">
        <v>0.63778977300000006</v>
      </c>
      <c r="K2193" s="1">
        <v>0.53959274199999996</v>
      </c>
      <c r="L2193" s="1">
        <v>0.64971567399999997</v>
      </c>
      <c r="M2193" s="3">
        <v>0.65028459999999999</v>
      </c>
      <c r="N2193" s="1" t="s">
        <v>26</v>
      </c>
      <c r="O2193" s="1">
        <v>1.623046875</v>
      </c>
      <c r="P2193" s="1">
        <v>34.700000000000003</v>
      </c>
      <c r="Q2193" s="1">
        <v>51.2</v>
      </c>
      <c r="R2193" s="1">
        <v>0.61319767199999997</v>
      </c>
      <c r="S2193" s="1">
        <v>5.7701995412252662E-2</v>
      </c>
      <c r="T2193" t="s">
        <v>2340</v>
      </c>
      <c r="U2193" s="1">
        <v>386</v>
      </c>
      <c r="V2193">
        <f t="shared" si="136"/>
        <v>0.2873985894079728</v>
      </c>
      <c r="W2193" s="1">
        <f t="shared" si="137"/>
        <v>9.1999999999999957</v>
      </c>
      <c r="X2193">
        <f t="shared" si="138"/>
        <v>0.88235269300000008</v>
      </c>
      <c r="Y2193">
        <f t="shared" si="139"/>
        <v>4.9000000000000057</v>
      </c>
      <c r="Z2193" s="1">
        <v>0</v>
      </c>
      <c r="AA2193">
        <v>100</v>
      </c>
      <c r="AB2193">
        <v>0</v>
      </c>
      <c r="AC2193">
        <v>0</v>
      </c>
      <c r="AD2193">
        <v>101</v>
      </c>
      <c r="AE2193">
        <v>0</v>
      </c>
      <c r="AF2193" t="s">
        <v>2593</v>
      </c>
      <c r="AG2193" t="s">
        <v>2594</v>
      </c>
    </row>
    <row r="2194" spans="1:33">
      <c r="A2194" s="2" t="s">
        <v>53</v>
      </c>
      <c r="B2194" s="2" t="s">
        <v>27</v>
      </c>
      <c r="C2194" s="1">
        <v>0.54695832700000002</v>
      </c>
      <c r="D2194">
        <v>0.659790137</v>
      </c>
      <c r="E2194">
        <v>0.70662085500000005</v>
      </c>
      <c r="F2194" s="1" t="s">
        <v>54</v>
      </c>
      <c r="G2194" s="1">
        <v>2.5053995680000001</v>
      </c>
      <c r="H2194" s="1">
        <v>43.9</v>
      </c>
      <c r="I2194" s="1">
        <v>46.3</v>
      </c>
      <c r="J2194" s="1">
        <v>0.63778977300000006</v>
      </c>
      <c r="K2194" s="1">
        <v>0.518608662</v>
      </c>
      <c r="L2194" s="1">
        <v>0.64320369700000002</v>
      </c>
      <c r="M2194" s="3">
        <v>0.62228994199999998</v>
      </c>
      <c r="N2194" s="1" t="s">
        <v>28</v>
      </c>
      <c r="O2194" s="1">
        <v>1.8717391299999999</v>
      </c>
      <c r="P2194" s="1">
        <v>33.700000000000003</v>
      </c>
      <c r="Q2194" s="1">
        <v>46</v>
      </c>
      <c r="R2194" s="1">
        <v>0.59470076699999996</v>
      </c>
      <c r="S2194" s="1">
        <v>9.0501471727808966E-2</v>
      </c>
      <c r="T2194" t="s">
        <v>2341</v>
      </c>
      <c r="U2194" s="1">
        <v>195</v>
      </c>
      <c r="V2194">
        <f t="shared" si="136"/>
        <v>0.25444829015139087</v>
      </c>
      <c r="W2194" s="1">
        <f t="shared" si="137"/>
        <v>10.199999999999996</v>
      </c>
      <c r="X2194">
        <f t="shared" si="138"/>
        <v>0.63366043800000016</v>
      </c>
      <c r="Y2194">
        <f t="shared" si="139"/>
        <v>0.29999999999999716</v>
      </c>
      <c r="Z2194" s="1">
        <v>1</v>
      </c>
      <c r="AA2194">
        <v>99</v>
      </c>
      <c r="AB2194">
        <v>1.01E-2</v>
      </c>
      <c r="AC2194">
        <v>2</v>
      </c>
      <c r="AD2194">
        <v>106</v>
      </c>
      <c r="AE2194">
        <v>1.89E-2</v>
      </c>
      <c r="AF2194" t="s">
        <v>2593</v>
      </c>
      <c r="AG2194" t="s">
        <v>2590</v>
      </c>
    </row>
    <row r="2195" spans="1:33">
      <c r="A2195" s="2" t="s">
        <v>53</v>
      </c>
      <c r="B2195" s="2" t="s">
        <v>29</v>
      </c>
      <c r="C2195" s="1">
        <v>0.54695832700000002</v>
      </c>
      <c r="D2195">
        <v>0.659790137</v>
      </c>
      <c r="E2195">
        <v>0.70662085500000005</v>
      </c>
      <c r="F2195" s="1" t="s">
        <v>54</v>
      </c>
      <c r="G2195" s="1">
        <v>2.5053995680000001</v>
      </c>
      <c r="H2195" s="1">
        <v>43.9</v>
      </c>
      <c r="I2195" s="1">
        <v>46.3</v>
      </c>
      <c r="J2195" s="1">
        <v>0.63778977300000006</v>
      </c>
      <c r="K2195" s="1">
        <v>0.59351545100000003</v>
      </c>
      <c r="L2195" s="1">
        <v>0.68136602400000001</v>
      </c>
      <c r="M2195" s="3">
        <v>0.73518087600000004</v>
      </c>
      <c r="N2195" s="1" t="s">
        <v>30</v>
      </c>
      <c r="O2195" s="1">
        <v>2.849112426</v>
      </c>
      <c r="P2195" s="1">
        <v>37.9</v>
      </c>
      <c r="Q2195" s="1">
        <v>33.799999999999997</v>
      </c>
      <c r="R2195" s="1">
        <v>0.67002078366666673</v>
      </c>
      <c r="S2195" s="1">
        <v>5.8726139788926927E-2</v>
      </c>
      <c r="T2195" t="s">
        <v>2342</v>
      </c>
      <c r="U2195" s="1">
        <v>35675</v>
      </c>
      <c r="V2195">
        <f t="shared" si="136"/>
        <v>0.50581822019852052</v>
      </c>
      <c r="W2195" s="1">
        <f t="shared" si="137"/>
        <v>6</v>
      </c>
      <c r="X2195">
        <f t="shared" si="138"/>
        <v>0.34371285799999995</v>
      </c>
      <c r="Y2195">
        <f t="shared" si="139"/>
        <v>12.5</v>
      </c>
      <c r="Z2195" s="1">
        <v>23</v>
      </c>
      <c r="AA2195">
        <v>77</v>
      </c>
      <c r="AB2195">
        <v>0.29870000000000002</v>
      </c>
      <c r="AC2195">
        <v>24</v>
      </c>
      <c r="AD2195">
        <v>73</v>
      </c>
      <c r="AE2195">
        <v>0.32879999999999998</v>
      </c>
      <c r="AF2195" t="s">
        <v>2593</v>
      </c>
      <c r="AG2195" t="s">
        <v>2593</v>
      </c>
    </row>
    <row r="2196" spans="1:33">
      <c r="A2196" s="2" t="s">
        <v>53</v>
      </c>
      <c r="B2196" s="2" t="s">
        <v>31</v>
      </c>
      <c r="C2196" s="1">
        <v>0.54695832700000002</v>
      </c>
      <c r="D2196">
        <v>0.659790137</v>
      </c>
      <c r="E2196">
        <v>0.70662085500000005</v>
      </c>
      <c r="F2196" s="1" t="s">
        <v>54</v>
      </c>
      <c r="G2196" s="1">
        <v>2.5053995680000001</v>
      </c>
      <c r="H2196" s="1">
        <v>43.9</v>
      </c>
      <c r="I2196" s="1">
        <v>46.3</v>
      </c>
      <c r="J2196" s="1">
        <v>0.63778977300000006</v>
      </c>
      <c r="K2196" s="1">
        <v>0.47727961800000002</v>
      </c>
      <c r="L2196" s="1">
        <v>0.66941086400000005</v>
      </c>
      <c r="M2196" s="3">
        <v>0.69294815300000001</v>
      </c>
      <c r="N2196" s="1" t="s">
        <v>32</v>
      </c>
      <c r="O2196" s="1">
        <v>1.341891892</v>
      </c>
      <c r="P2196" s="1">
        <v>42.1</v>
      </c>
      <c r="Q2196" s="1">
        <v>74</v>
      </c>
      <c r="R2196" s="1">
        <v>0.61321287833333338</v>
      </c>
      <c r="S2196" s="1">
        <v>7.1656288320677178E-2</v>
      </c>
      <c r="T2196" t="s">
        <v>2343</v>
      </c>
      <c r="U2196" s="1">
        <v>612</v>
      </c>
      <c r="V2196">
        <f t="shared" si="136"/>
        <v>0.30963904690506239</v>
      </c>
      <c r="W2196" s="1">
        <f t="shared" si="137"/>
        <v>1.7999999999999972</v>
      </c>
      <c r="X2196">
        <f t="shared" si="138"/>
        <v>1.163507676</v>
      </c>
      <c r="Y2196">
        <f t="shared" si="139"/>
        <v>27.700000000000003</v>
      </c>
      <c r="Z2196" s="1">
        <v>1</v>
      </c>
      <c r="AA2196">
        <v>99</v>
      </c>
      <c r="AB2196">
        <v>1.01E-2</v>
      </c>
      <c r="AC2196">
        <v>2</v>
      </c>
      <c r="AD2196">
        <v>103</v>
      </c>
      <c r="AE2196">
        <v>1.9400000000000001E-2</v>
      </c>
      <c r="AF2196" t="s">
        <v>2593</v>
      </c>
      <c r="AG2196" t="s">
        <v>2589</v>
      </c>
    </row>
    <row r="2197" spans="1:33">
      <c r="A2197" s="2" t="s">
        <v>53</v>
      </c>
      <c r="B2197" s="2" t="s">
        <v>33</v>
      </c>
      <c r="C2197" s="1">
        <v>0.54695832700000002</v>
      </c>
      <c r="D2197">
        <v>0.659790137</v>
      </c>
      <c r="E2197">
        <v>0.70662085500000005</v>
      </c>
      <c r="F2197" s="1" t="s">
        <v>54</v>
      </c>
      <c r="G2197" s="1">
        <v>2.5053995680000001</v>
      </c>
      <c r="H2197" s="1">
        <v>43.9</v>
      </c>
      <c r="I2197" s="1">
        <v>46.3</v>
      </c>
      <c r="J2197" s="1">
        <v>0.63778977300000006</v>
      </c>
      <c r="K2197" s="1">
        <v>0.51347926600000005</v>
      </c>
      <c r="L2197" s="1">
        <v>0.63144379399999995</v>
      </c>
      <c r="M2197" s="3">
        <v>0.64189093500000005</v>
      </c>
      <c r="N2197" s="1" t="s">
        <v>34</v>
      </c>
      <c r="O2197" s="1">
        <v>2.3123667380000001</v>
      </c>
      <c r="P2197" s="1">
        <v>79.099999999999994</v>
      </c>
      <c r="Q2197" s="1">
        <v>93.8</v>
      </c>
      <c r="R2197" s="1">
        <v>0.59560466500000009</v>
      </c>
      <c r="S2197" s="1">
        <v>7.8194150868986179E-2</v>
      </c>
      <c r="T2197" t="s">
        <v>2344</v>
      </c>
      <c r="U2197" s="1">
        <v>1083</v>
      </c>
      <c r="V2197">
        <f t="shared" si="136"/>
        <v>0.33718093962503559</v>
      </c>
      <c r="W2197" s="1">
        <f t="shared" si="137"/>
        <v>35.199999999999996</v>
      </c>
      <c r="X2197">
        <f t="shared" si="138"/>
        <v>0.19303282999999993</v>
      </c>
      <c r="Y2197">
        <f t="shared" si="139"/>
        <v>47.5</v>
      </c>
      <c r="Z2197" s="1">
        <v>1</v>
      </c>
      <c r="AA2197">
        <v>99</v>
      </c>
      <c r="AB2197">
        <v>1.01E-2</v>
      </c>
      <c r="AC2197">
        <v>2</v>
      </c>
      <c r="AD2197">
        <v>97</v>
      </c>
      <c r="AE2197">
        <v>2.06E-2</v>
      </c>
      <c r="AF2197" t="s">
        <v>2593</v>
      </c>
      <c r="AG2197" t="s">
        <v>2590</v>
      </c>
    </row>
    <row r="2198" spans="1:33">
      <c r="A2198" s="2" t="s">
        <v>53</v>
      </c>
      <c r="B2198" s="2" t="s">
        <v>35</v>
      </c>
      <c r="C2198" s="1">
        <v>0.54695832700000002</v>
      </c>
      <c r="D2198">
        <v>0.659790137</v>
      </c>
      <c r="E2198">
        <v>0.70662085500000005</v>
      </c>
      <c r="F2198" s="1" t="s">
        <v>54</v>
      </c>
      <c r="G2198" s="1">
        <v>2.5053995680000001</v>
      </c>
      <c r="H2198" s="1">
        <v>43.9</v>
      </c>
      <c r="I2198" s="1">
        <v>46.3</v>
      </c>
      <c r="J2198" s="1">
        <v>0.63778977300000006</v>
      </c>
      <c r="K2198" s="1">
        <v>0.52542897600000005</v>
      </c>
      <c r="L2198" s="1">
        <v>0.60774736299999998</v>
      </c>
      <c r="M2198" s="3">
        <v>0.62585751700000003</v>
      </c>
      <c r="N2198" s="1" t="s">
        <v>36</v>
      </c>
      <c r="O2198" s="1">
        <v>0.98848810399999998</v>
      </c>
      <c r="P2198" s="1">
        <v>54.2</v>
      </c>
      <c r="Q2198" s="1">
        <v>130.30000000000001</v>
      </c>
      <c r="R2198" s="1">
        <v>0.58634461866666665</v>
      </c>
      <c r="S2198" s="1">
        <v>9.8461566334273415E-2</v>
      </c>
      <c r="T2198" t="s">
        <v>2345</v>
      </c>
      <c r="U2198" s="1">
        <v>1469</v>
      </c>
      <c r="V2198">
        <f t="shared" si="136"/>
        <v>0.35189131064336182</v>
      </c>
      <c r="W2198" s="1">
        <f t="shared" si="137"/>
        <v>10.300000000000004</v>
      </c>
      <c r="X2198">
        <f t="shared" si="138"/>
        <v>1.5169114640000001</v>
      </c>
      <c r="Y2198">
        <f t="shared" si="139"/>
        <v>84.000000000000014</v>
      </c>
      <c r="Z2198" s="1">
        <v>1</v>
      </c>
      <c r="AA2198">
        <v>99</v>
      </c>
      <c r="AB2198">
        <v>1.01E-2</v>
      </c>
      <c r="AC2198">
        <v>2</v>
      </c>
      <c r="AD2198">
        <v>96</v>
      </c>
      <c r="AE2198">
        <v>2.0799999999999999E-2</v>
      </c>
      <c r="AF2198" t="s">
        <v>2593</v>
      </c>
      <c r="AG2198" t="s">
        <v>2589</v>
      </c>
    </row>
    <row r="2199" spans="1:33">
      <c r="A2199" s="2" t="s">
        <v>53</v>
      </c>
      <c r="B2199" s="2" t="s">
        <v>37</v>
      </c>
      <c r="C2199" s="1">
        <v>0.54695832700000002</v>
      </c>
      <c r="D2199">
        <v>0.659790137</v>
      </c>
      <c r="E2199">
        <v>0.70662085500000005</v>
      </c>
      <c r="F2199" s="1" t="s">
        <v>54</v>
      </c>
      <c r="G2199" s="1">
        <v>2.5053995680000001</v>
      </c>
      <c r="H2199" s="1">
        <v>43.9</v>
      </c>
      <c r="I2199" s="1">
        <v>46.3</v>
      </c>
      <c r="J2199" s="1">
        <v>0.63778977300000006</v>
      </c>
      <c r="K2199" s="1">
        <v>0.50856695500000004</v>
      </c>
      <c r="L2199" s="1">
        <v>0.654733224</v>
      </c>
      <c r="M2199" s="3">
        <v>0.61418267199999999</v>
      </c>
      <c r="N2199" s="1" t="s">
        <v>38</v>
      </c>
      <c r="O2199" s="1">
        <v>0.64065708399999999</v>
      </c>
      <c r="P2199" s="1">
        <v>41.9</v>
      </c>
      <c r="Q2199" s="1">
        <v>146.1</v>
      </c>
      <c r="R2199" s="1">
        <v>0.59249428366666679</v>
      </c>
      <c r="S2199" s="1">
        <v>0.10022119281605787</v>
      </c>
      <c r="T2199" t="s">
        <v>2346</v>
      </c>
      <c r="U2199" s="1">
        <v>1057</v>
      </c>
      <c r="V2199">
        <f t="shared" si="136"/>
        <v>0.33600833192304735</v>
      </c>
      <c r="W2199" s="1">
        <f t="shared" si="137"/>
        <v>2</v>
      </c>
      <c r="X2199">
        <f t="shared" si="138"/>
        <v>1.8647424840000002</v>
      </c>
      <c r="Y2199">
        <f t="shared" si="139"/>
        <v>99.8</v>
      </c>
      <c r="Z2199" s="1">
        <v>1</v>
      </c>
      <c r="AA2199">
        <v>99</v>
      </c>
      <c r="AB2199">
        <v>1.01E-2</v>
      </c>
      <c r="AC2199">
        <v>2</v>
      </c>
      <c r="AD2199">
        <v>95</v>
      </c>
      <c r="AE2199">
        <v>2.1100000000000001E-2</v>
      </c>
      <c r="AF2199" t="s">
        <v>2593</v>
      </c>
      <c r="AG2199" t="s">
        <v>2590</v>
      </c>
    </row>
    <row r="2200" spans="1:33">
      <c r="A2200" s="2" t="s">
        <v>53</v>
      </c>
      <c r="B2200" s="2" t="s">
        <v>39</v>
      </c>
      <c r="C2200" s="1">
        <v>0.54695832700000002</v>
      </c>
      <c r="D2200">
        <v>0.659790137</v>
      </c>
      <c r="E2200">
        <v>0.70662085500000005</v>
      </c>
      <c r="F2200" s="1" t="s">
        <v>54</v>
      </c>
      <c r="G2200" s="1">
        <v>2.5053995680000001</v>
      </c>
      <c r="H2200" s="1">
        <v>43.9</v>
      </c>
      <c r="I2200" s="1">
        <v>46.3</v>
      </c>
      <c r="J2200" s="1">
        <v>0.63778977300000006</v>
      </c>
      <c r="K2200" s="1">
        <v>0.60811616199999996</v>
      </c>
      <c r="L2200" s="1">
        <v>0.721105683</v>
      </c>
      <c r="M2200" s="3">
        <v>0.741016169</v>
      </c>
      <c r="N2200" s="1" t="s">
        <v>40</v>
      </c>
      <c r="O2200" s="1">
        <v>1.0601915180000001</v>
      </c>
      <c r="P2200" s="1">
        <v>34</v>
      </c>
      <c r="Q2200" s="1">
        <v>73.099999999999994</v>
      </c>
      <c r="R2200" s="1">
        <v>0.69007933799999999</v>
      </c>
      <c r="S2200" s="1">
        <v>9.3182158100807724E-2</v>
      </c>
      <c r="T2200" t="s">
        <v>2347</v>
      </c>
      <c r="U2200" s="1">
        <v>731</v>
      </c>
      <c r="V2200">
        <f t="shared" si="136"/>
        <v>0.31821304188420668</v>
      </c>
      <c r="W2200" s="1">
        <f t="shared" si="137"/>
        <v>9.8999999999999986</v>
      </c>
      <c r="X2200">
        <f t="shared" si="138"/>
        <v>1.44520805</v>
      </c>
      <c r="Y2200">
        <f t="shared" si="139"/>
        <v>26.799999999999997</v>
      </c>
      <c r="Z2200" s="1">
        <v>1</v>
      </c>
      <c r="AA2200">
        <v>99</v>
      </c>
      <c r="AB2200">
        <v>1.01E-2</v>
      </c>
      <c r="AC2200">
        <v>2</v>
      </c>
      <c r="AD2200">
        <v>98</v>
      </c>
      <c r="AE2200">
        <v>2.0400000000000001E-2</v>
      </c>
      <c r="AF2200" t="s">
        <v>2593</v>
      </c>
      <c r="AG2200" t="s">
        <v>2589</v>
      </c>
    </row>
    <row r="2201" spans="1:33">
      <c r="A2201" s="2" t="s">
        <v>53</v>
      </c>
      <c r="B2201" s="2" t="s">
        <v>41</v>
      </c>
      <c r="C2201" s="1">
        <v>0.54695832700000002</v>
      </c>
      <c r="D2201">
        <v>0.659790137</v>
      </c>
      <c r="E2201">
        <v>0.70662085500000005</v>
      </c>
      <c r="F2201" s="1" t="s">
        <v>54</v>
      </c>
      <c r="G2201" s="1">
        <v>2.5053995680000001</v>
      </c>
      <c r="H2201" s="1">
        <v>43.9</v>
      </c>
      <c r="I2201" s="1">
        <v>46.3</v>
      </c>
      <c r="J2201" s="1">
        <v>0.63778977300000006</v>
      </c>
      <c r="K2201" s="1">
        <v>0.60402244999999999</v>
      </c>
      <c r="L2201" s="1">
        <v>0.669189213</v>
      </c>
      <c r="M2201" s="3">
        <v>0.69821693799999995</v>
      </c>
      <c r="N2201" s="1" t="s">
        <v>42</v>
      </c>
      <c r="O2201" s="1">
        <v>1.3243902439999999</v>
      </c>
      <c r="P2201" s="1">
        <v>23</v>
      </c>
      <c r="Q2201" s="1">
        <v>41</v>
      </c>
      <c r="R2201" s="1">
        <v>0.65714286700000002</v>
      </c>
      <c r="S2201" s="1">
        <v>5.8440419098050554E-2</v>
      </c>
      <c r="T2201" t="s">
        <v>2348</v>
      </c>
      <c r="U2201" s="1">
        <v>13976</v>
      </c>
      <c r="V2201">
        <f t="shared" si="136"/>
        <v>0.46059809910831934</v>
      </c>
      <c r="W2201" s="1">
        <f t="shared" si="137"/>
        <v>20.9</v>
      </c>
      <c r="X2201">
        <f t="shared" si="138"/>
        <v>1.1810093240000001</v>
      </c>
      <c r="Y2201">
        <f t="shared" si="139"/>
        <v>5.2999999999999972</v>
      </c>
      <c r="Z2201" s="1">
        <v>22</v>
      </c>
      <c r="AA2201">
        <v>78</v>
      </c>
      <c r="AB2201">
        <v>0.28210000000000002</v>
      </c>
      <c r="AC2201">
        <v>26</v>
      </c>
      <c r="AD2201">
        <v>88</v>
      </c>
      <c r="AE2201">
        <v>0.29549999999999998</v>
      </c>
      <c r="AF2201" t="s">
        <v>2593</v>
      </c>
      <c r="AG2201" t="s">
        <v>2591</v>
      </c>
    </row>
    <row r="2202" spans="1:33">
      <c r="A2202" s="2" t="s">
        <v>53</v>
      </c>
      <c r="B2202" s="2" t="s">
        <v>43</v>
      </c>
      <c r="C2202" s="1">
        <v>0.54695832700000002</v>
      </c>
      <c r="D2202">
        <v>0.659790137</v>
      </c>
      <c r="E2202">
        <v>0.70662085500000005</v>
      </c>
      <c r="F2202" s="1" t="s">
        <v>54</v>
      </c>
      <c r="G2202" s="1">
        <v>2.5053995680000001</v>
      </c>
      <c r="H2202" s="1">
        <v>43.9</v>
      </c>
      <c r="I2202" s="1">
        <v>46.3</v>
      </c>
      <c r="J2202" s="1">
        <v>0.63778977300000006</v>
      </c>
      <c r="K2202" s="1">
        <v>0.54180634699999997</v>
      </c>
      <c r="L2202" s="1">
        <v>0.59470779900000004</v>
      </c>
      <c r="M2202" s="3">
        <v>0.69518155599999998</v>
      </c>
      <c r="N2202" s="1" t="s">
        <v>44</v>
      </c>
      <c r="O2202" s="1">
        <v>1.7403685090000001</v>
      </c>
      <c r="P2202" s="1">
        <v>41.2</v>
      </c>
      <c r="Q2202" s="1">
        <v>59.7</v>
      </c>
      <c r="R2202" s="1">
        <v>0.61056523400000007</v>
      </c>
      <c r="S2202" s="1">
        <v>6.6280549025170582E-2</v>
      </c>
      <c r="T2202" t="s">
        <v>2349</v>
      </c>
      <c r="U2202" s="1">
        <v>3939</v>
      </c>
      <c r="V2202">
        <f t="shared" si="136"/>
        <v>0.39948733120101576</v>
      </c>
      <c r="W2202" s="1">
        <f t="shared" si="137"/>
        <v>2.6999999999999957</v>
      </c>
      <c r="X2202">
        <f t="shared" si="138"/>
        <v>0.76503105900000001</v>
      </c>
      <c r="Y2202">
        <f t="shared" si="139"/>
        <v>13.400000000000006</v>
      </c>
      <c r="Z2202" s="1">
        <v>4</v>
      </c>
      <c r="AA2202">
        <v>96</v>
      </c>
      <c r="AB2202">
        <v>4.1700000000000001E-2</v>
      </c>
      <c r="AC2202">
        <v>4</v>
      </c>
      <c r="AD2202">
        <v>132</v>
      </c>
      <c r="AE2202">
        <v>3.0300000000000001E-2</v>
      </c>
      <c r="AF2202" t="s">
        <v>2593</v>
      </c>
      <c r="AG2202" t="s">
        <v>2589</v>
      </c>
    </row>
    <row r="2203" spans="1:33">
      <c r="A2203" s="2" t="s">
        <v>53</v>
      </c>
      <c r="B2203" s="2" t="s">
        <v>45</v>
      </c>
      <c r="C2203" s="1">
        <v>0.54695832700000002</v>
      </c>
      <c r="D2203">
        <v>0.659790137</v>
      </c>
      <c r="E2203">
        <v>0.70662085500000005</v>
      </c>
      <c r="F2203" s="1" t="s">
        <v>54</v>
      </c>
      <c r="G2203" s="1">
        <v>2.5053995680000001</v>
      </c>
      <c r="H2203" s="1">
        <v>43.9</v>
      </c>
      <c r="I2203" s="1">
        <v>46.3</v>
      </c>
      <c r="J2203" s="1">
        <v>0.63778977300000006</v>
      </c>
      <c r="K2203" s="1">
        <v>0.50907007599999998</v>
      </c>
      <c r="L2203" s="1">
        <v>0.68428041399999995</v>
      </c>
      <c r="M2203" s="3">
        <v>0.67454742099999998</v>
      </c>
      <c r="N2203" s="1" t="s">
        <v>46</v>
      </c>
      <c r="O2203" s="1">
        <v>0.98140043799999999</v>
      </c>
      <c r="P2203" s="1">
        <v>38.9</v>
      </c>
      <c r="Q2203" s="1">
        <v>91.4</v>
      </c>
      <c r="R2203" s="1">
        <v>0.62263263699999993</v>
      </c>
      <c r="S2203" s="1">
        <v>5.5353395559153293E-2</v>
      </c>
      <c r="T2203" t="s">
        <v>2350</v>
      </c>
      <c r="U2203" s="1">
        <v>795</v>
      </c>
      <c r="V2203">
        <f t="shared" si="136"/>
        <v>0.32226301429516341</v>
      </c>
      <c r="W2203" s="1">
        <f t="shared" si="137"/>
        <v>5</v>
      </c>
      <c r="X2203">
        <f t="shared" si="138"/>
        <v>1.52399913</v>
      </c>
      <c r="Y2203">
        <f t="shared" si="139"/>
        <v>45.100000000000009</v>
      </c>
      <c r="Z2203" s="1">
        <v>1</v>
      </c>
      <c r="AA2203">
        <v>99</v>
      </c>
      <c r="AB2203">
        <v>1.01E-2</v>
      </c>
      <c r="AC2203">
        <v>2</v>
      </c>
      <c r="AD2203">
        <v>114</v>
      </c>
      <c r="AE2203">
        <v>1.7500000000000002E-2</v>
      </c>
      <c r="AF2203" t="s">
        <v>2593</v>
      </c>
      <c r="AG2203" t="s">
        <v>2589</v>
      </c>
    </row>
    <row r="2204" spans="1:33">
      <c r="A2204" s="2" t="s">
        <v>53</v>
      </c>
      <c r="B2204" s="2" t="s">
        <v>47</v>
      </c>
      <c r="C2204" s="1">
        <v>0.54695832700000002</v>
      </c>
      <c r="D2204">
        <v>0.659790137</v>
      </c>
      <c r="E2204">
        <v>0.70662085500000005</v>
      </c>
      <c r="F2204" s="1" t="s">
        <v>54</v>
      </c>
      <c r="G2204" s="1">
        <v>2.5053995680000001</v>
      </c>
      <c r="H2204" s="1">
        <v>43.9</v>
      </c>
      <c r="I2204" s="1">
        <v>46.3</v>
      </c>
      <c r="J2204" s="1">
        <v>0.63778977300000006</v>
      </c>
      <c r="K2204" s="1">
        <v>0.50612154099999995</v>
      </c>
      <c r="L2204" s="1">
        <v>0.55940039100000005</v>
      </c>
      <c r="M2204" s="3">
        <v>0.66789001699999995</v>
      </c>
      <c r="N2204" s="1" t="s">
        <v>48</v>
      </c>
      <c r="O2204" s="1">
        <v>1.242622951</v>
      </c>
      <c r="P2204" s="1">
        <v>17.8</v>
      </c>
      <c r="Q2204" s="1">
        <v>30.5</v>
      </c>
      <c r="R2204" s="1">
        <v>0.57780398300000002</v>
      </c>
      <c r="S2204" s="1">
        <v>0.1150904948505156</v>
      </c>
      <c r="T2204" t="s">
        <v>2351</v>
      </c>
      <c r="U2204" s="1">
        <v>953</v>
      </c>
      <c r="V2204">
        <f t="shared" si="136"/>
        <v>0.33101032229314736</v>
      </c>
      <c r="W2204" s="1">
        <f t="shared" si="137"/>
        <v>26.099999999999998</v>
      </c>
      <c r="X2204">
        <f t="shared" si="138"/>
        <v>1.2627766170000001</v>
      </c>
      <c r="Y2204">
        <f t="shared" si="139"/>
        <v>15.799999999999997</v>
      </c>
      <c r="Z2204" s="1">
        <v>1</v>
      </c>
      <c r="AA2204">
        <v>99</v>
      </c>
      <c r="AB2204">
        <v>1.01E-2</v>
      </c>
      <c r="AC2204">
        <v>2</v>
      </c>
      <c r="AD2204">
        <v>121</v>
      </c>
      <c r="AE2204">
        <v>1.6500000000000001E-2</v>
      </c>
      <c r="AF2204" t="s">
        <v>2593</v>
      </c>
      <c r="AG2204" t="s">
        <v>2590</v>
      </c>
    </row>
    <row r="2205" spans="1:33">
      <c r="A2205" s="2" t="s">
        <v>53</v>
      </c>
      <c r="B2205" s="2" t="s">
        <v>49</v>
      </c>
      <c r="C2205" s="1">
        <v>0.54695832700000002</v>
      </c>
      <c r="D2205">
        <v>0.659790137</v>
      </c>
      <c r="E2205">
        <v>0.70662085500000005</v>
      </c>
      <c r="F2205" s="1" t="s">
        <v>54</v>
      </c>
      <c r="G2205" s="1">
        <v>2.5053995680000001</v>
      </c>
      <c r="H2205" s="1">
        <v>43.9</v>
      </c>
      <c r="I2205" s="1">
        <v>46.3</v>
      </c>
      <c r="J2205" s="1">
        <v>0.63778977300000006</v>
      </c>
      <c r="K2205" s="1">
        <v>0.50647110500000003</v>
      </c>
      <c r="L2205" s="1">
        <v>0.55713136799999996</v>
      </c>
      <c r="M2205" s="3">
        <v>0.63402682300000002</v>
      </c>
      <c r="N2205" s="1" t="s">
        <v>50</v>
      </c>
      <c r="O2205" s="1">
        <v>1.876675603</v>
      </c>
      <c r="P2205" s="1">
        <v>28.8</v>
      </c>
      <c r="Q2205" s="1">
        <v>37.299999999999997</v>
      </c>
      <c r="R2205" s="1">
        <v>0.56587643200000004</v>
      </c>
      <c r="S2205" s="1">
        <v>0.13209061844010603</v>
      </c>
      <c r="T2205" t="s">
        <v>2352</v>
      </c>
      <c r="U2205" s="1">
        <v>1106</v>
      </c>
      <c r="V2205">
        <f t="shared" si="136"/>
        <v>0.33819501410763109</v>
      </c>
      <c r="W2205" s="1">
        <f t="shared" si="137"/>
        <v>15.099999999999998</v>
      </c>
      <c r="X2205">
        <f t="shared" si="138"/>
        <v>0.62872396500000005</v>
      </c>
      <c r="Y2205">
        <f t="shared" si="139"/>
        <v>9</v>
      </c>
      <c r="Z2205" s="1">
        <v>1</v>
      </c>
      <c r="AA2205">
        <v>99</v>
      </c>
      <c r="AB2205">
        <v>1.01E-2</v>
      </c>
      <c r="AC2205">
        <v>2</v>
      </c>
      <c r="AD2205">
        <v>95</v>
      </c>
      <c r="AE2205">
        <v>2.1100000000000001E-2</v>
      </c>
      <c r="AF2205" t="s">
        <v>2593</v>
      </c>
      <c r="AG2205" t="s">
        <v>2590</v>
      </c>
    </row>
    <row r="2206" spans="1:33">
      <c r="A2206" s="2" t="s">
        <v>53</v>
      </c>
      <c r="B2206" s="2" t="s">
        <v>51</v>
      </c>
      <c r="C2206" s="1">
        <v>0.54695832700000002</v>
      </c>
      <c r="D2206">
        <v>0.659790137</v>
      </c>
      <c r="E2206">
        <v>0.70662085500000005</v>
      </c>
      <c r="F2206" s="1" t="s">
        <v>54</v>
      </c>
      <c r="G2206" s="1">
        <v>2.5053995680000001</v>
      </c>
      <c r="H2206" s="1">
        <v>43.9</v>
      </c>
      <c r="I2206" s="1">
        <v>46.3</v>
      </c>
      <c r="J2206" s="1">
        <v>0.63778977300000006</v>
      </c>
      <c r="K2206" s="1">
        <v>0.60067161999999996</v>
      </c>
      <c r="L2206" s="1">
        <v>0.68094129999999997</v>
      </c>
      <c r="M2206" s="3">
        <v>0.73595931299999995</v>
      </c>
      <c r="N2206" s="1" t="s">
        <v>52</v>
      </c>
      <c r="O2206" s="1">
        <v>1.858638743</v>
      </c>
      <c r="P2206" s="1">
        <v>29.4</v>
      </c>
      <c r="Q2206" s="1">
        <v>38.200000000000003</v>
      </c>
      <c r="R2206" s="1">
        <v>0.67252407766666666</v>
      </c>
      <c r="S2206" s="1">
        <v>6.4755190208771449E-2</v>
      </c>
      <c r="T2206" t="s">
        <v>2353</v>
      </c>
      <c r="U2206" s="1">
        <v>13902</v>
      </c>
      <c r="V2206">
        <f t="shared" si="136"/>
        <v>0.46034192046373551</v>
      </c>
      <c r="W2206" s="1">
        <f t="shared" si="137"/>
        <v>14.5</v>
      </c>
      <c r="X2206">
        <f t="shared" si="138"/>
        <v>0.64676082500000009</v>
      </c>
      <c r="Y2206">
        <f t="shared" si="139"/>
        <v>8.0999999999999943</v>
      </c>
      <c r="Z2206" s="1">
        <v>29</v>
      </c>
      <c r="AA2206">
        <v>71</v>
      </c>
      <c r="AB2206">
        <v>0.40849999999999997</v>
      </c>
      <c r="AC2206">
        <v>29</v>
      </c>
      <c r="AD2206">
        <v>77</v>
      </c>
      <c r="AE2206">
        <v>0.37659999999999999</v>
      </c>
      <c r="AF2206" t="s">
        <v>2593</v>
      </c>
      <c r="AG2206" t="s">
        <v>2591</v>
      </c>
    </row>
    <row r="2207" spans="1:33">
      <c r="A2207" s="2" t="s">
        <v>51</v>
      </c>
      <c r="B2207" s="2" t="s">
        <v>10</v>
      </c>
      <c r="C2207" s="1">
        <v>0.60067161999999996</v>
      </c>
      <c r="D2207">
        <v>0.68094129999999997</v>
      </c>
      <c r="E2207">
        <v>0.73595931299999995</v>
      </c>
      <c r="F2207" s="1" t="s">
        <v>52</v>
      </c>
      <c r="G2207" s="1">
        <v>1.858638743</v>
      </c>
      <c r="H2207" s="1">
        <v>29.4</v>
      </c>
      <c r="I2207" s="1">
        <v>38.200000000000003</v>
      </c>
      <c r="J2207" s="1">
        <v>0.67252407766666666</v>
      </c>
      <c r="K2207" s="1">
        <v>0.52456325500000001</v>
      </c>
      <c r="L2207" s="1">
        <v>0.61925627999999999</v>
      </c>
      <c r="M2207" s="3">
        <v>0.72111139899999999</v>
      </c>
      <c r="N2207" s="1" t="s">
        <v>12</v>
      </c>
      <c r="O2207" s="1">
        <v>0.61690647499999995</v>
      </c>
      <c r="P2207" s="1">
        <v>30</v>
      </c>
      <c r="Q2207" s="1">
        <v>111.2</v>
      </c>
      <c r="R2207" s="1">
        <v>0.62164364466666666</v>
      </c>
      <c r="S2207" s="1">
        <v>9.9085748044433763E-2</v>
      </c>
      <c r="T2207" t="s">
        <v>2354</v>
      </c>
      <c r="U2207" s="1">
        <v>112</v>
      </c>
      <c r="V2207">
        <f t="shared" si="136"/>
        <v>0.22769089140779794</v>
      </c>
      <c r="W2207" s="1">
        <f t="shared" si="137"/>
        <v>0.60000000000000142</v>
      </c>
      <c r="X2207">
        <f t="shared" si="138"/>
        <v>1.241732268</v>
      </c>
      <c r="Y2207">
        <f t="shared" si="139"/>
        <v>73</v>
      </c>
      <c r="Z2207" s="1">
        <v>3</v>
      </c>
      <c r="AA2207">
        <v>97</v>
      </c>
      <c r="AB2207">
        <v>3.09E-2</v>
      </c>
      <c r="AC2207">
        <v>4</v>
      </c>
      <c r="AD2207">
        <v>156</v>
      </c>
      <c r="AE2207">
        <v>2.5600000000000001E-2</v>
      </c>
      <c r="AF2207" t="s">
        <v>2591</v>
      </c>
      <c r="AG2207" t="s">
        <v>2588</v>
      </c>
    </row>
    <row r="2208" spans="1:33">
      <c r="A2208" s="2" t="s">
        <v>51</v>
      </c>
      <c r="B2208" s="2" t="s">
        <v>13</v>
      </c>
      <c r="C2208" s="1">
        <v>0.60067161999999996</v>
      </c>
      <c r="D2208">
        <v>0.68094129999999997</v>
      </c>
      <c r="E2208">
        <v>0.73595931299999995</v>
      </c>
      <c r="F2208" s="1" t="s">
        <v>52</v>
      </c>
      <c r="G2208" s="1">
        <v>1.858638743</v>
      </c>
      <c r="H2208" s="1">
        <v>29.4</v>
      </c>
      <c r="I2208" s="1">
        <v>38.200000000000003</v>
      </c>
      <c r="J2208" s="1">
        <v>0.67252407766666666</v>
      </c>
      <c r="K2208" s="1">
        <v>0.48695497399999998</v>
      </c>
      <c r="L2208" s="1">
        <v>0.54991327199999995</v>
      </c>
      <c r="M2208" s="3">
        <v>0.67282609299999996</v>
      </c>
      <c r="N2208" s="1" t="s">
        <v>14</v>
      </c>
      <c r="O2208" s="1">
        <v>1.6052009460000001</v>
      </c>
      <c r="P2208" s="1">
        <v>26.6</v>
      </c>
      <c r="Q2208" s="1">
        <v>42.3</v>
      </c>
      <c r="R2208" s="1">
        <v>0.56989811299999993</v>
      </c>
      <c r="S2208" s="1">
        <v>0.18462292156345728</v>
      </c>
      <c r="T2208" t="s">
        <v>2355</v>
      </c>
      <c r="U2208" s="1">
        <v>246</v>
      </c>
      <c r="V2208">
        <f t="shared" si="136"/>
        <v>0.26565945634481991</v>
      </c>
      <c r="W2208" s="1">
        <f t="shared" si="137"/>
        <v>2.7999999999999972</v>
      </c>
      <c r="X2208">
        <f t="shared" si="138"/>
        <v>0.25343779699999991</v>
      </c>
      <c r="Y2208">
        <f t="shared" si="139"/>
        <v>4.0999999999999943</v>
      </c>
      <c r="Z2208" s="1">
        <v>3</v>
      </c>
      <c r="AA2208">
        <v>97</v>
      </c>
      <c r="AB2208">
        <v>3.09E-2</v>
      </c>
      <c r="AC2208">
        <v>4</v>
      </c>
      <c r="AD2208">
        <v>103</v>
      </c>
      <c r="AE2208">
        <v>3.8800000000000001E-2</v>
      </c>
      <c r="AF2208" t="s">
        <v>2591</v>
      </c>
      <c r="AG2208" t="s">
        <v>2590</v>
      </c>
    </row>
    <row r="2209" spans="1:33">
      <c r="A2209" s="2" t="s">
        <v>51</v>
      </c>
      <c r="B2209" s="2" t="s">
        <v>15</v>
      </c>
      <c r="C2209" s="1">
        <v>0.60067161999999996</v>
      </c>
      <c r="D2209">
        <v>0.68094129999999997</v>
      </c>
      <c r="E2209">
        <v>0.73595931299999995</v>
      </c>
      <c r="F2209" s="1" t="s">
        <v>52</v>
      </c>
      <c r="G2209" s="1">
        <v>1.858638743</v>
      </c>
      <c r="H2209" s="1">
        <v>29.4</v>
      </c>
      <c r="I2209" s="1">
        <v>38.200000000000003</v>
      </c>
      <c r="J2209" s="1">
        <v>0.67252407766666666</v>
      </c>
      <c r="K2209" s="1">
        <v>0.54560998800000005</v>
      </c>
      <c r="L2209" s="1">
        <v>0.66721428400000005</v>
      </c>
      <c r="M2209" s="3">
        <v>0.72650398400000005</v>
      </c>
      <c r="N2209" s="1" t="s">
        <v>16</v>
      </c>
      <c r="O2209" s="1">
        <v>5.1392405060000002</v>
      </c>
      <c r="P2209" s="1">
        <v>35.9</v>
      </c>
      <c r="Q2209" s="1">
        <v>15.8</v>
      </c>
      <c r="R2209" s="1">
        <v>0.64644275200000012</v>
      </c>
      <c r="S2209" s="1">
        <v>5.7529275445340936E-2</v>
      </c>
      <c r="T2209" t="s">
        <v>2356</v>
      </c>
      <c r="U2209" s="1">
        <v>80197</v>
      </c>
      <c r="V2209">
        <f t="shared" si="136"/>
        <v>0.54490645806120186</v>
      </c>
      <c r="W2209" s="1">
        <f t="shared" si="137"/>
        <v>6.5</v>
      </c>
      <c r="X2209">
        <f t="shared" si="138"/>
        <v>3.2806017629999999</v>
      </c>
      <c r="Y2209">
        <f t="shared" si="139"/>
        <v>22.400000000000002</v>
      </c>
      <c r="Z2209" s="1">
        <v>28</v>
      </c>
      <c r="AA2209">
        <v>72</v>
      </c>
      <c r="AB2209">
        <v>0.38890000000000002</v>
      </c>
      <c r="AC2209">
        <v>27</v>
      </c>
      <c r="AD2209">
        <v>76</v>
      </c>
      <c r="AE2209">
        <v>0.3553</v>
      </c>
      <c r="AF2209" t="s">
        <v>2591</v>
      </c>
      <c r="AG2209" t="s">
        <v>2591</v>
      </c>
    </row>
    <row r="2210" spans="1:33">
      <c r="A2210" s="2" t="s">
        <v>51</v>
      </c>
      <c r="B2210" s="2" t="s">
        <v>17</v>
      </c>
      <c r="C2210" s="1">
        <v>0.60067161999999996</v>
      </c>
      <c r="D2210">
        <v>0.68094129999999997</v>
      </c>
      <c r="E2210">
        <v>0.73595931299999995</v>
      </c>
      <c r="F2210" s="1" t="s">
        <v>52</v>
      </c>
      <c r="G2210" s="1">
        <v>1.858638743</v>
      </c>
      <c r="H2210" s="1">
        <v>29.4</v>
      </c>
      <c r="I2210" s="1">
        <v>38.200000000000003</v>
      </c>
      <c r="J2210" s="1">
        <v>0.67252407766666666</v>
      </c>
      <c r="K2210" s="1">
        <v>0.659112378</v>
      </c>
      <c r="L2210" s="1">
        <v>0.68333493499999998</v>
      </c>
      <c r="M2210" s="3">
        <v>0.70345495199999997</v>
      </c>
      <c r="N2210" s="1" t="s">
        <v>18</v>
      </c>
      <c r="O2210" s="1">
        <v>1.9463955639999999</v>
      </c>
      <c r="P2210" s="1">
        <v>46.3</v>
      </c>
      <c r="Q2210" s="1">
        <v>54.1</v>
      </c>
      <c r="R2210" s="1">
        <v>0.68196742166666668</v>
      </c>
      <c r="S2210" s="1">
        <v>6.6914760465431794E-2</v>
      </c>
      <c r="T2210" t="s">
        <v>2357</v>
      </c>
      <c r="U2210" s="1">
        <v>8790</v>
      </c>
      <c r="V2210">
        <f t="shared" si="136"/>
        <v>0.43822098611930799</v>
      </c>
      <c r="W2210" s="1">
        <f t="shared" si="137"/>
        <v>16.899999999999999</v>
      </c>
      <c r="X2210">
        <f t="shared" si="138"/>
        <v>8.7756820999999929E-2</v>
      </c>
      <c r="Y2210">
        <f t="shared" si="139"/>
        <v>15.899999999999999</v>
      </c>
      <c r="Z2210" s="1">
        <v>21</v>
      </c>
      <c r="AA2210">
        <v>79</v>
      </c>
      <c r="AB2210">
        <v>0.26579999999999998</v>
      </c>
      <c r="AC2210">
        <v>24</v>
      </c>
      <c r="AD2210">
        <v>93</v>
      </c>
      <c r="AE2210">
        <v>0.2581</v>
      </c>
      <c r="AF2210" t="s">
        <v>2591</v>
      </c>
      <c r="AG2210" t="s">
        <v>2591</v>
      </c>
    </row>
    <row r="2211" spans="1:33">
      <c r="A2211" s="2" t="s">
        <v>51</v>
      </c>
      <c r="B2211" s="2" t="s">
        <v>19</v>
      </c>
      <c r="C2211" s="1">
        <v>0.60067161999999996</v>
      </c>
      <c r="D2211">
        <v>0.68094129999999997</v>
      </c>
      <c r="E2211">
        <v>0.73595931299999995</v>
      </c>
      <c r="F2211" s="1" t="s">
        <v>52</v>
      </c>
      <c r="G2211" s="1">
        <v>1.858638743</v>
      </c>
      <c r="H2211" s="1">
        <v>29.4</v>
      </c>
      <c r="I2211" s="1">
        <v>38.200000000000003</v>
      </c>
      <c r="J2211" s="1">
        <v>0.67252407766666666</v>
      </c>
      <c r="K2211" s="1">
        <v>0.49391595300000002</v>
      </c>
      <c r="L2211" s="1">
        <v>0.603599314</v>
      </c>
      <c r="M2211" s="3">
        <v>0.63481471599999995</v>
      </c>
      <c r="N2211" s="1" t="s">
        <v>20</v>
      </c>
      <c r="O2211" s="1">
        <v>1.2140902870000001</v>
      </c>
      <c r="P2211" s="1">
        <v>64.900000000000006</v>
      </c>
      <c r="Q2211" s="1">
        <v>146.19999999999999</v>
      </c>
      <c r="R2211" s="1">
        <v>0.57744332766666662</v>
      </c>
      <c r="S2211" s="1">
        <v>0.16615891410734326</v>
      </c>
      <c r="T2211" t="s">
        <v>2358</v>
      </c>
      <c r="U2211" s="1">
        <v>5048</v>
      </c>
      <c r="V2211">
        <f t="shared" si="136"/>
        <v>0.41145770513734203</v>
      </c>
      <c r="W2211" s="1">
        <f t="shared" si="137"/>
        <v>35.500000000000007</v>
      </c>
      <c r="X2211">
        <f t="shared" si="138"/>
        <v>0.64454845599999988</v>
      </c>
      <c r="Y2211">
        <f t="shared" si="139"/>
        <v>107.99999999999999</v>
      </c>
      <c r="Z2211" s="1">
        <v>5</v>
      </c>
      <c r="AA2211">
        <v>95</v>
      </c>
      <c r="AB2211">
        <v>5.2600000000000001E-2</v>
      </c>
      <c r="AC2211">
        <v>7</v>
      </c>
      <c r="AD2211">
        <v>90</v>
      </c>
      <c r="AE2211">
        <v>7.7799999999999994E-2</v>
      </c>
      <c r="AF2211" t="s">
        <v>2591</v>
      </c>
      <c r="AG2211" t="s">
        <v>2593</v>
      </c>
    </row>
    <row r="2212" spans="1:33">
      <c r="A2212" s="2" t="s">
        <v>51</v>
      </c>
      <c r="B2212" s="2" t="s">
        <v>21</v>
      </c>
      <c r="C2212" s="1">
        <v>0.60067161999999996</v>
      </c>
      <c r="D2212">
        <v>0.68094129999999997</v>
      </c>
      <c r="E2212">
        <v>0.73595931299999995</v>
      </c>
      <c r="F2212" s="1" t="s">
        <v>52</v>
      </c>
      <c r="G2212" s="1">
        <v>1.858638743</v>
      </c>
      <c r="H2212" s="1">
        <v>29.4</v>
      </c>
      <c r="I2212" s="1">
        <v>38.200000000000003</v>
      </c>
      <c r="J2212" s="1">
        <v>0.67252407766666666</v>
      </c>
      <c r="K2212" s="1">
        <v>0.53276376800000003</v>
      </c>
      <c r="L2212" s="1">
        <v>0.65428149899999999</v>
      </c>
      <c r="M2212" s="3">
        <v>0.70160154799999996</v>
      </c>
      <c r="N2212" s="1" t="s">
        <v>22</v>
      </c>
      <c r="O2212" s="1">
        <v>1.2440604749999999</v>
      </c>
      <c r="P2212" s="1">
        <v>24.6</v>
      </c>
      <c r="Q2212" s="1">
        <v>46.3</v>
      </c>
      <c r="R2212" s="1">
        <v>0.62954893833333336</v>
      </c>
      <c r="S2212" s="1">
        <v>8.0639180107493158E-2</v>
      </c>
      <c r="T2212" t="s">
        <v>2359</v>
      </c>
      <c r="U2212" s="1">
        <v>640</v>
      </c>
      <c r="V2212">
        <f t="shared" si="136"/>
        <v>0.31179777488709859</v>
      </c>
      <c r="W2212" s="1">
        <f t="shared" si="137"/>
        <v>4.7999999999999972</v>
      </c>
      <c r="X2212">
        <f t="shared" si="138"/>
        <v>0.61457826800000004</v>
      </c>
      <c r="Y2212">
        <f t="shared" si="139"/>
        <v>8.0999999999999943</v>
      </c>
      <c r="Z2212" s="1">
        <v>1</v>
      </c>
      <c r="AA2212">
        <v>99</v>
      </c>
      <c r="AB2212">
        <v>1.01E-2</v>
      </c>
      <c r="AC2212">
        <v>2</v>
      </c>
      <c r="AD2212">
        <v>101</v>
      </c>
      <c r="AE2212">
        <v>1.9800000000000002E-2</v>
      </c>
      <c r="AF2212" t="s">
        <v>2591</v>
      </c>
      <c r="AG2212" t="s">
        <v>2589</v>
      </c>
    </row>
    <row r="2213" spans="1:33">
      <c r="A2213" s="2" t="s">
        <v>51</v>
      </c>
      <c r="B2213" s="2" t="s">
        <v>23</v>
      </c>
      <c r="C2213" s="1">
        <v>0.60067161999999996</v>
      </c>
      <c r="D2213">
        <v>0.68094129999999997</v>
      </c>
      <c r="E2213">
        <v>0.73595931299999995</v>
      </c>
      <c r="F2213" s="1" t="s">
        <v>52</v>
      </c>
      <c r="G2213" s="1">
        <v>1.858638743</v>
      </c>
      <c r="H2213" s="1">
        <v>29.4</v>
      </c>
      <c r="I2213" s="1">
        <v>38.200000000000003</v>
      </c>
      <c r="J2213" s="1">
        <v>0.67252407766666666</v>
      </c>
      <c r="K2213" s="1">
        <v>0.49415677200000002</v>
      </c>
      <c r="L2213" s="1">
        <v>0.62090818999999997</v>
      </c>
      <c r="M2213" s="3">
        <v>0.63381026900000004</v>
      </c>
      <c r="N2213" s="1" t="s">
        <v>24</v>
      </c>
      <c r="O2213" s="1">
        <v>1.141304348</v>
      </c>
      <c r="P2213" s="1">
        <v>44.4</v>
      </c>
      <c r="Q2213" s="1">
        <v>101.2</v>
      </c>
      <c r="R2213" s="1">
        <v>0.58295841033333329</v>
      </c>
      <c r="S2213" s="1">
        <v>0.15932298745268716</v>
      </c>
      <c r="T2213" t="s">
        <v>2360</v>
      </c>
      <c r="U2213" s="1">
        <v>230</v>
      </c>
      <c r="V2213">
        <f t="shared" si="136"/>
        <v>0.26241420400195481</v>
      </c>
      <c r="W2213" s="1">
        <f t="shared" si="137"/>
        <v>15</v>
      </c>
      <c r="X2213">
        <f t="shared" si="138"/>
        <v>0.71733439499999996</v>
      </c>
      <c r="Y2213">
        <f t="shared" si="139"/>
        <v>63</v>
      </c>
      <c r="Z2213" s="1">
        <v>5</v>
      </c>
      <c r="AA2213">
        <v>95</v>
      </c>
      <c r="AB2213">
        <v>5.2600000000000001E-2</v>
      </c>
      <c r="AC2213">
        <v>6</v>
      </c>
      <c r="AD2213">
        <v>93</v>
      </c>
      <c r="AE2213">
        <v>6.4500000000000002E-2</v>
      </c>
      <c r="AF2213" t="s">
        <v>2591</v>
      </c>
      <c r="AG2213" t="s">
        <v>2590</v>
      </c>
    </row>
    <row r="2214" spans="1:33">
      <c r="A2214" s="2" t="s">
        <v>51</v>
      </c>
      <c r="B2214" s="2" t="s">
        <v>25</v>
      </c>
      <c r="C2214" s="1">
        <v>0.60067161999999996</v>
      </c>
      <c r="D2214">
        <v>0.68094129999999997</v>
      </c>
      <c r="E2214">
        <v>0.73595931299999995</v>
      </c>
      <c r="F2214" s="1" t="s">
        <v>52</v>
      </c>
      <c r="G2214" s="1">
        <v>1.858638743</v>
      </c>
      <c r="H2214" s="1">
        <v>29.4</v>
      </c>
      <c r="I2214" s="1">
        <v>38.200000000000003</v>
      </c>
      <c r="J2214" s="1">
        <v>0.67252407766666666</v>
      </c>
      <c r="K2214" s="1">
        <v>0.53959274199999996</v>
      </c>
      <c r="L2214" s="1">
        <v>0.64971567399999997</v>
      </c>
      <c r="M2214" s="3">
        <v>0.65028459999999999</v>
      </c>
      <c r="N2214" s="1" t="s">
        <v>26</v>
      </c>
      <c r="O2214" s="1">
        <v>1.623046875</v>
      </c>
      <c r="P2214" s="1">
        <v>34.700000000000003</v>
      </c>
      <c r="Q2214" s="1">
        <v>51.2</v>
      </c>
      <c r="R2214" s="1">
        <v>0.61319767199999997</v>
      </c>
      <c r="S2214" s="1">
        <v>0.10975347604729029</v>
      </c>
      <c r="T2214" t="s">
        <v>2361</v>
      </c>
      <c r="U2214" s="1">
        <v>239</v>
      </c>
      <c r="V2214">
        <f t="shared" si="136"/>
        <v>0.26426643343868195</v>
      </c>
      <c r="W2214" s="1">
        <f t="shared" si="137"/>
        <v>5.3000000000000043</v>
      </c>
      <c r="X2214">
        <f t="shared" si="138"/>
        <v>0.23559186799999998</v>
      </c>
      <c r="Y2214">
        <f t="shared" si="139"/>
        <v>13</v>
      </c>
      <c r="Z2214" s="1">
        <v>0</v>
      </c>
      <c r="AA2214">
        <v>100</v>
      </c>
      <c r="AB2214">
        <v>0</v>
      </c>
      <c r="AC2214">
        <v>0</v>
      </c>
      <c r="AD2214">
        <v>101</v>
      </c>
      <c r="AE2214">
        <v>0</v>
      </c>
      <c r="AF2214" t="s">
        <v>2591</v>
      </c>
      <c r="AG2214" t="s">
        <v>2594</v>
      </c>
    </row>
    <row r="2215" spans="1:33">
      <c r="A2215" s="2" t="s">
        <v>51</v>
      </c>
      <c r="B2215" s="2" t="s">
        <v>27</v>
      </c>
      <c r="C2215" s="1">
        <v>0.60067161999999996</v>
      </c>
      <c r="D2215">
        <v>0.68094129999999997</v>
      </c>
      <c r="E2215">
        <v>0.73595931299999995</v>
      </c>
      <c r="F2215" s="1" t="s">
        <v>52</v>
      </c>
      <c r="G2215" s="1">
        <v>1.858638743</v>
      </c>
      <c r="H2215" s="1">
        <v>29.4</v>
      </c>
      <c r="I2215" s="1">
        <v>38.200000000000003</v>
      </c>
      <c r="J2215" s="1">
        <v>0.67252407766666666</v>
      </c>
      <c r="K2215" s="1">
        <v>0.518608662</v>
      </c>
      <c r="L2215" s="1">
        <v>0.64320369700000002</v>
      </c>
      <c r="M2215" s="3">
        <v>0.62228994199999998</v>
      </c>
      <c r="N2215" s="1" t="s">
        <v>28</v>
      </c>
      <c r="O2215" s="1">
        <v>1.8717391299999999</v>
      </c>
      <c r="P2215" s="1">
        <v>33.700000000000003</v>
      </c>
      <c r="Q2215" s="1">
        <v>46</v>
      </c>
      <c r="R2215" s="1">
        <v>0.59470076699999996</v>
      </c>
      <c r="S2215" s="1">
        <v>0.14518671309534836</v>
      </c>
      <c r="T2215" t="s">
        <v>2362</v>
      </c>
      <c r="U2215" s="1">
        <v>152</v>
      </c>
      <c r="V2215">
        <f t="shared" si="136"/>
        <v>0.24242706532719696</v>
      </c>
      <c r="W2215" s="1">
        <f t="shared" si="137"/>
        <v>4.3000000000000043</v>
      </c>
      <c r="X2215">
        <f t="shared" si="138"/>
        <v>1.3100386999999936E-2</v>
      </c>
      <c r="Y2215">
        <f t="shared" si="139"/>
        <v>7.7999999999999972</v>
      </c>
      <c r="Z2215" s="1">
        <v>4</v>
      </c>
      <c r="AA2215">
        <v>96</v>
      </c>
      <c r="AB2215">
        <v>4.1700000000000001E-2</v>
      </c>
      <c r="AC2215">
        <v>5</v>
      </c>
      <c r="AD2215">
        <v>103</v>
      </c>
      <c r="AE2215">
        <v>4.8500000000000001E-2</v>
      </c>
      <c r="AF2215" t="s">
        <v>2591</v>
      </c>
      <c r="AG2215" t="s">
        <v>2590</v>
      </c>
    </row>
    <row r="2216" spans="1:33">
      <c r="A2216" s="2" t="s">
        <v>51</v>
      </c>
      <c r="B2216" s="2" t="s">
        <v>29</v>
      </c>
      <c r="C2216" s="1">
        <v>0.60067161999999996</v>
      </c>
      <c r="D2216">
        <v>0.68094129999999997</v>
      </c>
      <c r="E2216">
        <v>0.73595931299999995</v>
      </c>
      <c r="F2216" s="1" t="s">
        <v>52</v>
      </c>
      <c r="G2216" s="1">
        <v>1.858638743</v>
      </c>
      <c r="H2216" s="1">
        <v>29.4</v>
      </c>
      <c r="I2216" s="1">
        <v>38.200000000000003</v>
      </c>
      <c r="J2216" s="1">
        <v>0.67252407766666666</v>
      </c>
      <c r="K2216" s="1">
        <v>0.59351545100000003</v>
      </c>
      <c r="L2216" s="1">
        <v>0.68136602400000001</v>
      </c>
      <c r="M2216" s="3">
        <v>0.73518087600000004</v>
      </c>
      <c r="N2216" s="1" t="s">
        <v>30</v>
      </c>
      <c r="O2216" s="1">
        <v>2.849112426</v>
      </c>
      <c r="P2216" s="1">
        <v>37.9</v>
      </c>
      <c r="Q2216" s="1">
        <v>33.799999999999997</v>
      </c>
      <c r="R2216" s="1">
        <v>0.67002078366666673</v>
      </c>
      <c r="S2216" s="1">
        <v>7.2109021207963269E-3</v>
      </c>
      <c r="T2216" t="s">
        <v>2363</v>
      </c>
      <c r="U2216" s="1">
        <v>8741</v>
      </c>
      <c r="V2216">
        <f t="shared" si="136"/>
        <v>0.43795123558178567</v>
      </c>
      <c r="W2216" s="1">
        <f t="shared" si="137"/>
        <v>8.5</v>
      </c>
      <c r="X2216">
        <f t="shared" si="138"/>
        <v>0.99047368300000005</v>
      </c>
      <c r="Y2216">
        <f t="shared" si="139"/>
        <v>4.4000000000000057</v>
      </c>
      <c r="Z2216" s="1">
        <v>27</v>
      </c>
      <c r="AA2216">
        <v>73</v>
      </c>
      <c r="AB2216">
        <v>0.36990000000000001</v>
      </c>
      <c r="AC2216">
        <v>29</v>
      </c>
      <c r="AD2216">
        <v>68</v>
      </c>
      <c r="AE2216">
        <v>0.42649999999999999</v>
      </c>
      <c r="AF2216" t="s">
        <v>2591</v>
      </c>
      <c r="AG2216" t="s">
        <v>2593</v>
      </c>
    </row>
    <row r="2217" spans="1:33">
      <c r="A2217" s="2" t="s">
        <v>51</v>
      </c>
      <c r="B2217" s="2" t="s">
        <v>31</v>
      </c>
      <c r="C2217" s="1">
        <v>0.60067161999999996</v>
      </c>
      <c r="D2217">
        <v>0.68094129999999997</v>
      </c>
      <c r="E2217">
        <v>0.73595931299999995</v>
      </c>
      <c r="F2217" s="1" t="s">
        <v>52</v>
      </c>
      <c r="G2217" s="1">
        <v>1.858638743</v>
      </c>
      <c r="H2217" s="1">
        <v>29.4</v>
      </c>
      <c r="I2217" s="1">
        <v>38.200000000000003</v>
      </c>
      <c r="J2217" s="1">
        <v>0.67252407766666666</v>
      </c>
      <c r="K2217" s="1">
        <v>0.47727961800000002</v>
      </c>
      <c r="L2217" s="1">
        <v>0.66941086400000005</v>
      </c>
      <c r="M2217" s="3">
        <v>0.69294815300000001</v>
      </c>
      <c r="N2217" s="1" t="s">
        <v>32</v>
      </c>
      <c r="O2217" s="1">
        <v>1.341891892</v>
      </c>
      <c r="P2217" s="1">
        <v>42.1</v>
      </c>
      <c r="Q2217" s="1">
        <v>74</v>
      </c>
      <c r="R2217" s="1">
        <v>0.61321287833333338</v>
      </c>
      <c r="S2217" s="1">
        <v>0.13118116098153607</v>
      </c>
      <c r="T2217" t="s">
        <v>2364</v>
      </c>
      <c r="U2217" s="1">
        <v>309</v>
      </c>
      <c r="V2217">
        <f t="shared" si="136"/>
        <v>0.27666205326942606</v>
      </c>
      <c r="W2217" s="1">
        <f t="shared" si="137"/>
        <v>12.700000000000003</v>
      </c>
      <c r="X2217">
        <f t="shared" si="138"/>
        <v>0.51674685099999995</v>
      </c>
      <c r="Y2217">
        <f t="shared" si="139"/>
        <v>35.799999999999997</v>
      </c>
      <c r="Z2217" s="1">
        <v>3</v>
      </c>
      <c r="AA2217">
        <v>97</v>
      </c>
      <c r="AB2217">
        <v>3.09E-2</v>
      </c>
      <c r="AC2217">
        <v>4</v>
      </c>
      <c r="AD2217">
        <v>101</v>
      </c>
      <c r="AE2217">
        <v>3.9600000000000003E-2</v>
      </c>
      <c r="AF2217" t="s">
        <v>2591</v>
      </c>
      <c r="AG2217" t="s">
        <v>2589</v>
      </c>
    </row>
    <row r="2218" spans="1:33">
      <c r="A2218" s="2" t="s">
        <v>51</v>
      </c>
      <c r="B2218" s="2" t="s">
        <v>33</v>
      </c>
      <c r="C2218" s="1">
        <v>0.60067161999999996</v>
      </c>
      <c r="D2218">
        <v>0.68094129999999997</v>
      </c>
      <c r="E2218">
        <v>0.73595931299999995</v>
      </c>
      <c r="F2218" s="1" t="s">
        <v>52</v>
      </c>
      <c r="G2218" s="1">
        <v>1.858638743</v>
      </c>
      <c r="H2218" s="1">
        <v>29.4</v>
      </c>
      <c r="I2218" s="1">
        <v>38.200000000000003</v>
      </c>
      <c r="J2218" s="1">
        <v>0.67252407766666666</v>
      </c>
      <c r="K2218" s="1">
        <v>0.51347926600000005</v>
      </c>
      <c r="L2218" s="1">
        <v>0.63144379399999995</v>
      </c>
      <c r="M2218" s="3">
        <v>0.64189093500000005</v>
      </c>
      <c r="N2218" s="1" t="s">
        <v>34</v>
      </c>
      <c r="O2218" s="1">
        <v>2.3123667380000001</v>
      </c>
      <c r="P2218" s="1">
        <v>79.099999999999994</v>
      </c>
      <c r="Q2218" s="1">
        <v>93.8</v>
      </c>
      <c r="R2218" s="1">
        <v>0.59560466500000009</v>
      </c>
      <c r="S2218" s="1">
        <v>0.13748225134842754</v>
      </c>
      <c r="T2218" t="s">
        <v>2365</v>
      </c>
      <c r="U2218" s="1">
        <v>385</v>
      </c>
      <c r="V2218">
        <f t="shared" si="136"/>
        <v>0.28727341438983339</v>
      </c>
      <c r="W2218" s="1">
        <f t="shared" si="137"/>
        <v>49.699999999999996</v>
      </c>
      <c r="X2218">
        <f t="shared" si="138"/>
        <v>0.45372799500000016</v>
      </c>
      <c r="Y2218">
        <f t="shared" si="139"/>
        <v>55.599999999999994</v>
      </c>
      <c r="Z2218" s="1">
        <v>5</v>
      </c>
      <c r="AA2218">
        <v>95</v>
      </c>
      <c r="AB2218">
        <v>5.2600000000000001E-2</v>
      </c>
      <c r="AC2218">
        <v>6</v>
      </c>
      <c r="AD2218">
        <v>93</v>
      </c>
      <c r="AE2218">
        <v>6.4500000000000002E-2</v>
      </c>
      <c r="AF2218" t="s">
        <v>2591</v>
      </c>
      <c r="AG2218" t="s">
        <v>2590</v>
      </c>
    </row>
    <row r="2219" spans="1:33">
      <c r="A2219" s="2" t="s">
        <v>51</v>
      </c>
      <c r="B2219" s="2" t="s">
        <v>35</v>
      </c>
      <c r="C2219" s="1">
        <v>0.60067161999999996</v>
      </c>
      <c r="D2219">
        <v>0.68094129999999997</v>
      </c>
      <c r="E2219">
        <v>0.73595931299999995</v>
      </c>
      <c r="F2219" s="1" t="s">
        <v>52</v>
      </c>
      <c r="G2219" s="1">
        <v>1.858638743</v>
      </c>
      <c r="H2219" s="1">
        <v>29.4</v>
      </c>
      <c r="I2219" s="1">
        <v>38.200000000000003</v>
      </c>
      <c r="J2219" s="1">
        <v>0.67252407766666666</v>
      </c>
      <c r="K2219" s="1">
        <v>0.52542897600000005</v>
      </c>
      <c r="L2219" s="1">
        <v>0.60774736299999998</v>
      </c>
      <c r="M2219" s="3">
        <v>0.62585751700000003</v>
      </c>
      <c r="N2219" s="1" t="s">
        <v>36</v>
      </c>
      <c r="O2219" s="1">
        <v>0.98848810399999998</v>
      </c>
      <c r="P2219" s="1">
        <v>54.2</v>
      </c>
      <c r="Q2219" s="1">
        <v>130.30000000000001</v>
      </c>
      <c r="R2219" s="1">
        <v>0.58634461866666665</v>
      </c>
      <c r="S2219" s="1">
        <v>0.15212236315577105</v>
      </c>
      <c r="T2219" t="s">
        <v>2366</v>
      </c>
      <c r="U2219" s="1">
        <v>1434</v>
      </c>
      <c r="V2219">
        <f t="shared" si="136"/>
        <v>0.35072768348130906</v>
      </c>
      <c r="W2219" s="1">
        <f t="shared" si="137"/>
        <v>24.800000000000004</v>
      </c>
      <c r="X2219">
        <f t="shared" si="138"/>
        <v>0.870150639</v>
      </c>
      <c r="Y2219">
        <f t="shared" si="139"/>
        <v>92.100000000000009</v>
      </c>
      <c r="Z2219" s="1">
        <v>3</v>
      </c>
      <c r="AA2219">
        <v>97</v>
      </c>
      <c r="AB2219">
        <v>3.09E-2</v>
      </c>
      <c r="AC2219">
        <v>4</v>
      </c>
      <c r="AD2219">
        <v>94</v>
      </c>
      <c r="AE2219">
        <v>4.2599999999999999E-2</v>
      </c>
      <c r="AF2219" t="s">
        <v>2591</v>
      </c>
      <c r="AG2219" t="s">
        <v>2589</v>
      </c>
    </row>
    <row r="2220" spans="1:33">
      <c r="A2220" s="2" t="s">
        <v>51</v>
      </c>
      <c r="B2220" s="2" t="s">
        <v>37</v>
      </c>
      <c r="C2220" s="1">
        <v>0.60067161999999996</v>
      </c>
      <c r="D2220">
        <v>0.68094129999999997</v>
      </c>
      <c r="E2220">
        <v>0.73595931299999995</v>
      </c>
      <c r="F2220" s="1" t="s">
        <v>52</v>
      </c>
      <c r="G2220" s="1">
        <v>1.858638743</v>
      </c>
      <c r="H2220" s="1">
        <v>29.4</v>
      </c>
      <c r="I2220" s="1">
        <v>38.200000000000003</v>
      </c>
      <c r="J2220" s="1">
        <v>0.67252407766666666</v>
      </c>
      <c r="K2220" s="1">
        <v>0.50856695500000004</v>
      </c>
      <c r="L2220" s="1">
        <v>0.654733224</v>
      </c>
      <c r="M2220" s="3">
        <v>0.61418267199999999</v>
      </c>
      <c r="N2220" s="1" t="s">
        <v>38</v>
      </c>
      <c r="O2220" s="1">
        <v>0.64065708399999999</v>
      </c>
      <c r="P2220" s="1">
        <v>41.9</v>
      </c>
      <c r="Q2220" s="1">
        <v>146.1</v>
      </c>
      <c r="R2220" s="1">
        <v>0.59249428366666679</v>
      </c>
      <c r="S2220" s="1">
        <v>0.15491831026585223</v>
      </c>
      <c r="T2220" t="s">
        <v>2367</v>
      </c>
      <c r="U2220" s="1">
        <v>457</v>
      </c>
      <c r="V2220">
        <f t="shared" si="136"/>
        <v>0.29554624445220562</v>
      </c>
      <c r="W2220" s="1">
        <f t="shared" si="137"/>
        <v>12.5</v>
      </c>
      <c r="X2220">
        <f t="shared" si="138"/>
        <v>1.2179816589999999</v>
      </c>
      <c r="Y2220">
        <f t="shared" si="139"/>
        <v>107.89999999999999</v>
      </c>
      <c r="Z2220" s="1">
        <v>3</v>
      </c>
      <c r="AA2220">
        <v>97</v>
      </c>
      <c r="AB2220">
        <v>3.09E-2</v>
      </c>
      <c r="AC2220">
        <v>4</v>
      </c>
      <c r="AD2220">
        <v>93</v>
      </c>
      <c r="AE2220">
        <v>4.2999999999999997E-2</v>
      </c>
      <c r="AF2220" t="s">
        <v>2591</v>
      </c>
      <c r="AG2220" t="s">
        <v>2590</v>
      </c>
    </row>
    <row r="2221" spans="1:33">
      <c r="A2221" s="2" t="s">
        <v>51</v>
      </c>
      <c r="B2221" s="2" t="s">
        <v>39</v>
      </c>
      <c r="C2221" s="1">
        <v>0.60067161999999996</v>
      </c>
      <c r="D2221">
        <v>0.68094129999999997</v>
      </c>
      <c r="E2221">
        <v>0.73595931299999995</v>
      </c>
      <c r="F2221" s="1" t="s">
        <v>52</v>
      </c>
      <c r="G2221" s="1">
        <v>1.858638743</v>
      </c>
      <c r="H2221" s="1">
        <v>29.4</v>
      </c>
      <c r="I2221" s="1">
        <v>38.200000000000003</v>
      </c>
      <c r="J2221" s="1">
        <v>0.67252407766666666</v>
      </c>
      <c r="K2221" s="1">
        <v>0.60811616199999996</v>
      </c>
      <c r="L2221" s="1">
        <v>0.721105683</v>
      </c>
      <c r="M2221" s="3">
        <v>0.741016169</v>
      </c>
      <c r="N2221" s="1" t="s">
        <v>40</v>
      </c>
      <c r="O2221" s="1">
        <v>1.0601915180000001</v>
      </c>
      <c r="P2221" s="1">
        <v>34</v>
      </c>
      <c r="Q2221" s="1">
        <v>73.099999999999994</v>
      </c>
      <c r="R2221" s="1">
        <v>0.69007933799999999</v>
      </c>
      <c r="S2221" s="1">
        <v>4.1160304420220117E-2</v>
      </c>
      <c r="T2221" t="s">
        <v>2368</v>
      </c>
      <c r="U2221" s="1">
        <v>371</v>
      </c>
      <c r="V2221">
        <f t="shared" si="136"/>
        <v>0.28548598995722735</v>
      </c>
      <c r="W2221" s="1">
        <f t="shared" si="137"/>
        <v>4.6000000000000014</v>
      </c>
      <c r="X2221">
        <f t="shared" si="138"/>
        <v>0.79844722499999987</v>
      </c>
      <c r="Y2221">
        <f t="shared" si="139"/>
        <v>34.899999999999991</v>
      </c>
      <c r="Z2221" s="1">
        <v>3</v>
      </c>
      <c r="AA2221">
        <v>97</v>
      </c>
      <c r="AB2221">
        <v>3.09E-2</v>
      </c>
      <c r="AC2221">
        <v>4</v>
      </c>
      <c r="AD2221">
        <v>96</v>
      </c>
      <c r="AE2221">
        <v>4.1700000000000001E-2</v>
      </c>
      <c r="AF2221" t="s">
        <v>2591</v>
      </c>
      <c r="AG2221" t="s">
        <v>2589</v>
      </c>
    </row>
    <row r="2222" spans="1:33">
      <c r="A2222" s="2" t="s">
        <v>51</v>
      </c>
      <c r="B2222" s="2" t="s">
        <v>41</v>
      </c>
      <c r="C2222" s="1">
        <v>0.60067161999999996</v>
      </c>
      <c r="D2222">
        <v>0.68094129999999997</v>
      </c>
      <c r="E2222">
        <v>0.73595931299999995</v>
      </c>
      <c r="F2222" s="1" t="s">
        <v>52</v>
      </c>
      <c r="G2222" s="1">
        <v>1.858638743</v>
      </c>
      <c r="H2222" s="1">
        <v>29.4</v>
      </c>
      <c r="I2222" s="1">
        <v>38.200000000000003</v>
      </c>
      <c r="J2222" s="1">
        <v>0.67252407766666666</v>
      </c>
      <c r="K2222" s="1">
        <v>0.60402244999999999</v>
      </c>
      <c r="L2222" s="1">
        <v>0.669189213</v>
      </c>
      <c r="M2222" s="3">
        <v>0.69821693799999995</v>
      </c>
      <c r="N2222" s="1" t="s">
        <v>42</v>
      </c>
      <c r="O2222" s="1">
        <v>1.3243902439999999</v>
      </c>
      <c r="P2222" s="1">
        <v>23</v>
      </c>
      <c r="Q2222" s="1">
        <v>41</v>
      </c>
      <c r="R2222" s="1">
        <v>0.65714286700000002</v>
      </c>
      <c r="S2222" s="1">
        <v>3.9671481963560337E-2</v>
      </c>
      <c r="T2222" t="s">
        <v>2369</v>
      </c>
      <c r="U2222" s="1">
        <v>13755</v>
      </c>
      <c r="V2222">
        <f t="shared" si="136"/>
        <v>0.45982895496952253</v>
      </c>
      <c r="W2222" s="1">
        <f t="shared" si="137"/>
        <v>6.3999999999999986</v>
      </c>
      <c r="X2222">
        <f t="shared" si="138"/>
        <v>0.53424849900000004</v>
      </c>
      <c r="Y2222">
        <f t="shared" si="139"/>
        <v>2.7999999999999972</v>
      </c>
      <c r="Z2222" s="1">
        <v>28</v>
      </c>
      <c r="AA2222">
        <v>72</v>
      </c>
      <c r="AB2222">
        <v>0.38890000000000002</v>
      </c>
      <c r="AC2222">
        <v>33</v>
      </c>
      <c r="AD2222">
        <v>81</v>
      </c>
      <c r="AE2222">
        <v>0.40739999999999998</v>
      </c>
      <c r="AF2222" t="s">
        <v>2591</v>
      </c>
      <c r="AG2222" t="s">
        <v>2591</v>
      </c>
    </row>
    <row r="2223" spans="1:33">
      <c r="A2223" s="2" t="s">
        <v>51</v>
      </c>
      <c r="B2223" s="2" t="s">
        <v>43</v>
      </c>
      <c r="C2223" s="1">
        <v>0.60067161999999996</v>
      </c>
      <c r="D2223">
        <v>0.68094129999999997</v>
      </c>
      <c r="E2223">
        <v>0.73595931299999995</v>
      </c>
      <c r="F2223" s="1" t="s">
        <v>52</v>
      </c>
      <c r="G2223" s="1">
        <v>1.858638743</v>
      </c>
      <c r="H2223" s="1">
        <v>29.4</v>
      </c>
      <c r="I2223" s="1">
        <v>38.200000000000003</v>
      </c>
      <c r="J2223" s="1">
        <v>0.67252407766666666</v>
      </c>
      <c r="K2223" s="1">
        <v>0.54180634699999997</v>
      </c>
      <c r="L2223" s="1">
        <v>0.59470779900000004</v>
      </c>
      <c r="M2223" s="3">
        <v>0.69518155599999998</v>
      </c>
      <c r="N2223" s="1" t="s">
        <v>44</v>
      </c>
      <c r="O2223" s="1">
        <v>1.7403685090000001</v>
      </c>
      <c r="P2223" s="1">
        <v>41.2</v>
      </c>
      <c r="Q2223" s="1">
        <v>59.7</v>
      </c>
      <c r="R2223" s="1">
        <v>0.61056523400000007</v>
      </c>
      <c r="S2223" s="1">
        <v>0.1120899751361939</v>
      </c>
      <c r="T2223" t="s">
        <v>2370</v>
      </c>
      <c r="U2223" s="1">
        <v>2330</v>
      </c>
      <c r="V2223">
        <f t="shared" si="136"/>
        <v>0.37415065789177987</v>
      </c>
      <c r="W2223" s="1">
        <f t="shared" si="137"/>
        <v>11.800000000000004</v>
      </c>
      <c r="X2223">
        <f t="shared" si="138"/>
        <v>0.11827023399999992</v>
      </c>
      <c r="Y2223">
        <f t="shared" si="139"/>
        <v>21.5</v>
      </c>
      <c r="Z2223" s="1">
        <v>6</v>
      </c>
      <c r="AA2223">
        <v>94</v>
      </c>
      <c r="AB2223">
        <v>6.3799999999999996E-2</v>
      </c>
      <c r="AC2223">
        <v>6</v>
      </c>
      <c r="AD2223">
        <v>130</v>
      </c>
      <c r="AE2223">
        <v>4.6199999999999998E-2</v>
      </c>
      <c r="AF2223" t="s">
        <v>2591</v>
      </c>
      <c r="AG2223" t="s">
        <v>2589</v>
      </c>
    </row>
    <row r="2224" spans="1:33">
      <c r="A2224" s="2" t="s">
        <v>51</v>
      </c>
      <c r="B2224" s="2" t="s">
        <v>45</v>
      </c>
      <c r="C2224" s="1">
        <v>0.60067161999999996</v>
      </c>
      <c r="D2224">
        <v>0.68094129999999997</v>
      </c>
      <c r="E2224">
        <v>0.73595931299999995</v>
      </c>
      <c r="F2224" s="1" t="s">
        <v>52</v>
      </c>
      <c r="G2224" s="1">
        <v>1.858638743</v>
      </c>
      <c r="H2224" s="1">
        <v>29.4</v>
      </c>
      <c r="I2224" s="1">
        <v>38.200000000000003</v>
      </c>
      <c r="J2224" s="1">
        <v>0.67252407766666666</v>
      </c>
      <c r="K2224" s="1">
        <v>0.50907007599999998</v>
      </c>
      <c r="L2224" s="1">
        <v>0.68428041399999995</v>
      </c>
      <c r="M2224" s="3">
        <v>0.67454742099999998</v>
      </c>
      <c r="N2224" s="1" t="s">
        <v>46</v>
      </c>
      <c r="O2224" s="1">
        <v>0.98140043799999999</v>
      </c>
      <c r="P2224" s="1">
        <v>38.9</v>
      </c>
      <c r="Q2224" s="1">
        <v>91.4</v>
      </c>
      <c r="R2224" s="1">
        <v>0.62263263699999993</v>
      </c>
      <c r="S2224" s="1">
        <v>0.11033319094682519</v>
      </c>
      <c r="T2224" t="s">
        <v>2371</v>
      </c>
      <c r="U2224" s="1">
        <v>561</v>
      </c>
      <c r="V2224">
        <f t="shared" si="136"/>
        <v>0.30544031791735127</v>
      </c>
      <c r="W2224" s="1">
        <f t="shared" si="137"/>
        <v>9.5</v>
      </c>
      <c r="X2224">
        <f t="shared" si="138"/>
        <v>0.877238305</v>
      </c>
      <c r="Y2224">
        <f t="shared" si="139"/>
        <v>53.2</v>
      </c>
      <c r="Z2224" s="1">
        <v>3</v>
      </c>
      <c r="AA2224">
        <v>97</v>
      </c>
      <c r="AB2224">
        <v>3.09E-2</v>
      </c>
      <c r="AC2224">
        <v>4</v>
      </c>
      <c r="AD2224">
        <v>112</v>
      </c>
      <c r="AE2224">
        <v>3.5700000000000003E-2</v>
      </c>
      <c r="AF2224" t="s">
        <v>2591</v>
      </c>
      <c r="AG2224" t="s">
        <v>2589</v>
      </c>
    </row>
    <row r="2225" spans="1:33">
      <c r="A2225" s="2" t="s">
        <v>51</v>
      </c>
      <c r="B2225" s="2" t="s">
        <v>47</v>
      </c>
      <c r="C2225" s="1">
        <v>0.60067161999999996</v>
      </c>
      <c r="D2225">
        <v>0.68094129999999997</v>
      </c>
      <c r="E2225">
        <v>0.73595931299999995</v>
      </c>
      <c r="F2225" s="1" t="s">
        <v>52</v>
      </c>
      <c r="G2225" s="1">
        <v>1.858638743</v>
      </c>
      <c r="H2225" s="1">
        <v>29.4</v>
      </c>
      <c r="I2225" s="1">
        <v>38.200000000000003</v>
      </c>
      <c r="J2225" s="1">
        <v>0.67252407766666666</v>
      </c>
      <c r="K2225" s="1">
        <v>0.50612154099999995</v>
      </c>
      <c r="L2225" s="1">
        <v>0.55940039100000005</v>
      </c>
      <c r="M2225" s="3">
        <v>0.66789001699999995</v>
      </c>
      <c r="N2225" s="1" t="s">
        <v>48</v>
      </c>
      <c r="O2225" s="1">
        <v>1.242622951</v>
      </c>
      <c r="P2225" s="1">
        <v>17.8</v>
      </c>
      <c r="Q2225" s="1">
        <v>30.5</v>
      </c>
      <c r="R2225" s="1">
        <v>0.57780398300000002</v>
      </c>
      <c r="S2225" s="1">
        <v>0.16836074084354738</v>
      </c>
      <c r="T2225" t="s">
        <v>2372</v>
      </c>
      <c r="U2225" s="1">
        <v>541</v>
      </c>
      <c r="V2225">
        <f t="shared" si="136"/>
        <v>0.30368858501184104</v>
      </c>
      <c r="W2225" s="1">
        <f t="shared" si="137"/>
        <v>11.599999999999998</v>
      </c>
      <c r="X2225">
        <f t="shared" si="138"/>
        <v>0.61601579200000001</v>
      </c>
      <c r="Y2225">
        <f t="shared" si="139"/>
        <v>7.7000000000000028</v>
      </c>
      <c r="Z2225" s="1">
        <v>1</v>
      </c>
      <c r="AA2225">
        <v>99</v>
      </c>
      <c r="AB2225">
        <v>1.01E-2</v>
      </c>
      <c r="AC2225">
        <v>2</v>
      </c>
      <c r="AD2225">
        <v>121</v>
      </c>
      <c r="AE2225">
        <v>1.6500000000000001E-2</v>
      </c>
      <c r="AF2225" t="s">
        <v>2591</v>
      </c>
      <c r="AG2225" t="s">
        <v>2590</v>
      </c>
    </row>
    <row r="2226" spans="1:33">
      <c r="A2226" s="2" t="s">
        <v>51</v>
      </c>
      <c r="B2226" s="2" t="s">
        <v>49</v>
      </c>
      <c r="C2226" s="1">
        <v>0.60067161999999996</v>
      </c>
      <c r="D2226">
        <v>0.68094129999999997</v>
      </c>
      <c r="E2226">
        <v>0.73595931299999995</v>
      </c>
      <c r="F2226" s="1" t="s">
        <v>52</v>
      </c>
      <c r="G2226" s="1">
        <v>1.858638743</v>
      </c>
      <c r="H2226" s="1">
        <v>29.4</v>
      </c>
      <c r="I2226" s="1">
        <v>38.200000000000003</v>
      </c>
      <c r="J2226" s="1">
        <v>0.67252407766666666</v>
      </c>
      <c r="K2226" s="1">
        <v>0.50647110500000003</v>
      </c>
      <c r="L2226" s="1">
        <v>0.55713136799999996</v>
      </c>
      <c r="M2226" s="3">
        <v>0.63402682300000002</v>
      </c>
      <c r="N2226" s="1" t="s">
        <v>50</v>
      </c>
      <c r="O2226" s="1">
        <v>1.876675603</v>
      </c>
      <c r="P2226" s="1">
        <v>28.8</v>
      </c>
      <c r="Q2226" s="1">
        <v>37.299999999999997</v>
      </c>
      <c r="R2226" s="1">
        <v>0.56587643200000004</v>
      </c>
      <c r="S2226" s="1">
        <v>0.1859915826205851</v>
      </c>
      <c r="T2226" t="s">
        <v>2373</v>
      </c>
      <c r="U2226" s="1">
        <v>890</v>
      </c>
      <c r="V2226">
        <f t="shared" si="136"/>
        <v>0.32771000073832363</v>
      </c>
      <c r="W2226" s="1">
        <f t="shared" si="137"/>
        <v>0.59999999999999787</v>
      </c>
      <c r="X2226">
        <f t="shared" si="138"/>
        <v>1.8036860000000043E-2</v>
      </c>
      <c r="Y2226">
        <f t="shared" si="139"/>
        <v>0.90000000000000568</v>
      </c>
      <c r="Z2226" s="1">
        <v>2</v>
      </c>
      <c r="AA2226">
        <v>98</v>
      </c>
      <c r="AB2226">
        <v>2.0400000000000001E-2</v>
      </c>
      <c r="AC2226">
        <v>3</v>
      </c>
      <c r="AD2226">
        <v>94</v>
      </c>
      <c r="AE2226">
        <v>3.1899999999999998E-2</v>
      </c>
      <c r="AF2226" t="s">
        <v>2591</v>
      </c>
      <c r="AG2226" t="s">
        <v>2590</v>
      </c>
    </row>
    <row r="2227" spans="1:33">
      <c r="A2227" s="2" t="s">
        <v>49</v>
      </c>
      <c r="B2227" s="2" t="s">
        <v>10</v>
      </c>
      <c r="C2227" s="1">
        <v>0.50647110500000003</v>
      </c>
      <c r="D2227">
        <v>0.55713136799999996</v>
      </c>
      <c r="E2227">
        <v>0.63402682300000002</v>
      </c>
      <c r="F2227" s="1" t="s">
        <v>50</v>
      </c>
      <c r="G2227" s="1">
        <v>1.876675603</v>
      </c>
      <c r="H2227" s="1">
        <v>28.8</v>
      </c>
      <c r="I2227" s="1">
        <v>37.299999999999997</v>
      </c>
      <c r="J2227" s="1">
        <v>0.56587643200000004</v>
      </c>
      <c r="K2227" s="1">
        <v>0.52456325500000001</v>
      </c>
      <c r="L2227" s="1">
        <v>0.61925627999999999</v>
      </c>
      <c r="M2227" s="3">
        <v>0.72111139899999999</v>
      </c>
      <c r="N2227" s="1" t="s">
        <v>12</v>
      </c>
      <c r="O2227" s="1">
        <v>0.61690647499999995</v>
      </c>
      <c r="P2227" s="1">
        <v>30</v>
      </c>
      <c r="Q2227" s="1">
        <v>111.2</v>
      </c>
      <c r="R2227" s="1">
        <v>0.62164364466666666</v>
      </c>
      <c r="S2227" s="1">
        <v>0.10849218386469146</v>
      </c>
      <c r="T2227" t="s">
        <v>2374</v>
      </c>
      <c r="U2227" s="1">
        <v>334</v>
      </c>
      <c r="V2227">
        <f t="shared" si="136"/>
        <v>0.28041627409017383</v>
      </c>
      <c r="W2227" s="1">
        <f t="shared" si="137"/>
        <v>1.1999999999999993</v>
      </c>
      <c r="X2227">
        <f t="shared" si="138"/>
        <v>1.2597691280000001</v>
      </c>
      <c r="Y2227">
        <f t="shared" si="139"/>
        <v>73.900000000000006</v>
      </c>
      <c r="Z2227" s="1">
        <v>3</v>
      </c>
      <c r="AA2227">
        <v>97</v>
      </c>
      <c r="AB2227">
        <v>3.09E-2</v>
      </c>
      <c r="AC2227">
        <v>5</v>
      </c>
      <c r="AD2227">
        <v>146</v>
      </c>
      <c r="AE2227">
        <v>3.4200000000000001E-2</v>
      </c>
      <c r="AF2227" t="s">
        <v>2590</v>
      </c>
      <c r="AG2227" t="s">
        <v>2588</v>
      </c>
    </row>
    <row r="2228" spans="1:33">
      <c r="A2228" s="2" t="s">
        <v>49</v>
      </c>
      <c r="B2228" s="2" t="s">
        <v>13</v>
      </c>
      <c r="C2228" s="1">
        <v>0.50647110500000003</v>
      </c>
      <c r="D2228">
        <v>0.55713136799999996</v>
      </c>
      <c r="E2228">
        <v>0.63402682300000002</v>
      </c>
      <c r="F2228" s="1" t="s">
        <v>50</v>
      </c>
      <c r="G2228" s="1">
        <v>1.876675603</v>
      </c>
      <c r="H2228" s="1">
        <v>28.8</v>
      </c>
      <c r="I2228" s="1">
        <v>37.299999999999997</v>
      </c>
      <c r="J2228" s="1">
        <v>0.56587643200000004</v>
      </c>
      <c r="K2228" s="1">
        <v>0.48695497399999998</v>
      </c>
      <c r="L2228" s="1">
        <v>0.54991327199999995</v>
      </c>
      <c r="M2228" s="3">
        <v>0.67282609299999996</v>
      </c>
      <c r="N2228" s="1" t="s">
        <v>14</v>
      </c>
      <c r="O2228" s="1">
        <v>1.6052009460000001</v>
      </c>
      <c r="P2228" s="1">
        <v>26.6</v>
      </c>
      <c r="Q2228" s="1">
        <v>42.3</v>
      </c>
      <c r="R2228" s="1">
        <v>0.56989811299999993</v>
      </c>
      <c r="S2228" s="1">
        <v>4.4026851257014443E-2</v>
      </c>
      <c r="T2228" t="s">
        <v>2375</v>
      </c>
      <c r="U2228" s="1">
        <v>1120</v>
      </c>
      <c r="V2228">
        <f t="shared" si="136"/>
        <v>0.33880200251890907</v>
      </c>
      <c r="W2228" s="1">
        <f t="shared" si="137"/>
        <v>2.1999999999999993</v>
      </c>
      <c r="X2228">
        <f t="shared" si="138"/>
        <v>0.27147465699999995</v>
      </c>
      <c r="Y2228">
        <f t="shared" si="139"/>
        <v>5</v>
      </c>
      <c r="Z2228" s="1">
        <v>1</v>
      </c>
      <c r="AA2228">
        <v>99</v>
      </c>
      <c r="AB2228">
        <v>1.01E-2</v>
      </c>
      <c r="AC2228">
        <v>2</v>
      </c>
      <c r="AD2228">
        <v>96</v>
      </c>
      <c r="AE2228">
        <v>2.0799999999999999E-2</v>
      </c>
      <c r="AF2228" t="s">
        <v>2590</v>
      </c>
      <c r="AG2228" t="s">
        <v>2590</v>
      </c>
    </row>
    <row r="2229" spans="1:33">
      <c r="A2229" s="2" t="s">
        <v>49</v>
      </c>
      <c r="B2229" s="2" t="s">
        <v>15</v>
      </c>
      <c r="C2229" s="1">
        <v>0.50647110500000003</v>
      </c>
      <c r="D2229">
        <v>0.55713136799999996</v>
      </c>
      <c r="E2229">
        <v>0.63402682300000002</v>
      </c>
      <c r="F2229" s="1" t="s">
        <v>50</v>
      </c>
      <c r="G2229" s="1">
        <v>1.876675603</v>
      </c>
      <c r="H2229" s="1">
        <v>28.8</v>
      </c>
      <c r="I2229" s="1">
        <v>37.299999999999997</v>
      </c>
      <c r="J2229" s="1">
        <v>0.56587643200000004</v>
      </c>
      <c r="K2229" s="1">
        <v>0.54560998800000005</v>
      </c>
      <c r="L2229" s="1">
        <v>0.66721428400000005</v>
      </c>
      <c r="M2229" s="3">
        <v>0.72650398400000005</v>
      </c>
      <c r="N2229" s="1" t="s">
        <v>16</v>
      </c>
      <c r="O2229" s="1">
        <v>5.1392405060000002</v>
      </c>
      <c r="P2229" s="1">
        <v>35.9</v>
      </c>
      <c r="Q2229" s="1">
        <v>15.8</v>
      </c>
      <c r="R2229" s="1">
        <v>0.64644275200000012</v>
      </c>
      <c r="S2229" s="1">
        <v>0.14900377801978945</v>
      </c>
      <c r="T2229" t="s">
        <v>2376</v>
      </c>
      <c r="U2229" s="1">
        <v>821</v>
      </c>
      <c r="V2229">
        <f t="shared" si="136"/>
        <v>0.32381590634660451</v>
      </c>
      <c r="W2229" s="1">
        <f t="shared" si="137"/>
        <v>7.0999999999999979</v>
      </c>
      <c r="X2229">
        <f t="shared" si="138"/>
        <v>3.2625649030000003</v>
      </c>
      <c r="Y2229">
        <f t="shared" si="139"/>
        <v>21.499999999999996</v>
      </c>
      <c r="Z2229" s="1">
        <v>0</v>
      </c>
      <c r="AA2229">
        <v>100</v>
      </c>
      <c r="AB2229">
        <v>0</v>
      </c>
      <c r="AC2229">
        <v>0</v>
      </c>
      <c r="AD2229">
        <v>94</v>
      </c>
      <c r="AE2229">
        <v>0</v>
      </c>
      <c r="AF2229" t="s">
        <v>2590</v>
      </c>
      <c r="AG2229" t="s">
        <v>2591</v>
      </c>
    </row>
    <row r="2230" spans="1:33">
      <c r="A2230" s="2" t="s">
        <v>49</v>
      </c>
      <c r="B2230" s="2" t="s">
        <v>17</v>
      </c>
      <c r="C2230" s="1">
        <v>0.50647110500000003</v>
      </c>
      <c r="D2230">
        <v>0.55713136799999996</v>
      </c>
      <c r="E2230">
        <v>0.63402682300000002</v>
      </c>
      <c r="F2230" s="1" t="s">
        <v>50</v>
      </c>
      <c r="G2230" s="1">
        <v>1.876675603</v>
      </c>
      <c r="H2230" s="1">
        <v>28.8</v>
      </c>
      <c r="I2230" s="1">
        <v>37.299999999999997</v>
      </c>
      <c r="J2230" s="1">
        <v>0.56587643200000004</v>
      </c>
      <c r="K2230" s="1">
        <v>0.659112378</v>
      </c>
      <c r="L2230" s="1">
        <v>0.68333493499999998</v>
      </c>
      <c r="M2230" s="3">
        <v>0.70345495199999997</v>
      </c>
      <c r="N2230" s="1" t="s">
        <v>18</v>
      </c>
      <c r="O2230" s="1">
        <v>1.9463955639999999</v>
      </c>
      <c r="P2230" s="1">
        <v>46.3</v>
      </c>
      <c r="Q2230" s="1">
        <v>54.1</v>
      </c>
      <c r="R2230" s="1">
        <v>0.68196742166666668</v>
      </c>
      <c r="S2230" s="1">
        <v>0.20987368497032838</v>
      </c>
      <c r="T2230" t="s">
        <v>2377</v>
      </c>
      <c r="U2230" s="1">
        <v>396</v>
      </c>
      <c r="V2230">
        <f t="shared" si="136"/>
        <v>0.28863279843616801</v>
      </c>
      <c r="W2230" s="1">
        <f t="shared" si="137"/>
        <v>17.499999999999996</v>
      </c>
      <c r="X2230">
        <f t="shared" si="138"/>
        <v>6.9719960999999886E-2</v>
      </c>
      <c r="Y2230">
        <f t="shared" si="139"/>
        <v>16.800000000000004</v>
      </c>
      <c r="Z2230" s="1">
        <v>0</v>
      </c>
      <c r="AA2230">
        <v>100</v>
      </c>
      <c r="AB2230">
        <v>0</v>
      </c>
      <c r="AC2230">
        <v>0</v>
      </c>
      <c r="AD2230">
        <v>108</v>
      </c>
      <c r="AE2230">
        <v>0</v>
      </c>
      <c r="AF2230" t="s">
        <v>2590</v>
      </c>
      <c r="AG2230" t="s">
        <v>2591</v>
      </c>
    </row>
    <row r="2231" spans="1:33">
      <c r="A2231" s="2" t="s">
        <v>49</v>
      </c>
      <c r="B2231" s="2" t="s">
        <v>19</v>
      </c>
      <c r="C2231" s="1">
        <v>0.50647110500000003</v>
      </c>
      <c r="D2231">
        <v>0.55713136799999996</v>
      </c>
      <c r="E2231">
        <v>0.63402682300000002</v>
      </c>
      <c r="F2231" s="1" t="s">
        <v>50</v>
      </c>
      <c r="G2231" s="1">
        <v>1.876675603</v>
      </c>
      <c r="H2231" s="1">
        <v>28.8</v>
      </c>
      <c r="I2231" s="1">
        <v>37.299999999999997</v>
      </c>
      <c r="J2231" s="1">
        <v>0.56587643200000004</v>
      </c>
      <c r="K2231" s="1">
        <v>0.49391595300000002</v>
      </c>
      <c r="L2231" s="1">
        <v>0.603599314</v>
      </c>
      <c r="M2231" s="3">
        <v>0.63481471599999995</v>
      </c>
      <c r="N2231" s="1" t="s">
        <v>20</v>
      </c>
      <c r="O2231" s="1">
        <v>1.2140902870000001</v>
      </c>
      <c r="P2231" s="1">
        <v>64.900000000000006</v>
      </c>
      <c r="Q2231" s="1">
        <v>146.19999999999999</v>
      </c>
      <c r="R2231" s="1">
        <v>0.57744332766666662</v>
      </c>
      <c r="S2231" s="1">
        <v>4.8140654571593354E-2</v>
      </c>
      <c r="T2231" t="s">
        <v>2378</v>
      </c>
      <c r="U2231" s="1">
        <v>4396</v>
      </c>
      <c r="V2231">
        <f t="shared" si="136"/>
        <v>0.40478418708349478</v>
      </c>
      <c r="W2231" s="1">
        <f t="shared" si="137"/>
        <v>36.100000000000009</v>
      </c>
      <c r="X2231">
        <f t="shared" si="138"/>
        <v>0.66258531599999992</v>
      </c>
      <c r="Y2231">
        <f t="shared" si="139"/>
        <v>108.89999999999999</v>
      </c>
      <c r="Z2231" s="1">
        <v>5</v>
      </c>
      <c r="AA2231">
        <v>95</v>
      </c>
      <c r="AB2231">
        <v>5.2600000000000001E-2</v>
      </c>
      <c r="AC2231">
        <v>7</v>
      </c>
      <c r="AD2231">
        <v>81</v>
      </c>
      <c r="AE2231">
        <v>8.6400000000000005E-2</v>
      </c>
      <c r="AF2231" t="s">
        <v>2590</v>
      </c>
      <c r="AG2231" t="s">
        <v>2593</v>
      </c>
    </row>
    <row r="2232" spans="1:33">
      <c r="A2232" s="2" t="s">
        <v>49</v>
      </c>
      <c r="B2232" s="2" t="s">
        <v>21</v>
      </c>
      <c r="C2232" s="1">
        <v>0.50647110500000003</v>
      </c>
      <c r="D2232">
        <v>0.55713136799999996</v>
      </c>
      <c r="E2232">
        <v>0.63402682300000002</v>
      </c>
      <c r="F2232" s="1" t="s">
        <v>50</v>
      </c>
      <c r="G2232" s="1">
        <v>1.876675603</v>
      </c>
      <c r="H2232" s="1">
        <v>28.8</v>
      </c>
      <c r="I2232" s="1">
        <v>37.299999999999997</v>
      </c>
      <c r="J2232" s="1">
        <v>0.56587643200000004</v>
      </c>
      <c r="K2232" s="1">
        <v>0.53276376800000003</v>
      </c>
      <c r="L2232" s="1">
        <v>0.65428149899999999</v>
      </c>
      <c r="M2232" s="3">
        <v>0.70160154799999996</v>
      </c>
      <c r="N2232" s="1" t="s">
        <v>22</v>
      </c>
      <c r="O2232" s="1">
        <v>1.2440604749999999</v>
      </c>
      <c r="P2232" s="1">
        <v>24.6</v>
      </c>
      <c r="Q2232" s="1">
        <v>46.3</v>
      </c>
      <c r="R2232" s="1">
        <v>0.62954893833333336</v>
      </c>
      <c r="S2232" s="1">
        <v>0.12122621638809962</v>
      </c>
      <c r="T2232" t="s">
        <v>2379</v>
      </c>
      <c r="U2232" s="1">
        <v>309</v>
      </c>
      <c r="V2232">
        <f t="shared" si="136"/>
        <v>0.27666205326942606</v>
      </c>
      <c r="W2232" s="1">
        <f t="shared" si="137"/>
        <v>4.1999999999999993</v>
      </c>
      <c r="X2232">
        <f t="shared" si="138"/>
        <v>0.63261512800000008</v>
      </c>
      <c r="Y2232">
        <f t="shared" si="139"/>
        <v>9</v>
      </c>
      <c r="Z2232" s="1">
        <v>2</v>
      </c>
      <c r="AA2232">
        <v>98</v>
      </c>
      <c r="AB2232">
        <v>2.0400000000000001E-2</v>
      </c>
      <c r="AC2232">
        <v>3</v>
      </c>
      <c r="AD2232">
        <v>91</v>
      </c>
      <c r="AE2232">
        <v>3.3000000000000002E-2</v>
      </c>
      <c r="AF2232" t="s">
        <v>2590</v>
      </c>
      <c r="AG2232" t="s">
        <v>2589</v>
      </c>
    </row>
    <row r="2233" spans="1:33">
      <c r="A2233" s="2" t="s">
        <v>49</v>
      </c>
      <c r="B2233" s="2" t="s">
        <v>23</v>
      </c>
      <c r="C2233" s="1">
        <v>0.50647110500000003</v>
      </c>
      <c r="D2233">
        <v>0.55713136799999996</v>
      </c>
      <c r="E2233">
        <v>0.63402682300000002</v>
      </c>
      <c r="F2233" s="1" t="s">
        <v>50</v>
      </c>
      <c r="G2233" s="1">
        <v>1.876675603</v>
      </c>
      <c r="H2233" s="1">
        <v>28.8</v>
      </c>
      <c r="I2233" s="1">
        <v>37.299999999999997</v>
      </c>
      <c r="J2233" s="1">
        <v>0.56587643200000004</v>
      </c>
      <c r="K2233" s="1">
        <v>0.49415677200000002</v>
      </c>
      <c r="L2233" s="1">
        <v>0.62090818999999997</v>
      </c>
      <c r="M2233" s="3">
        <v>0.63381026900000004</v>
      </c>
      <c r="N2233" s="1" t="s">
        <v>24</v>
      </c>
      <c r="O2233" s="1">
        <v>1.141304348</v>
      </c>
      <c r="P2233" s="1">
        <v>44.4</v>
      </c>
      <c r="Q2233" s="1">
        <v>101.2</v>
      </c>
      <c r="R2233" s="1">
        <v>0.58295841033333329</v>
      </c>
      <c r="S2233" s="1">
        <v>6.4955159281534294E-2</v>
      </c>
      <c r="T2233" t="s">
        <v>2380</v>
      </c>
      <c r="U2233" s="1">
        <v>13505</v>
      </c>
      <c r="V2233">
        <f t="shared" si="136"/>
        <v>0.45894384316927439</v>
      </c>
      <c r="W2233" s="1">
        <f t="shared" si="137"/>
        <v>15.599999999999998</v>
      </c>
      <c r="X2233">
        <f t="shared" si="138"/>
        <v>0.735371255</v>
      </c>
      <c r="Y2233">
        <f t="shared" si="139"/>
        <v>63.900000000000006</v>
      </c>
      <c r="Z2233" s="1">
        <v>6</v>
      </c>
      <c r="AA2233">
        <v>94</v>
      </c>
      <c r="AB2233">
        <v>6.3799999999999996E-2</v>
      </c>
      <c r="AC2233">
        <v>8</v>
      </c>
      <c r="AD2233">
        <v>82</v>
      </c>
      <c r="AE2233">
        <v>9.7600000000000006E-2</v>
      </c>
      <c r="AF2233" t="s">
        <v>2590</v>
      </c>
      <c r="AG2233" t="s">
        <v>2590</v>
      </c>
    </row>
    <row r="2234" spans="1:33">
      <c r="A2234" s="2" t="s">
        <v>49</v>
      </c>
      <c r="B2234" s="2" t="s">
        <v>25</v>
      </c>
      <c r="C2234" s="1">
        <v>0.50647110500000003</v>
      </c>
      <c r="D2234">
        <v>0.55713136799999996</v>
      </c>
      <c r="E2234">
        <v>0.63402682300000002</v>
      </c>
      <c r="F2234" s="1" t="s">
        <v>50</v>
      </c>
      <c r="G2234" s="1">
        <v>1.876675603</v>
      </c>
      <c r="H2234" s="1">
        <v>28.8</v>
      </c>
      <c r="I2234" s="1">
        <v>37.299999999999997</v>
      </c>
      <c r="J2234" s="1">
        <v>0.56587643200000004</v>
      </c>
      <c r="K2234" s="1">
        <v>0.53959274199999996</v>
      </c>
      <c r="L2234" s="1">
        <v>0.64971567399999997</v>
      </c>
      <c r="M2234" s="3">
        <v>0.65028459999999999</v>
      </c>
      <c r="N2234" s="1" t="s">
        <v>26</v>
      </c>
      <c r="O2234" s="1">
        <v>1.623046875</v>
      </c>
      <c r="P2234" s="1">
        <v>34.700000000000003</v>
      </c>
      <c r="Q2234" s="1">
        <v>51.2</v>
      </c>
      <c r="R2234" s="1">
        <v>0.61319767199999997</v>
      </c>
      <c r="S2234" s="1">
        <v>9.9665499888592995E-2</v>
      </c>
      <c r="T2234" t="s">
        <v>2381</v>
      </c>
      <c r="U2234" s="1">
        <v>613</v>
      </c>
      <c r="V2234">
        <f t="shared" si="136"/>
        <v>0.3097178305020461</v>
      </c>
      <c r="W2234" s="1">
        <f t="shared" si="137"/>
        <v>5.9000000000000021</v>
      </c>
      <c r="X2234">
        <f t="shared" si="138"/>
        <v>0.25362872800000003</v>
      </c>
      <c r="Y2234">
        <f t="shared" si="139"/>
        <v>13.900000000000006</v>
      </c>
      <c r="Z2234" s="1">
        <v>0</v>
      </c>
      <c r="AA2234">
        <v>100</v>
      </c>
      <c r="AB2234">
        <v>0</v>
      </c>
      <c r="AC2234">
        <v>0</v>
      </c>
      <c r="AD2234">
        <v>92</v>
      </c>
      <c r="AE2234">
        <v>0</v>
      </c>
      <c r="AF2234" t="s">
        <v>2590</v>
      </c>
      <c r="AG2234" t="s">
        <v>2594</v>
      </c>
    </row>
    <row r="2235" spans="1:33">
      <c r="A2235" s="2" t="s">
        <v>49</v>
      </c>
      <c r="B2235" s="2" t="s">
        <v>27</v>
      </c>
      <c r="C2235" s="1">
        <v>0.50647110500000003</v>
      </c>
      <c r="D2235">
        <v>0.55713136799999996</v>
      </c>
      <c r="E2235">
        <v>0.63402682300000002</v>
      </c>
      <c r="F2235" s="1" t="s">
        <v>50</v>
      </c>
      <c r="G2235" s="1">
        <v>1.876675603</v>
      </c>
      <c r="H2235" s="1">
        <v>28.8</v>
      </c>
      <c r="I2235" s="1">
        <v>37.299999999999997</v>
      </c>
      <c r="J2235" s="1">
        <v>0.56587643200000004</v>
      </c>
      <c r="K2235" s="1">
        <v>0.518608662</v>
      </c>
      <c r="L2235" s="1">
        <v>0.64320369700000002</v>
      </c>
      <c r="M2235" s="3">
        <v>0.62228994199999998</v>
      </c>
      <c r="N2235" s="1" t="s">
        <v>28</v>
      </c>
      <c r="O2235" s="1">
        <v>1.8717391299999999</v>
      </c>
      <c r="P2235" s="1">
        <v>33.700000000000003</v>
      </c>
      <c r="Q2235" s="1">
        <v>46</v>
      </c>
      <c r="R2235" s="1">
        <v>0.59470076699999996</v>
      </c>
      <c r="S2235" s="1">
        <v>8.7712715640439851E-2</v>
      </c>
      <c r="T2235" t="s">
        <v>2382</v>
      </c>
      <c r="U2235" s="1">
        <v>1677</v>
      </c>
      <c r="V2235">
        <f t="shared" si="136"/>
        <v>0.35828145140067619</v>
      </c>
      <c r="W2235" s="1">
        <f t="shared" si="137"/>
        <v>4.9000000000000021</v>
      </c>
      <c r="X2235">
        <f t="shared" si="138"/>
        <v>4.9364730000001078E-3</v>
      </c>
      <c r="Y2235">
        <f t="shared" si="139"/>
        <v>8.7000000000000028</v>
      </c>
      <c r="Z2235" s="1">
        <v>4</v>
      </c>
      <c r="AA2235">
        <v>96</v>
      </c>
      <c r="AB2235">
        <v>4.1700000000000001E-2</v>
      </c>
      <c r="AC2235">
        <v>5</v>
      </c>
      <c r="AD2235">
        <v>94</v>
      </c>
      <c r="AE2235">
        <v>5.3199999999999997E-2</v>
      </c>
      <c r="AF2235" t="s">
        <v>2590</v>
      </c>
      <c r="AG2235" t="s">
        <v>2590</v>
      </c>
    </row>
    <row r="2236" spans="1:33">
      <c r="A2236" s="2" t="s">
        <v>49</v>
      </c>
      <c r="B2236" s="2" t="s">
        <v>29</v>
      </c>
      <c r="C2236" s="1">
        <v>0.50647110500000003</v>
      </c>
      <c r="D2236">
        <v>0.55713136799999996</v>
      </c>
      <c r="E2236">
        <v>0.63402682300000002</v>
      </c>
      <c r="F2236" s="1" t="s">
        <v>50</v>
      </c>
      <c r="G2236" s="1">
        <v>1.876675603</v>
      </c>
      <c r="H2236" s="1">
        <v>28.8</v>
      </c>
      <c r="I2236" s="1">
        <v>37.299999999999997</v>
      </c>
      <c r="J2236" s="1">
        <v>0.56587643200000004</v>
      </c>
      <c r="K2236" s="1">
        <v>0.59351545100000003</v>
      </c>
      <c r="L2236" s="1">
        <v>0.68136602400000001</v>
      </c>
      <c r="M2236" s="3">
        <v>0.73518087600000004</v>
      </c>
      <c r="N2236" s="1" t="s">
        <v>30</v>
      </c>
      <c r="O2236" s="1">
        <v>2.849112426</v>
      </c>
      <c r="P2236" s="1">
        <v>37.9</v>
      </c>
      <c r="Q2236" s="1">
        <v>33.799999999999997</v>
      </c>
      <c r="R2236" s="1">
        <v>0.67002078366666673</v>
      </c>
      <c r="S2236" s="1">
        <v>0.1823269326247027</v>
      </c>
      <c r="T2236" t="s">
        <v>2383</v>
      </c>
      <c r="U2236" s="1">
        <v>939</v>
      </c>
      <c r="V2236">
        <f t="shared" si="136"/>
        <v>0.33029617691845675</v>
      </c>
      <c r="W2236" s="1">
        <f t="shared" si="137"/>
        <v>9.0999999999999979</v>
      </c>
      <c r="X2236">
        <f t="shared" si="138"/>
        <v>0.97243682300000001</v>
      </c>
      <c r="Y2236">
        <f t="shared" si="139"/>
        <v>3.5</v>
      </c>
      <c r="Z2236" s="1">
        <v>0</v>
      </c>
      <c r="AA2236">
        <v>100</v>
      </c>
      <c r="AB2236">
        <v>0</v>
      </c>
      <c r="AC2236">
        <v>0</v>
      </c>
      <c r="AD2236">
        <v>88</v>
      </c>
      <c r="AE2236">
        <v>0</v>
      </c>
      <c r="AF2236" t="s">
        <v>2590</v>
      </c>
      <c r="AG2236" t="s">
        <v>2593</v>
      </c>
    </row>
    <row r="2237" spans="1:33">
      <c r="A2237" s="2" t="s">
        <v>49</v>
      </c>
      <c r="B2237" s="2" t="s">
        <v>31</v>
      </c>
      <c r="C2237" s="1">
        <v>0.50647110500000003</v>
      </c>
      <c r="D2237">
        <v>0.55713136799999996</v>
      </c>
      <c r="E2237">
        <v>0.63402682300000002</v>
      </c>
      <c r="F2237" s="1" t="s">
        <v>50</v>
      </c>
      <c r="G2237" s="1">
        <v>1.876675603</v>
      </c>
      <c r="H2237" s="1">
        <v>28.8</v>
      </c>
      <c r="I2237" s="1">
        <v>37.299999999999997</v>
      </c>
      <c r="J2237" s="1">
        <v>0.56587643200000004</v>
      </c>
      <c r="K2237" s="1">
        <v>0.47727961800000002</v>
      </c>
      <c r="L2237" s="1">
        <v>0.66941086400000005</v>
      </c>
      <c r="M2237" s="3">
        <v>0.69294815300000001</v>
      </c>
      <c r="N2237" s="1" t="s">
        <v>32</v>
      </c>
      <c r="O2237" s="1">
        <v>1.341891892</v>
      </c>
      <c r="P2237" s="1">
        <v>42.1</v>
      </c>
      <c r="Q2237" s="1">
        <v>74</v>
      </c>
      <c r="R2237" s="1">
        <v>0.61321287833333338</v>
      </c>
      <c r="S2237" s="1">
        <v>0.13011745180510609</v>
      </c>
      <c r="T2237" t="s">
        <v>2384</v>
      </c>
      <c r="U2237" s="1">
        <v>822</v>
      </c>
      <c r="V2237">
        <f t="shared" si="136"/>
        <v>0.32387464639333896</v>
      </c>
      <c r="W2237" s="1">
        <f t="shared" si="137"/>
        <v>13.3</v>
      </c>
      <c r="X2237">
        <f t="shared" si="138"/>
        <v>0.53478371099999999</v>
      </c>
      <c r="Y2237">
        <f t="shared" si="139"/>
        <v>36.700000000000003</v>
      </c>
      <c r="Z2237" s="1">
        <v>3</v>
      </c>
      <c r="AA2237">
        <v>97</v>
      </c>
      <c r="AB2237">
        <v>3.09E-2</v>
      </c>
      <c r="AC2237">
        <v>4</v>
      </c>
      <c r="AD2237">
        <v>92</v>
      </c>
      <c r="AE2237">
        <v>4.3499999999999997E-2</v>
      </c>
      <c r="AF2237" t="s">
        <v>2590</v>
      </c>
      <c r="AG2237" t="s">
        <v>2589</v>
      </c>
    </row>
    <row r="2238" spans="1:33">
      <c r="A2238" s="2" t="s">
        <v>49</v>
      </c>
      <c r="B2238" s="2" t="s">
        <v>33</v>
      </c>
      <c r="C2238" s="1">
        <v>0.50647110500000003</v>
      </c>
      <c r="D2238">
        <v>0.55713136799999996</v>
      </c>
      <c r="E2238">
        <v>0.63402682300000002</v>
      </c>
      <c r="F2238" s="1" t="s">
        <v>50</v>
      </c>
      <c r="G2238" s="1">
        <v>1.876675603</v>
      </c>
      <c r="H2238" s="1">
        <v>28.8</v>
      </c>
      <c r="I2238" s="1">
        <v>37.299999999999997</v>
      </c>
      <c r="J2238" s="1">
        <v>0.56587643200000004</v>
      </c>
      <c r="K2238" s="1">
        <v>0.51347926600000005</v>
      </c>
      <c r="L2238" s="1">
        <v>0.63144379399999995</v>
      </c>
      <c r="M2238" s="3">
        <v>0.64189093500000005</v>
      </c>
      <c r="N2238" s="1" t="s">
        <v>34</v>
      </c>
      <c r="O2238" s="1">
        <v>2.3123667380000001</v>
      </c>
      <c r="P2238" s="1">
        <v>79.099999999999994</v>
      </c>
      <c r="Q2238" s="1">
        <v>93.8</v>
      </c>
      <c r="R2238" s="1">
        <v>0.59560466500000009</v>
      </c>
      <c r="S2238" s="1">
        <v>7.5055281200965066E-2</v>
      </c>
      <c r="T2238" t="s">
        <v>2385</v>
      </c>
      <c r="U2238" s="1">
        <v>43662</v>
      </c>
      <c r="V2238">
        <f t="shared" si="136"/>
        <v>0.51556706947834396</v>
      </c>
      <c r="W2238" s="1">
        <f t="shared" si="137"/>
        <v>50.3</v>
      </c>
      <c r="X2238">
        <f t="shared" si="138"/>
        <v>0.43569113500000012</v>
      </c>
      <c r="Y2238">
        <f t="shared" si="139"/>
        <v>56.5</v>
      </c>
      <c r="Z2238" s="1">
        <v>7</v>
      </c>
      <c r="AA2238">
        <v>93</v>
      </c>
      <c r="AB2238">
        <v>7.5300000000000006E-2</v>
      </c>
      <c r="AC2238">
        <v>9</v>
      </c>
      <c r="AD2238">
        <v>81</v>
      </c>
      <c r="AE2238">
        <v>0.1111</v>
      </c>
      <c r="AF2238" t="s">
        <v>2590</v>
      </c>
      <c r="AG2238" t="s">
        <v>2590</v>
      </c>
    </row>
    <row r="2239" spans="1:33">
      <c r="A2239" s="2" t="s">
        <v>49</v>
      </c>
      <c r="B2239" s="2" t="s">
        <v>35</v>
      </c>
      <c r="C2239" s="1">
        <v>0.50647110500000003</v>
      </c>
      <c r="D2239">
        <v>0.55713136799999996</v>
      </c>
      <c r="E2239">
        <v>0.63402682300000002</v>
      </c>
      <c r="F2239" s="1" t="s">
        <v>50</v>
      </c>
      <c r="G2239" s="1">
        <v>1.876675603</v>
      </c>
      <c r="H2239" s="1">
        <v>28.8</v>
      </c>
      <c r="I2239" s="1">
        <v>37.299999999999997</v>
      </c>
      <c r="J2239" s="1">
        <v>0.56587643200000004</v>
      </c>
      <c r="K2239" s="1">
        <v>0.52542897600000005</v>
      </c>
      <c r="L2239" s="1">
        <v>0.60774736299999998</v>
      </c>
      <c r="M2239" s="3">
        <v>0.62585751700000003</v>
      </c>
      <c r="N2239" s="1" t="s">
        <v>36</v>
      </c>
      <c r="O2239" s="1">
        <v>0.98848810399999998</v>
      </c>
      <c r="P2239" s="1">
        <v>54.2</v>
      </c>
      <c r="Q2239" s="1">
        <v>130.30000000000001</v>
      </c>
      <c r="R2239" s="1">
        <v>0.58634461866666665</v>
      </c>
      <c r="S2239" s="1">
        <v>5.4663675171125338E-2</v>
      </c>
      <c r="T2239" t="s">
        <v>2386</v>
      </c>
      <c r="U2239" s="1">
        <v>1825</v>
      </c>
      <c r="V2239">
        <f t="shared" si="136"/>
        <v>0.3623625409769437</v>
      </c>
      <c r="W2239" s="1">
        <f t="shared" si="137"/>
        <v>25.400000000000002</v>
      </c>
      <c r="X2239">
        <f t="shared" si="138"/>
        <v>0.88818749900000005</v>
      </c>
      <c r="Y2239">
        <f t="shared" si="139"/>
        <v>93.000000000000014</v>
      </c>
      <c r="Z2239" s="1">
        <v>2</v>
      </c>
      <c r="AA2239">
        <v>98</v>
      </c>
      <c r="AB2239">
        <v>2.0400000000000001E-2</v>
      </c>
      <c r="AC2239">
        <v>3</v>
      </c>
      <c r="AD2239">
        <v>86</v>
      </c>
      <c r="AE2239">
        <v>3.49E-2</v>
      </c>
      <c r="AF2239" t="s">
        <v>2590</v>
      </c>
      <c r="AG2239" t="s">
        <v>2589</v>
      </c>
    </row>
    <row r="2240" spans="1:33">
      <c r="A2240" s="2" t="s">
        <v>49</v>
      </c>
      <c r="B2240" s="2" t="s">
        <v>37</v>
      </c>
      <c r="C2240" s="1">
        <v>0.50647110500000003</v>
      </c>
      <c r="D2240">
        <v>0.55713136799999996</v>
      </c>
      <c r="E2240">
        <v>0.63402682300000002</v>
      </c>
      <c r="F2240" s="1" t="s">
        <v>50</v>
      </c>
      <c r="G2240" s="1">
        <v>1.876675603</v>
      </c>
      <c r="H2240" s="1">
        <v>28.8</v>
      </c>
      <c r="I2240" s="1">
        <v>37.299999999999997</v>
      </c>
      <c r="J2240" s="1">
        <v>0.56587643200000004</v>
      </c>
      <c r="K2240" s="1">
        <v>0.50856695500000004</v>
      </c>
      <c r="L2240" s="1">
        <v>0.654733224</v>
      </c>
      <c r="M2240" s="3">
        <v>0.61418267199999999</v>
      </c>
      <c r="N2240" s="1" t="s">
        <v>38</v>
      </c>
      <c r="O2240" s="1">
        <v>0.64065708399999999</v>
      </c>
      <c r="P2240" s="1">
        <v>41.9</v>
      </c>
      <c r="Q2240" s="1">
        <v>146.1</v>
      </c>
      <c r="R2240" s="1">
        <v>0.59249428366666679</v>
      </c>
      <c r="S2240" s="1">
        <v>9.9620807117680232E-2</v>
      </c>
      <c r="T2240" t="s">
        <v>2387</v>
      </c>
      <c r="U2240" s="1">
        <v>42253</v>
      </c>
      <c r="V2240">
        <f t="shared" si="136"/>
        <v>0.51398417218543846</v>
      </c>
      <c r="W2240" s="1">
        <f t="shared" si="137"/>
        <v>13.099999999999998</v>
      </c>
      <c r="X2240">
        <f t="shared" si="138"/>
        <v>1.2360185189999999</v>
      </c>
      <c r="Y2240">
        <f t="shared" si="139"/>
        <v>108.8</v>
      </c>
      <c r="Z2240" s="1">
        <v>5</v>
      </c>
      <c r="AA2240">
        <v>95</v>
      </c>
      <c r="AB2240">
        <v>5.2600000000000001E-2</v>
      </c>
      <c r="AC2240">
        <v>7</v>
      </c>
      <c r="AD2240">
        <v>81</v>
      </c>
      <c r="AE2240">
        <v>8.6400000000000005E-2</v>
      </c>
      <c r="AF2240" t="s">
        <v>2590</v>
      </c>
      <c r="AG2240" t="s">
        <v>2590</v>
      </c>
    </row>
    <row r="2241" spans="1:33">
      <c r="A2241" s="2" t="s">
        <v>49</v>
      </c>
      <c r="B2241" s="2" t="s">
        <v>39</v>
      </c>
      <c r="C2241" s="1">
        <v>0.50647110500000003</v>
      </c>
      <c r="D2241">
        <v>0.55713136799999996</v>
      </c>
      <c r="E2241">
        <v>0.63402682300000002</v>
      </c>
      <c r="F2241" s="1" t="s">
        <v>50</v>
      </c>
      <c r="G2241" s="1">
        <v>1.876675603</v>
      </c>
      <c r="H2241" s="1">
        <v>28.8</v>
      </c>
      <c r="I2241" s="1">
        <v>37.299999999999997</v>
      </c>
      <c r="J2241" s="1">
        <v>0.56587643200000004</v>
      </c>
      <c r="K2241" s="1">
        <v>0.60811616199999996</v>
      </c>
      <c r="L2241" s="1">
        <v>0.721105683</v>
      </c>
      <c r="M2241" s="3">
        <v>0.741016169</v>
      </c>
      <c r="N2241" s="1" t="s">
        <v>40</v>
      </c>
      <c r="O2241" s="1">
        <v>1.0601915180000001</v>
      </c>
      <c r="P2241" s="1">
        <v>34</v>
      </c>
      <c r="Q2241" s="1">
        <v>73.099999999999994</v>
      </c>
      <c r="R2241" s="1">
        <v>0.69007933799999999</v>
      </c>
      <c r="S2241" s="1">
        <v>0.22060374826770324</v>
      </c>
      <c r="T2241" t="s">
        <v>2388</v>
      </c>
      <c r="U2241" s="1">
        <v>670</v>
      </c>
      <c r="V2241">
        <f t="shared" si="136"/>
        <v>0.31400831141120294</v>
      </c>
      <c r="W2241" s="1">
        <f t="shared" si="137"/>
        <v>5.1999999999999993</v>
      </c>
      <c r="X2241">
        <f t="shared" si="138"/>
        <v>0.81648408499999992</v>
      </c>
      <c r="Y2241">
        <f t="shared" si="139"/>
        <v>35.799999999999997</v>
      </c>
      <c r="Z2241" s="1">
        <v>1</v>
      </c>
      <c r="AA2241">
        <v>99</v>
      </c>
      <c r="AB2241">
        <v>1.01E-2</v>
      </c>
      <c r="AC2241">
        <v>2</v>
      </c>
      <c r="AD2241">
        <v>89</v>
      </c>
      <c r="AE2241">
        <v>2.2499999999999999E-2</v>
      </c>
      <c r="AF2241" t="s">
        <v>2590</v>
      </c>
      <c r="AG2241" t="s">
        <v>2589</v>
      </c>
    </row>
    <row r="2242" spans="1:33">
      <c r="A2242" s="2" t="s">
        <v>49</v>
      </c>
      <c r="B2242" s="2" t="s">
        <v>41</v>
      </c>
      <c r="C2242" s="1">
        <v>0.50647110500000003</v>
      </c>
      <c r="D2242">
        <v>0.55713136799999996</v>
      </c>
      <c r="E2242">
        <v>0.63402682300000002</v>
      </c>
      <c r="F2242" s="1" t="s">
        <v>50</v>
      </c>
      <c r="G2242" s="1">
        <v>1.876675603</v>
      </c>
      <c r="H2242" s="1">
        <v>28.8</v>
      </c>
      <c r="I2242" s="1">
        <v>37.299999999999997</v>
      </c>
      <c r="J2242" s="1">
        <v>0.56587643200000004</v>
      </c>
      <c r="K2242" s="1">
        <v>0.60402244999999999</v>
      </c>
      <c r="L2242" s="1">
        <v>0.669189213</v>
      </c>
      <c r="M2242" s="3">
        <v>0.69821693799999995</v>
      </c>
      <c r="N2242" s="1" t="s">
        <v>42</v>
      </c>
      <c r="O2242" s="1">
        <v>1.3243902439999999</v>
      </c>
      <c r="P2242" s="1">
        <v>23</v>
      </c>
      <c r="Q2242" s="1">
        <v>41</v>
      </c>
      <c r="R2242" s="1">
        <v>0.65714286700000002</v>
      </c>
      <c r="S2242" s="1">
        <v>0.16184435857040638</v>
      </c>
      <c r="T2242" t="s">
        <v>2389</v>
      </c>
      <c r="U2242" s="1">
        <v>904</v>
      </c>
      <c r="V2242">
        <f t="shared" ref="V2242:V2305" si="140">LOG10(U2242) / 9</f>
        <v>0.32846315894170702</v>
      </c>
      <c r="W2242" s="1">
        <f t="shared" ref="W2242:W2305" si="141">ABS(H2242-P2242)</f>
        <v>5.8000000000000007</v>
      </c>
      <c r="X2242">
        <f t="shared" ref="X2242:X2305" si="142">ABS(G2242-O2242)</f>
        <v>0.55228535900000009</v>
      </c>
      <c r="Y2242">
        <f t="shared" ref="Y2242:Y2305" si="143">ABS(I2242-Q2242)</f>
        <v>3.7000000000000028</v>
      </c>
      <c r="Z2242" s="1">
        <v>0</v>
      </c>
      <c r="AA2242">
        <v>100</v>
      </c>
      <c r="AB2242">
        <v>0</v>
      </c>
      <c r="AC2242">
        <v>0</v>
      </c>
      <c r="AD2242">
        <v>105</v>
      </c>
      <c r="AE2242">
        <v>0</v>
      </c>
      <c r="AF2242" t="s">
        <v>2590</v>
      </c>
      <c r="AG2242" t="s">
        <v>2591</v>
      </c>
    </row>
    <row r="2243" spans="1:33">
      <c r="A2243" s="2" t="s">
        <v>49</v>
      </c>
      <c r="B2243" s="2" t="s">
        <v>43</v>
      </c>
      <c r="C2243" s="1">
        <v>0.50647110500000003</v>
      </c>
      <c r="D2243">
        <v>0.55713136799999996</v>
      </c>
      <c r="E2243">
        <v>0.63402682300000002</v>
      </c>
      <c r="F2243" s="1" t="s">
        <v>50</v>
      </c>
      <c r="G2243" s="1">
        <v>1.876675603</v>
      </c>
      <c r="H2243" s="1">
        <v>28.8</v>
      </c>
      <c r="I2243" s="1">
        <v>37.299999999999997</v>
      </c>
      <c r="J2243" s="1">
        <v>0.56587643200000004</v>
      </c>
      <c r="K2243" s="1">
        <v>0.54180634699999997</v>
      </c>
      <c r="L2243" s="1">
        <v>0.59470779900000004</v>
      </c>
      <c r="M2243" s="3">
        <v>0.69518155599999998</v>
      </c>
      <c r="N2243" s="1" t="s">
        <v>44</v>
      </c>
      <c r="O2243" s="1">
        <v>1.7403685090000001</v>
      </c>
      <c r="P2243" s="1">
        <v>41.2</v>
      </c>
      <c r="Q2243" s="1">
        <v>59.7</v>
      </c>
      <c r="R2243" s="1">
        <v>0.61056523400000007</v>
      </c>
      <c r="S2243" s="1">
        <v>8.0002930335067168E-2</v>
      </c>
      <c r="T2243" t="s">
        <v>2390</v>
      </c>
      <c r="U2243" s="1">
        <v>634</v>
      </c>
      <c r="V2243">
        <f t="shared" si="140"/>
        <v>0.3113432508757481</v>
      </c>
      <c r="W2243" s="1">
        <f t="shared" si="141"/>
        <v>12.400000000000002</v>
      </c>
      <c r="X2243">
        <f t="shared" si="142"/>
        <v>0.13630709399999996</v>
      </c>
      <c r="Y2243">
        <f t="shared" si="143"/>
        <v>22.400000000000006</v>
      </c>
      <c r="Z2243" s="1">
        <v>3</v>
      </c>
      <c r="AA2243">
        <v>97</v>
      </c>
      <c r="AB2243">
        <v>3.09E-2</v>
      </c>
      <c r="AC2243">
        <v>4</v>
      </c>
      <c r="AD2243">
        <v>123</v>
      </c>
      <c r="AE2243">
        <v>3.2500000000000001E-2</v>
      </c>
      <c r="AF2243" t="s">
        <v>2590</v>
      </c>
      <c r="AG2243" t="s">
        <v>2589</v>
      </c>
    </row>
    <row r="2244" spans="1:33">
      <c r="A2244" s="2" t="s">
        <v>49</v>
      </c>
      <c r="B2244" s="2" t="s">
        <v>45</v>
      </c>
      <c r="C2244" s="1">
        <v>0.50647110500000003</v>
      </c>
      <c r="D2244">
        <v>0.55713136799999996</v>
      </c>
      <c r="E2244">
        <v>0.63402682300000002</v>
      </c>
      <c r="F2244" s="1" t="s">
        <v>50</v>
      </c>
      <c r="G2244" s="1">
        <v>1.876675603</v>
      </c>
      <c r="H2244" s="1">
        <v>28.8</v>
      </c>
      <c r="I2244" s="1">
        <v>37.299999999999997</v>
      </c>
      <c r="J2244" s="1">
        <v>0.56587643200000004</v>
      </c>
      <c r="K2244" s="1">
        <v>0.50907007599999998</v>
      </c>
      <c r="L2244" s="1">
        <v>0.68428041399999995</v>
      </c>
      <c r="M2244" s="3">
        <v>0.67454742099999998</v>
      </c>
      <c r="N2244" s="1" t="s">
        <v>46</v>
      </c>
      <c r="O2244" s="1">
        <v>0.98140043799999999</v>
      </c>
      <c r="P2244" s="1">
        <v>38.9</v>
      </c>
      <c r="Q2244" s="1">
        <v>91.4</v>
      </c>
      <c r="R2244" s="1">
        <v>0.62263263699999993</v>
      </c>
      <c r="S2244" s="1">
        <v>0.13347491678681264</v>
      </c>
      <c r="T2244" t="s">
        <v>2391</v>
      </c>
      <c r="U2244" s="1">
        <v>814</v>
      </c>
      <c r="V2244">
        <f t="shared" si="140"/>
        <v>0.32340271165435569</v>
      </c>
      <c r="W2244" s="1">
        <f t="shared" si="141"/>
        <v>10.099999999999998</v>
      </c>
      <c r="X2244">
        <f t="shared" si="142"/>
        <v>0.89527516500000004</v>
      </c>
      <c r="Y2244">
        <f t="shared" si="143"/>
        <v>54.100000000000009</v>
      </c>
      <c r="Z2244" s="1">
        <v>3</v>
      </c>
      <c r="AA2244">
        <v>97</v>
      </c>
      <c r="AB2244">
        <v>3.09E-2</v>
      </c>
      <c r="AC2244">
        <v>4</v>
      </c>
      <c r="AD2244">
        <v>103</v>
      </c>
      <c r="AE2244">
        <v>3.8800000000000001E-2</v>
      </c>
      <c r="AF2244" t="s">
        <v>2590</v>
      </c>
      <c r="AG2244" t="s">
        <v>2589</v>
      </c>
    </row>
    <row r="2245" spans="1:33">
      <c r="A2245" s="2" t="s">
        <v>49</v>
      </c>
      <c r="B2245" s="2" t="s">
        <v>47</v>
      </c>
      <c r="C2245" s="1">
        <v>0.50647110500000003</v>
      </c>
      <c r="D2245">
        <v>0.55713136799999996</v>
      </c>
      <c r="E2245">
        <v>0.63402682300000002</v>
      </c>
      <c r="F2245" s="1" t="s">
        <v>50</v>
      </c>
      <c r="G2245" s="1">
        <v>1.876675603</v>
      </c>
      <c r="H2245" s="1">
        <v>28.8</v>
      </c>
      <c r="I2245" s="1">
        <v>37.299999999999997</v>
      </c>
      <c r="J2245" s="1">
        <v>0.56587643200000004</v>
      </c>
      <c r="K2245" s="1">
        <v>0.50612154099999995</v>
      </c>
      <c r="L2245" s="1">
        <v>0.55940039100000005</v>
      </c>
      <c r="M2245" s="3">
        <v>0.66789001699999995</v>
      </c>
      <c r="N2245" s="1" t="s">
        <v>48</v>
      </c>
      <c r="O2245" s="1">
        <v>1.242622951</v>
      </c>
      <c r="P2245" s="1">
        <v>17.8</v>
      </c>
      <c r="Q2245" s="1">
        <v>30.5</v>
      </c>
      <c r="R2245" s="1">
        <v>0.57780398300000002</v>
      </c>
      <c r="S2245" s="1">
        <v>3.3940927627957619E-2</v>
      </c>
      <c r="T2245" t="s">
        <v>2392</v>
      </c>
      <c r="U2245" s="1">
        <v>2489</v>
      </c>
      <c r="V2245">
        <f t="shared" si="140"/>
        <v>0.37733609962317705</v>
      </c>
      <c r="W2245" s="1">
        <f t="shared" si="141"/>
        <v>11</v>
      </c>
      <c r="X2245">
        <f t="shared" si="142"/>
        <v>0.63405265200000005</v>
      </c>
      <c r="Y2245">
        <f t="shared" si="143"/>
        <v>6.7999999999999972</v>
      </c>
      <c r="Z2245" s="1">
        <v>1</v>
      </c>
      <c r="AA2245">
        <v>99</v>
      </c>
      <c r="AB2245">
        <v>1.01E-2</v>
      </c>
      <c r="AC2245">
        <v>2</v>
      </c>
      <c r="AD2245">
        <v>112</v>
      </c>
      <c r="AE2245">
        <v>1.7899999999999999E-2</v>
      </c>
      <c r="AF2245" t="s">
        <v>2590</v>
      </c>
      <c r="AG2245" t="s">
        <v>2590</v>
      </c>
    </row>
    <row r="2246" spans="1:33">
      <c r="A2246" s="2" t="s">
        <v>47</v>
      </c>
      <c r="B2246" s="2" t="s">
        <v>10</v>
      </c>
      <c r="C2246" s="1">
        <v>0.50612154099999995</v>
      </c>
      <c r="D2246">
        <v>0.55940039100000005</v>
      </c>
      <c r="E2246">
        <v>0.66789001699999995</v>
      </c>
      <c r="F2246" s="1" t="s">
        <v>48</v>
      </c>
      <c r="G2246" s="1">
        <v>1.242622951</v>
      </c>
      <c r="H2246" s="1">
        <v>17.8</v>
      </c>
      <c r="I2246" s="1">
        <v>30.5</v>
      </c>
      <c r="J2246" s="1">
        <v>0.57780398300000002</v>
      </c>
      <c r="K2246" s="1">
        <v>0.52456325500000001</v>
      </c>
      <c r="L2246" s="1">
        <v>0.61925627999999999</v>
      </c>
      <c r="M2246" s="3">
        <v>0.72111139899999999</v>
      </c>
      <c r="N2246" s="1" t="s">
        <v>12</v>
      </c>
      <c r="O2246" s="1">
        <v>0.61690647499999995</v>
      </c>
      <c r="P2246" s="1">
        <v>30</v>
      </c>
      <c r="Q2246" s="1">
        <v>111.2</v>
      </c>
      <c r="R2246" s="1">
        <v>0.62164364466666666</v>
      </c>
      <c r="S2246" s="1">
        <v>8.2190873977760079E-2</v>
      </c>
      <c r="T2246" t="s">
        <v>2393</v>
      </c>
      <c r="U2246" s="1">
        <v>2272</v>
      </c>
      <c r="V2246">
        <f t="shared" si="140"/>
        <v>0.37293425855988682</v>
      </c>
      <c r="W2246" s="1">
        <f t="shared" si="141"/>
        <v>12.2</v>
      </c>
      <c r="X2246">
        <f t="shared" si="142"/>
        <v>0.62571647600000002</v>
      </c>
      <c r="Y2246">
        <f t="shared" si="143"/>
        <v>80.7</v>
      </c>
      <c r="Z2246" s="1">
        <v>1</v>
      </c>
      <c r="AA2246">
        <v>99</v>
      </c>
      <c r="AB2246">
        <v>1.01E-2</v>
      </c>
      <c r="AC2246">
        <v>2</v>
      </c>
      <c r="AD2246">
        <v>175</v>
      </c>
      <c r="AE2246">
        <v>1.14E-2</v>
      </c>
      <c r="AF2246" t="s">
        <v>2590</v>
      </c>
      <c r="AG2246" t="s">
        <v>2588</v>
      </c>
    </row>
    <row r="2247" spans="1:33">
      <c r="A2247" s="2" t="s">
        <v>47</v>
      </c>
      <c r="B2247" s="2" t="s">
        <v>13</v>
      </c>
      <c r="C2247" s="1">
        <v>0.50612154099999995</v>
      </c>
      <c r="D2247">
        <v>0.55940039100000005</v>
      </c>
      <c r="E2247">
        <v>0.66789001699999995</v>
      </c>
      <c r="F2247" s="1" t="s">
        <v>48</v>
      </c>
      <c r="G2247" s="1">
        <v>1.242622951</v>
      </c>
      <c r="H2247" s="1">
        <v>17.8</v>
      </c>
      <c r="I2247" s="1">
        <v>30.5</v>
      </c>
      <c r="J2247" s="1">
        <v>0.57780398300000002</v>
      </c>
      <c r="K2247" s="1">
        <v>0.48695497399999998</v>
      </c>
      <c r="L2247" s="1">
        <v>0.54991327199999995</v>
      </c>
      <c r="M2247" s="3">
        <v>0.67282609299999996</v>
      </c>
      <c r="N2247" s="1" t="s">
        <v>14</v>
      </c>
      <c r="O2247" s="1">
        <v>1.6052009460000001</v>
      </c>
      <c r="P2247" s="1">
        <v>26.6</v>
      </c>
      <c r="Q2247" s="1">
        <v>42.3</v>
      </c>
      <c r="R2247" s="1">
        <v>0.56989811299999993</v>
      </c>
      <c r="S2247" s="1">
        <v>2.1948292957845873E-2</v>
      </c>
      <c r="T2247" t="s">
        <v>2394</v>
      </c>
      <c r="U2247" s="1">
        <v>644</v>
      </c>
      <c r="V2247">
        <f t="shared" si="140"/>
        <v>0.31209842970664581</v>
      </c>
      <c r="W2247" s="1">
        <f t="shared" si="141"/>
        <v>8.8000000000000007</v>
      </c>
      <c r="X2247">
        <f t="shared" si="142"/>
        <v>0.3625779950000001</v>
      </c>
      <c r="Y2247">
        <f t="shared" si="143"/>
        <v>11.799999999999997</v>
      </c>
      <c r="Z2247" s="1">
        <v>0</v>
      </c>
      <c r="AA2247">
        <v>100</v>
      </c>
      <c r="AB2247">
        <v>0</v>
      </c>
      <c r="AC2247">
        <v>1</v>
      </c>
      <c r="AD2247">
        <v>123</v>
      </c>
      <c r="AE2247">
        <v>8.0999999999999996E-3</v>
      </c>
      <c r="AF2247" t="s">
        <v>2590</v>
      </c>
      <c r="AG2247" t="s">
        <v>2590</v>
      </c>
    </row>
    <row r="2248" spans="1:33">
      <c r="A2248" s="2" t="s">
        <v>47</v>
      </c>
      <c r="B2248" s="2" t="s">
        <v>15</v>
      </c>
      <c r="C2248" s="1">
        <v>0.50612154099999995</v>
      </c>
      <c r="D2248">
        <v>0.55940039100000005</v>
      </c>
      <c r="E2248">
        <v>0.66789001699999995</v>
      </c>
      <c r="F2248" s="1" t="s">
        <v>48</v>
      </c>
      <c r="G2248" s="1">
        <v>1.242622951</v>
      </c>
      <c r="H2248" s="1">
        <v>17.8</v>
      </c>
      <c r="I2248" s="1">
        <v>30.5</v>
      </c>
      <c r="J2248" s="1">
        <v>0.57780398300000002</v>
      </c>
      <c r="K2248" s="1">
        <v>0.54560998800000005</v>
      </c>
      <c r="L2248" s="1">
        <v>0.66721428400000005</v>
      </c>
      <c r="M2248" s="3">
        <v>0.72650398400000005</v>
      </c>
      <c r="N2248" s="1" t="s">
        <v>16</v>
      </c>
      <c r="O2248" s="1">
        <v>5.1392405060000002</v>
      </c>
      <c r="P2248" s="1">
        <v>35.9</v>
      </c>
      <c r="Q2248" s="1">
        <v>15.8</v>
      </c>
      <c r="R2248" s="1">
        <v>0.64644275200000012</v>
      </c>
      <c r="S2248" s="1">
        <v>0.12891380879395492</v>
      </c>
      <c r="T2248" t="s">
        <v>2395</v>
      </c>
      <c r="U2248" s="1">
        <v>857</v>
      </c>
      <c r="V2248">
        <f t="shared" si="140"/>
        <v>0.32588675799146644</v>
      </c>
      <c r="W2248" s="1">
        <f t="shared" si="141"/>
        <v>18.099999999999998</v>
      </c>
      <c r="X2248">
        <f t="shared" si="142"/>
        <v>3.8966175550000002</v>
      </c>
      <c r="Y2248">
        <f t="shared" si="143"/>
        <v>14.7</v>
      </c>
      <c r="Z2248" s="1">
        <v>0</v>
      </c>
      <c r="AA2248">
        <v>100</v>
      </c>
      <c r="AB2248">
        <v>0</v>
      </c>
      <c r="AC2248">
        <v>0</v>
      </c>
      <c r="AD2248">
        <v>120</v>
      </c>
      <c r="AE2248">
        <v>0</v>
      </c>
      <c r="AF2248" t="s">
        <v>2590</v>
      </c>
      <c r="AG2248" t="s">
        <v>2591</v>
      </c>
    </row>
    <row r="2249" spans="1:33">
      <c r="A2249" s="2" t="s">
        <v>47</v>
      </c>
      <c r="B2249" s="2" t="s">
        <v>17</v>
      </c>
      <c r="C2249" s="1">
        <v>0.50612154099999995</v>
      </c>
      <c r="D2249">
        <v>0.55940039100000005</v>
      </c>
      <c r="E2249">
        <v>0.66789001699999995</v>
      </c>
      <c r="F2249" s="1" t="s">
        <v>48</v>
      </c>
      <c r="G2249" s="1">
        <v>1.242622951</v>
      </c>
      <c r="H2249" s="1">
        <v>17.8</v>
      </c>
      <c r="I2249" s="1">
        <v>30.5</v>
      </c>
      <c r="J2249" s="1">
        <v>0.57780398300000002</v>
      </c>
      <c r="K2249" s="1">
        <v>0.659112378</v>
      </c>
      <c r="L2249" s="1">
        <v>0.68333493499999998</v>
      </c>
      <c r="M2249" s="3">
        <v>0.70345495199999997</v>
      </c>
      <c r="N2249" s="1" t="s">
        <v>18</v>
      </c>
      <c r="O2249" s="1">
        <v>1.9463955639999999</v>
      </c>
      <c r="P2249" s="1">
        <v>46.3</v>
      </c>
      <c r="Q2249" s="1">
        <v>54.1</v>
      </c>
      <c r="R2249" s="1">
        <v>0.68196742166666668</v>
      </c>
      <c r="S2249" s="1">
        <v>0.2000770651624087</v>
      </c>
      <c r="T2249" t="s">
        <v>2396</v>
      </c>
      <c r="U2249" s="1">
        <v>460</v>
      </c>
      <c r="V2249">
        <f t="shared" si="140"/>
        <v>0.29586198129795266</v>
      </c>
      <c r="W2249" s="1">
        <f t="shared" si="141"/>
        <v>28.499999999999996</v>
      </c>
      <c r="X2249">
        <f t="shared" si="142"/>
        <v>0.70377261299999994</v>
      </c>
      <c r="Y2249">
        <f t="shared" si="143"/>
        <v>23.6</v>
      </c>
      <c r="Z2249" s="1">
        <v>0</v>
      </c>
      <c r="AA2249">
        <v>100</v>
      </c>
      <c r="AB2249">
        <v>0</v>
      </c>
      <c r="AC2249">
        <v>0</v>
      </c>
      <c r="AD2249">
        <v>134</v>
      </c>
      <c r="AE2249">
        <v>0</v>
      </c>
      <c r="AF2249" t="s">
        <v>2590</v>
      </c>
      <c r="AG2249" t="s">
        <v>2591</v>
      </c>
    </row>
    <row r="2250" spans="1:33">
      <c r="A2250" s="2" t="s">
        <v>47</v>
      </c>
      <c r="B2250" s="2" t="s">
        <v>19</v>
      </c>
      <c r="C2250" s="1">
        <v>0.50612154099999995</v>
      </c>
      <c r="D2250">
        <v>0.55940039100000005</v>
      </c>
      <c r="E2250">
        <v>0.66789001699999995</v>
      </c>
      <c r="F2250" s="1" t="s">
        <v>48</v>
      </c>
      <c r="G2250" s="1">
        <v>1.242622951</v>
      </c>
      <c r="H2250" s="1">
        <v>17.8</v>
      </c>
      <c r="I2250" s="1">
        <v>30.5</v>
      </c>
      <c r="J2250" s="1">
        <v>0.57780398300000002</v>
      </c>
      <c r="K2250" s="1">
        <v>0.49391595300000002</v>
      </c>
      <c r="L2250" s="1">
        <v>0.603599314</v>
      </c>
      <c r="M2250" s="3">
        <v>0.63481471599999995</v>
      </c>
      <c r="N2250" s="1" t="s">
        <v>20</v>
      </c>
      <c r="O2250" s="1">
        <v>1.2140902870000001</v>
      </c>
      <c r="P2250" s="1">
        <v>64.900000000000006</v>
      </c>
      <c r="Q2250" s="1">
        <v>146.19999999999999</v>
      </c>
      <c r="R2250" s="1">
        <v>0.57744332766666662</v>
      </c>
      <c r="S2250" s="1">
        <v>5.6537569005275311E-2</v>
      </c>
      <c r="T2250" t="s">
        <v>2397</v>
      </c>
      <c r="U2250" s="1">
        <v>1472</v>
      </c>
      <c r="V2250">
        <f t="shared" si="140"/>
        <v>0.35198975666683113</v>
      </c>
      <c r="W2250" s="1">
        <f t="shared" si="141"/>
        <v>47.100000000000009</v>
      </c>
      <c r="X2250">
        <f t="shared" si="142"/>
        <v>2.8532663999999874E-2</v>
      </c>
      <c r="Y2250">
        <f t="shared" si="143"/>
        <v>115.69999999999999</v>
      </c>
      <c r="Z2250" s="1">
        <v>1</v>
      </c>
      <c r="AA2250">
        <v>99</v>
      </c>
      <c r="AB2250">
        <v>1.01E-2</v>
      </c>
      <c r="AC2250">
        <v>2</v>
      </c>
      <c r="AD2250">
        <v>112</v>
      </c>
      <c r="AE2250">
        <v>1.7899999999999999E-2</v>
      </c>
      <c r="AF2250" t="s">
        <v>2590</v>
      </c>
      <c r="AG2250" t="s">
        <v>2593</v>
      </c>
    </row>
    <row r="2251" spans="1:33">
      <c r="A2251" s="2" t="s">
        <v>47</v>
      </c>
      <c r="B2251" s="2" t="s">
        <v>21</v>
      </c>
      <c r="C2251" s="1">
        <v>0.50612154099999995</v>
      </c>
      <c r="D2251">
        <v>0.55940039100000005</v>
      </c>
      <c r="E2251">
        <v>0.66789001699999995</v>
      </c>
      <c r="F2251" s="1" t="s">
        <v>48</v>
      </c>
      <c r="G2251" s="1">
        <v>1.242622951</v>
      </c>
      <c r="H2251" s="1">
        <v>17.8</v>
      </c>
      <c r="I2251" s="1">
        <v>30.5</v>
      </c>
      <c r="J2251" s="1">
        <v>0.57780398300000002</v>
      </c>
      <c r="K2251" s="1">
        <v>0.53276376800000003</v>
      </c>
      <c r="L2251" s="1">
        <v>0.65428149899999999</v>
      </c>
      <c r="M2251" s="3">
        <v>0.70160154799999996</v>
      </c>
      <c r="N2251" s="1" t="s">
        <v>22</v>
      </c>
      <c r="O2251" s="1">
        <v>1.2440604749999999</v>
      </c>
      <c r="P2251" s="1">
        <v>24.6</v>
      </c>
      <c r="Q2251" s="1">
        <v>46.3</v>
      </c>
      <c r="R2251" s="1">
        <v>0.62954893833333336</v>
      </c>
      <c r="S2251" s="1">
        <v>0.10415709403200124</v>
      </c>
      <c r="T2251" t="s">
        <v>2398</v>
      </c>
      <c r="U2251" s="1">
        <v>2832</v>
      </c>
      <c r="V2251">
        <f t="shared" si="140"/>
        <v>0.3835659165575257</v>
      </c>
      <c r="W2251" s="1">
        <f t="shared" si="141"/>
        <v>6.8000000000000007</v>
      </c>
      <c r="X2251">
        <f t="shared" si="142"/>
        <v>1.4375239999999678E-3</v>
      </c>
      <c r="Y2251">
        <f t="shared" si="143"/>
        <v>15.799999999999997</v>
      </c>
      <c r="Z2251" s="1">
        <v>1</v>
      </c>
      <c r="AA2251">
        <v>99</v>
      </c>
      <c r="AB2251">
        <v>1.01E-2</v>
      </c>
      <c r="AC2251">
        <v>2</v>
      </c>
      <c r="AD2251">
        <v>118</v>
      </c>
      <c r="AE2251">
        <v>1.6899999999999998E-2</v>
      </c>
      <c r="AF2251" t="s">
        <v>2590</v>
      </c>
      <c r="AG2251" t="s">
        <v>2589</v>
      </c>
    </row>
    <row r="2252" spans="1:33">
      <c r="A2252" s="2" t="s">
        <v>47</v>
      </c>
      <c r="B2252" s="2" t="s">
        <v>23</v>
      </c>
      <c r="C2252" s="1">
        <v>0.50612154099999995</v>
      </c>
      <c r="D2252">
        <v>0.55940039100000005</v>
      </c>
      <c r="E2252">
        <v>0.66789001699999995</v>
      </c>
      <c r="F2252" s="1" t="s">
        <v>48</v>
      </c>
      <c r="G2252" s="1">
        <v>1.242622951</v>
      </c>
      <c r="H2252" s="1">
        <v>17.8</v>
      </c>
      <c r="I2252" s="1">
        <v>30.5</v>
      </c>
      <c r="J2252" s="1">
        <v>0.57780398300000002</v>
      </c>
      <c r="K2252" s="1">
        <v>0.49415677200000002</v>
      </c>
      <c r="L2252" s="1">
        <v>0.62090818999999997</v>
      </c>
      <c r="M2252" s="3">
        <v>0.63381026900000004</v>
      </c>
      <c r="N2252" s="1" t="s">
        <v>24</v>
      </c>
      <c r="O2252" s="1">
        <v>1.141304348</v>
      </c>
      <c r="P2252" s="1">
        <v>44.4</v>
      </c>
      <c r="Q2252" s="1">
        <v>101.2</v>
      </c>
      <c r="R2252" s="1">
        <v>0.58295841033333329</v>
      </c>
      <c r="S2252" s="1">
        <v>7.1328775811668382E-2</v>
      </c>
      <c r="T2252" t="s">
        <v>2399</v>
      </c>
      <c r="U2252" s="1">
        <v>577</v>
      </c>
      <c r="V2252">
        <f t="shared" si="140"/>
        <v>0.30679731257285903</v>
      </c>
      <c r="W2252" s="1">
        <f t="shared" si="141"/>
        <v>26.599999999999998</v>
      </c>
      <c r="X2252">
        <f t="shared" si="142"/>
        <v>0.10131860299999995</v>
      </c>
      <c r="Y2252">
        <f t="shared" si="143"/>
        <v>70.7</v>
      </c>
      <c r="Z2252" s="1">
        <v>1</v>
      </c>
      <c r="AA2252">
        <v>99</v>
      </c>
      <c r="AB2252">
        <v>1.01E-2</v>
      </c>
      <c r="AC2252">
        <v>2</v>
      </c>
      <c r="AD2252">
        <v>114</v>
      </c>
      <c r="AE2252">
        <v>1.7500000000000002E-2</v>
      </c>
      <c r="AF2252" t="s">
        <v>2590</v>
      </c>
      <c r="AG2252" t="s">
        <v>2590</v>
      </c>
    </row>
    <row r="2253" spans="1:33">
      <c r="A2253" s="2" t="s">
        <v>47</v>
      </c>
      <c r="B2253" s="2" t="s">
        <v>25</v>
      </c>
      <c r="C2253" s="1">
        <v>0.50612154099999995</v>
      </c>
      <c r="D2253">
        <v>0.55940039100000005</v>
      </c>
      <c r="E2253">
        <v>0.66789001699999995</v>
      </c>
      <c r="F2253" s="1" t="s">
        <v>48</v>
      </c>
      <c r="G2253" s="1">
        <v>1.242622951</v>
      </c>
      <c r="H2253" s="1">
        <v>17.8</v>
      </c>
      <c r="I2253" s="1">
        <v>30.5</v>
      </c>
      <c r="J2253" s="1">
        <v>0.57780398300000002</v>
      </c>
      <c r="K2253" s="1">
        <v>0.53959274199999996</v>
      </c>
      <c r="L2253" s="1">
        <v>0.64971567399999997</v>
      </c>
      <c r="M2253" s="3">
        <v>0.65028459999999999</v>
      </c>
      <c r="N2253" s="1" t="s">
        <v>26</v>
      </c>
      <c r="O2253" s="1">
        <v>1.623046875</v>
      </c>
      <c r="P2253" s="1">
        <v>34.700000000000003</v>
      </c>
      <c r="Q2253" s="1">
        <v>51.2</v>
      </c>
      <c r="R2253" s="1">
        <v>0.61319767199999997</v>
      </c>
      <c r="S2253" s="1">
        <v>9.7913851663063295E-2</v>
      </c>
      <c r="T2253" t="s">
        <v>2400</v>
      </c>
      <c r="U2253" s="1">
        <v>2390</v>
      </c>
      <c r="V2253">
        <f t="shared" si="140"/>
        <v>0.37537754454979305</v>
      </c>
      <c r="W2253" s="1">
        <f t="shared" si="141"/>
        <v>16.900000000000002</v>
      </c>
      <c r="X2253">
        <f t="shared" si="142"/>
        <v>0.38042392400000002</v>
      </c>
      <c r="Y2253">
        <f t="shared" si="143"/>
        <v>20.700000000000003</v>
      </c>
      <c r="Z2253" s="1">
        <v>0</v>
      </c>
      <c r="AA2253">
        <v>100</v>
      </c>
      <c r="AB2253">
        <v>0</v>
      </c>
      <c r="AC2253">
        <v>0</v>
      </c>
      <c r="AD2253">
        <v>118</v>
      </c>
      <c r="AE2253">
        <v>0</v>
      </c>
      <c r="AF2253" t="s">
        <v>2590</v>
      </c>
      <c r="AG2253" t="s">
        <v>2594</v>
      </c>
    </row>
    <row r="2254" spans="1:33">
      <c r="A2254" s="2" t="s">
        <v>47</v>
      </c>
      <c r="B2254" s="2" t="s">
        <v>27</v>
      </c>
      <c r="C2254" s="1">
        <v>0.50612154099999995</v>
      </c>
      <c r="D2254">
        <v>0.55940039100000005</v>
      </c>
      <c r="E2254">
        <v>0.66789001699999995</v>
      </c>
      <c r="F2254" s="1" t="s">
        <v>48</v>
      </c>
      <c r="G2254" s="1">
        <v>1.242622951</v>
      </c>
      <c r="H2254" s="1">
        <v>17.8</v>
      </c>
      <c r="I2254" s="1">
        <v>30.5</v>
      </c>
      <c r="J2254" s="1">
        <v>0.57780398300000002</v>
      </c>
      <c r="K2254" s="1">
        <v>0.518608662</v>
      </c>
      <c r="L2254" s="1">
        <v>0.64320369700000002</v>
      </c>
      <c r="M2254" s="3">
        <v>0.62228994199999998</v>
      </c>
      <c r="N2254" s="1" t="s">
        <v>28</v>
      </c>
      <c r="O2254" s="1">
        <v>1.8717391299999999</v>
      </c>
      <c r="P2254" s="1">
        <v>33.700000000000003</v>
      </c>
      <c r="Q2254" s="1">
        <v>46</v>
      </c>
      <c r="R2254" s="1">
        <v>0.59470076699999996</v>
      </c>
      <c r="S2254" s="1">
        <v>9.6220003779899602E-2</v>
      </c>
      <c r="T2254" t="s">
        <v>2401</v>
      </c>
      <c r="U2254" s="1">
        <v>886</v>
      </c>
      <c r="V2254">
        <f t="shared" si="140"/>
        <v>0.32749263576522786</v>
      </c>
      <c r="W2254" s="1">
        <f t="shared" si="141"/>
        <v>15.900000000000002</v>
      </c>
      <c r="X2254">
        <f t="shared" si="142"/>
        <v>0.62911617899999994</v>
      </c>
      <c r="Y2254">
        <f t="shared" si="143"/>
        <v>15.5</v>
      </c>
      <c r="Z2254" s="1">
        <v>1</v>
      </c>
      <c r="AA2254">
        <v>99</v>
      </c>
      <c r="AB2254">
        <v>1.01E-2</v>
      </c>
      <c r="AC2254">
        <v>2</v>
      </c>
      <c r="AD2254">
        <v>123</v>
      </c>
      <c r="AE2254">
        <v>1.6299999999999999E-2</v>
      </c>
      <c r="AF2254" t="s">
        <v>2590</v>
      </c>
      <c r="AG2254" t="s">
        <v>2590</v>
      </c>
    </row>
    <row r="2255" spans="1:33">
      <c r="A2255" s="2" t="s">
        <v>47</v>
      </c>
      <c r="B2255" s="2" t="s">
        <v>29</v>
      </c>
      <c r="C2255" s="1">
        <v>0.50612154099999995</v>
      </c>
      <c r="D2255">
        <v>0.55940039100000005</v>
      </c>
      <c r="E2255">
        <v>0.66789001699999995</v>
      </c>
      <c r="F2255" s="1" t="s">
        <v>48</v>
      </c>
      <c r="G2255" s="1">
        <v>1.242622951</v>
      </c>
      <c r="H2255" s="1">
        <v>17.8</v>
      </c>
      <c r="I2255" s="1">
        <v>30.5</v>
      </c>
      <c r="J2255" s="1">
        <v>0.57780398300000002</v>
      </c>
      <c r="K2255" s="1">
        <v>0.59351545100000003</v>
      </c>
      <c r="L2255" s="1">
        <v>0.68136602400000001</v>
      </c>
      <c r="M2255" s="3">
        <v>0.73518087600000004</v>
      </c>
      <c r="N2255" s="1" t="s">
        <v>30</v>
      </c>
      <c r="O2255" s="1">
        <v>2.849112426</v>
      </c>
      <c r="P2255" s="1">
        <v>37.9</v>
      </c>
      <c r="Q2255" s="1">
        <v>33.799999999999997</v>
      </c>
      <c r="R2255" s="1">
        <v>0.67002078366666673</v>
      </c>
      <c r="S2255" s="1">
        <v>0.16444260653229956</v>
      </c>
      <c r="T2255" t="s">
        <v>2402</v>
      </c>
      <c r="U2255" s="1">
        <v>881</v>
      </c>
      <c r="V2255">
        <f t="shared" si="140"/>
        <v>0.32721954537911641</v>
      </c>
      <c r="W2255" s="1">
        <f t="shared" si="141"/>
        <v>20.099999999999998</v>
      </c>
      <c r="X2255">
        <f t="shared" si="142"/>
        <v>1.6064894750000001</v>
      </c>
      <c r="Y2255">
        <f t="shared" si="143"/>
        <v>3.2999999999999972</v>
      </c>
      <c r="Z2255" s="1">
        <v>0</v>
      </c>
      <c r="AA2255">
        <v>100</v>
      </c>
      <c r="AB2255">
        <v>0</v>
      </c>
      <c r="AC2255">
        <v>0</v>
      </c>
      <c r="AD2255">
        <v>114</v>
      </c>
      <c r="AE2255">
        <v>0</v>
      </c>
      <c r="AF2255" t="s">
        <v>2590</v>
      </c>
      <c r="AG2255" t="s">
        <v>2593</v>
      </c>
    </row>
    <row r="2256" spans="1:33">
      <c r="A2256" s="2" t="s">
        <v>47</v>
      </c>
      <c r="B2256" s="2" t="s">
        <v>31</v>
      </c>
      <c r="C2256" s="1">
        <v>0.50612154099999995</v>
      </c>
      <c r="D2256">
        <v>0.55940039100000005</v>
      </c>
      <c r="E2256">
        <v>0.66789001699999995</v>
      </c>
      <c r="F2256" s="1" t="s">
        <v>48</v>
      </c>
      <c r="G2256" s="1">
        <v>1.242622951</v>
      </c>
      <c r="H2256" s="1">
        <v>17.8</v>
      </c>
      <c r="I2256" s="1">
        <v>30.5</v>
      </c>
      <c r="J2256" s="1">
        <v>0.57780398300000002</v>
      </c>
      <c r="K2256" s="1">
        <v>0.47727961800000002</v>
      </c>
      <c r="L2256" s="1">
        <v>0.66941086400000005</v>
      </c>
      <c r="M2256" s="3">
        <v>0.69294815300000001</v>
      </c>
      <c r="N2256" s="1" t="s">
        <v>32</v>
      </c>
      <c r="O2256" s="1">
        <v>1.341891892</v>
      </c>
      <c r="P2256" s="1">
        <v>42.1</v>
      </c>
      <c r="Q2256" s="1">
        <v>74</v>
      </c>
      <c r="R2256" s="1">
        <v>0.61321287833333338</v>
      </c>
      <c r="S2256" s="1">
        <v>0.11645630456019182</v>
      </c>
      <c r="T2256" t="s">
        <v>2403</v>
      </c>
      <c r="U2256" s="1">
        <v>294</v>
      </c>
      <c r="V2256">
        <f t="shared" si="140"/>
        <v>0.2742608144902397</v>
      </c>
      <c r="W2256" s="1">
        <f t="shared" si="141"/>
        <v>24.3</v>
      </c>
      <c r="X2256">
        <f t="shared" si="142"/>
        <v>9.9268941000000055E-2</v>
      </c>
      <c r="Y2256">
        <f t="shared" si="143"/>
        <v>43.5</v>
      </c>
      <c r="Z2256" s="1">
        <v>1</v>
      </c>
      <c r="AA2256">
        <v>99</v>
      </c>
      <c r="AB2256">
        <v>1.01E-2</v>
      </c>
      <c r="AC2256">
        <v>2</v>
      </c>
      <c r="AD2256">
        <v>120</v>
      </c>
      <c r="AE2256">
        <v>1.67E-2</v>
      </c>
      <c r="AF2256" t="s">
        <v>2590</v>
      </c>
      <c r="AG2256" t="s">
        <v>2589</v>
      </c>
    </row>
    <row r="2257" spans="1:33">
      <c r="A2257" s="2" t="s">
        <v>47</v>
      </c>
      <c r="B2257" s="2" t="s">
        <v>33</v>
      </c>
      <c r="C2257" s="1">
        <v>0.50612154099999995</v>
      </c>
      <c r="D2257">
        <v>0.55940039100000005</v>
      </c>
      <c r="E2257">
        <v>0.66789001699999995</v>
      </c>
      <c r="F2257" s="1" t="s">
        <v>48</v>
      </c>
      <c r="G2257" s="1">
        <v>1.242622951</v>
      </c>
      <c r="H2257" s="1">
        <v>17.8</v>
      </c>
      <c r="I2257" s="1">
        <v>30.5</v>
      </c>
      <c r="J2257" s="1">
        <v>0.57780398300000002</v>
      </c>
      <c r="K2257" s="1">
        <v>0.51347926600000005</v>
      </c>
      <c r="L2257" s="1">
        <v>0.63144379399999995</v>
      </c>
      <c r="M2257" s="3">
        <v>0.64189093500000005</v>
      </c>
      <c r="N2257" s="1" t="s">
        <v>34</v>
      </c>
      <c r="O2257" s="1">
        <v>2.3123667380000001</v>
      </c>
      <c r="P2257" s="1">
        <v>79.099999999999994</v>
      </c>
      <c r="Q2257" s="1">
        <v>93.8</v>
      </c>
      <c r="R2257" s="1">
        <v>0.59560466500000009</v>
      </c>
      <c r="S2257" s="1">
        <v>7.6943747620185091E-2</v>
      </c>
      <c r="T2257" t="s">
        <v>2404</v>
      </c>
      <c r="U2257" s="1">
        <v>2174</v>
      </c>
      <c r="V2257">
        <f t="shared" si="140"/>
        <v>0.37080661552780841</v>
      </c>
      <c r="W2257" s="1">
        <f t="shared" si="141"/>
        <v>61.3</v>
      </c>
      <c r="X2257">
        <f t="shared" si="142"/>
        <v>1.0697437870000002</v>
      </c>
      <c r="Y2257">
        <f t="shared" si="143"/>
        <v>63.3</v>
      </c>
      <c r="Z2257" s="1">
        <v>1</v>
      </c>
      <c r="AA2257">
        <v>99</v>
      </c>
      <c r="AB2257">
        <v>1.01E-2</v>
      </c>
      <c r="AC2257">
        <v>2</v>
      </c>
      <c r="AD2257">
        <v>114</v>
      </c>
      <c r="AE2257">
        <v>1.7500000000000002E-2</v>
      </c>
      <c r="AF2257" t="s">
        <v>2590</v>
      </c>
      <c r="AG2257" t="s">
        <v>2590</v>
      </c>
    </row>
    <row r="2258" spans="1:33">
      <c r="A2258" s="2" t="s">
        <v>47</v>
      </c>
      <c r="B2258" s="2" t="s">
        <v>35</v>
      </c>
      <c r="C2258" s="1">
        <v>0.50612154099999995</v>
      </c>
      <c r="D2258">
        <v>0.55940039100000005</v>
      </c>
      <c r="E2258">
        <v>0.66789001699999995</v>
      </c>
      <c r="F2258" s="1" t="s">
        <v>48</v>
      </c>
      <c r="G2258" s="1">
        <v>1.242622951</v>
      </c>
      <c r="H2258" s="1">
        <v>17.8</v>
      </c>
      <c r="I2258" s="1">
        <v>30.5</v>
      </c>
      <c r="J2258" s="1">
        <v>0.57780398300000002</v>
      </c>
      <c r="K2258" s="1">
        <v>0.52542897600000005</v>
      </c>
      <c r="L2258" s="1">
        <v>0.60774736299999998</v>
      </c>
      <c r="M2258" s="3">
        <v>0.62585751700000003</v>
      </c>
      <c r="N2258" s="1" t="s">
        <v>36</v>
      </c>
      <c r="O2258" s="1">
        <v>0.98848810399999998</v>
      </c>
      <c r="P2258" s="1">
        <v>54.2</v>
      </c>
      <c r="Q2258" s="1">
        <v>130.30000000000001</v>
      </c>
      <c r="R2258" s="1">
        <v>0.58634461866666665</v>
      </c>
      <c r="S2258" s="1">
        <v>6.6909923061516052E-2</v>
      </c>
      <c r="T2258" t="s">
        <v>2405</v>
      </c>
      <c r="U2258" s="1">
        <v>2352</v>
      </c>
      <c r="V2258">
        <f t="shared" si="140"/>
        <v>0.37460414637823347</v>
      </c>
      <c r="W2258" s="1">
        <f t="shared" si="141"/>
        <v>36.400000000000006</v>
      </c>
      <c r="X2258">
        <f t="shared" si="142"/>
        <v>0.254134847</v>
      </c>
      <c r="Y2258">
        <f t="shared" si="143"/>
        <v>99.800000000000011</v>
      </c>
      <c r="Z2258" s="1">
        <v>1</v>
      </c>
      <c r="AA2258">
        <v>99</v>
      </c>
      <c r="AB2258">
        <v>1.01E-2</v>
      </c>
      <c r="AC2258">
        <v>2</v>
      </c>
      <c r="AD2258">
        <v>113</v>
      </c>
      <c r="AE2258">
        <v>1.77E-2</v>
      </c>
      <c r="AF2258" t="s">
        <v>2590</v>
      </c>
      <c r="AG2258" t="s">
        <v>2589</v>
      </c>
    </row>
    <row r="2259" spans="1:33">
      <c r="A2259" s="2" t="s">
        <v>47</v>
      </c>
      <c r="B2259" s="2" t="s">
        <v>37</v>
      </c>
      <c r="C2259" s="1">
        <v>0.50612154099999995</v>
      </c>
      <c r="D2259">
        <v>0.55940039100000005</v>
      </c>
      <c r="E2259">
        <v>0.66789001699999995</v>
      </c>
      <c r="F2259" s="1" t="s">
        <v>48</v>
      </c>
      <c r="G2259" s="1">
        <v>1.242622951</v>
      </c>
      <c r="H2259" s="1">
        <v>17.8</v>
      </c>
      <c r="I2259" s="1">
        <v>30.5</v>
      </c>
      <c r="J2259" s="1">
        <v>0.57780398300000002</v>
      </c>
      <c r="K2259" s="1">
        <v>0.50856695500000004</v>
      </c>
      <c r="L2259" s="1">
        <v>0.654733224</v>
      </c>
      <c r="M2259" s="3">
        <v>0.61418267199999999</v>
      </c>
      <c r="N2259" s="1" t="s">
        <v>38</v>
      </c>
      <c r="O2259" s="1">
        <v>0.64065708399999999</v>
      </c>
      <c r="P2259" s="1">
        <v>41.9</v>
      </c>
      <c r="Q2259" s="1">
        <v>146.1</v>
      </c>
      <c r="R2259" s="1">
        <v>0.59249428366666679</v>
      </c>
      <c r="S2259" s="1">
        <v>0.10944774097434035</v>
      </c>
      <c r="T2259" t="s">
        <v>2406</v>
      </c>
      <c r="U2259" s="1">
        <v>195847</v>
      </c>
      <c r="V2259">
        <f t="shared" si="140"/>
        <v>0.58799076926413885</v>
      </c>
      <c r="W2259" s="1">
        <f t="shared" si="141"/>
        <v>24.099999999999998</v>
      </c>
      <c r="X2259">
        <f t="shared" si="142"/>
        <v>0.60196586699999999</v>
      </c>
      <c r="Y2259">
        <f t="shared" si="143"/>
        <v>115.6</v>
      </c>
      <c r="Z2259" s="1">
        <v>1</v>
      </c>
      <c r="AA2259">
        <v>99</v>
      </c>
      <c r="AB2259">
        <v>1.01E-2</v>
      </c>
      <c r="AC2259">
        <v>2</v>
      </c>
      <c r="AD2259">
        <v>112</v>
      </c>
      <c r="AE2259">
        <v>1.7899999999999999E-2</v>
      </c>
      <c r="AF2259" t="s">
        <v>2590</v>
      </c>
      <c r="AG2259" t="s">
        <v>2590</v>
      </c>
    </row>
    <row r="2260" spans="1:33">
      <c r="A2260" s="2" t="s">
        <v>47</v>
      </c>
      <c r="B2260" s="2" t="s">
        <v>39</v>
      </c>
      <c r="C2260" s="1">
        <v>0.50612154099999995</v>
      </c>
      <c r="D2260">
        <v>0.55940039100000005</v>
      </c>
      <c r="E2260">
        <v>0.66789001699999995</v>
      </c>
      <c r="F2260" s="1" t="s">
        <v>48</v>
      </c>
      <c r="G2260" s="1">
        <v>1.242622951</v>
      </c>
      <c r="H2260" s="1">
        <v>17.8</v>
      </c>
      <c r="I2260" s="1">
        <v>30.5</v>
      </c>
      <c r="J2260" s="1">
        <v>0.57780398300000002</v>
      </c>
      <c r="K2260" s="1">
        <v>0.60811616199999996</v>
      </c>
      <c r="L2260" s="1">
        <v>0.721105683</v>
      </c>
      <c r="M2260" s="3">
        <v>0.741016169</v>
      </c>
      <c r="N2260" s="1" t="s">
        <v>40</v>
      </c>
      <c r="O2260" s="1">
        <v>1.0601915180000001</v>
      </c>
      <c r="P2260" s="1">
        <v>34</v>
      </c>
      <c r="Q2260" s="1">
        <v>73.099999999999994</v>
      </c>
      <c r="R2260" s="1">
        <v>0.69007933799999999</v>
      </c>
      <c r="S2260" s="1">
        <v>0.20469230146751002</v>
      </c>
      <c r="T2260" t="s">
        <v>2407</v>
      </c>
      <c r="U2260" s="1">
        <v>904</v>
      </c>
      <c r="V2260">
        <f t="shared" si="140"/>
        <v>0.32846315894170702</v>
      </c>
      <c r="W2260" s="1">
        <f t="shared" si="141"/>
        <v>16.2</v>
      </c>
      <c r="X2260">
        <f t="shared" si="142"/>
        <v>0.18243143299999987</v>
      </c>
      <c r="Y2260">
        <f t="shared" si="143"/>
        <v>42.599999999999994</v>
      </c>
      <c r="Z2260" s="1">
        <v>1</v>
      </c>
      <c r="AA2260">
        <v>99</v>
      </c>
      <c r="AB2260">
        <v>1.01E-2</v>
      </c>
      <c r="AC2260">
        <v>2</v>
      </c>
      <c r="AD2260">
        <v>115</v>
      </c>
      <c r="AE2260">
        <v>1.7399999999999999E-2</v>
      </c>
      <c r="AF2260" t="s">
        <v>2590</v>
      </c>
      <c r="AG2260" t="s">
        <v>2589</v>
      </c>
    </row>
    <row r="2261" spans="1:33">
      <c r="A2261" s="2" t="s">
        <v>47</v>
      </c>
      <c r="B2261" s="2" t="s">
        <v>41</v>
      </c>
      <c r="C2261" s="1">
        <v>0.50612154099999995</v>
      </c>
      <c r="D2261">
        <v>0.55940039100000005</v>
      </c>
      <c r="E2261">
        <v>0.66789001699999995</v>
      </c>
      <c r="F2261" s="1" t="s">
        <v>48</v>
      </c>
      <c r="G2261" s="1">
        <v>1.242622951</v>
      </c>
      <c r="H2261" s="1">
        <v>17.8</v>
      </c>
      <c r="I2261" s="1">
        <v>30.5</v>
      </c>
      <c r="J2261" s="1">
        <v>0.57780398300000002</v>
      </c>
      <c r="K2261" s="1">
        <v>0.60402244999999999</v>
      </c>
      <c r="L2261" s="1">
        <v>0.669189213</v>
      </c>
      <c r="M2261" s="3">
        <v>0.69821693799999995</v>
      </c>
      <c r="N2261" s="1" t="s">
        <v>42</v>
      </c>
      <c r="O2261" s="1">
        <v>1.3243902439999999</v>
      </c>
      <c r="P2261" s="1">
        <v>23</v>
      </c>
      <c r="Q2261" s="1">
        <v>41</v>
      </c>
      <c r="R2261" s="1">
        <v>0.65714286700000002</v>
      </c>
      <c r="S2261" s="1">
        <v>0.15019286120356787</v>
      </c>
      <c r="T2261" t="s">
        <v>2408</v>
      </c>
      <c r="U2261" s="1">
        <v>1140</v>
      </c>
      <c r="V2261">
        <f t="shared" si="140"/>
        <v>0.33965609459294144</v>
      </c>
      <c r="W2261" s="1">
        <f t="shared" si="141"/>
        <v>5.1999999999999993</v>
      </c>
      <c r="X2261">
        <f t="shared" si="142"/>
        <v>8.1767292999999963E-2</v>
      </c>
      <c r="Y2261">
        <f t="shared" si="143"/>
        <v>10.5</v>
      </c>
      <c r="Z2261" s="1">
        <v>0</v>
      </c>
      <c r="AA2261">
        <v>100</v>
      </c>
      <c r="AB2261">
        <v>0</v>
      </c>
      <c r="AC2261">
        <v>0</v>
      </c>
      <c r="AD2261">
        <v>131</v>
      </c>
      <c r="AE2261">
        <v>0</v>
      </c>
      <c r="AF2261" t="s">
        <v>2590</v>
      </c>
      <c r="AG2261" t="s">
        <v>2591</v>
      </c>
    </row>
    <row r="2262" spans="1:33">
      <c r="A2262" s="2" t="s">
        <v>47</v>
      </c>
      <c r="B2262" s="2" t="s">
        <v>43</v>
      </c>
      <c r="C2262" s="1">
        <v>0.50612154099999995</v>
      </c>
      <c r="D2262">
        <v>0.55940039100000005</v>
      </c>
      <c r="E2262">
        <v>0.66789001699999995</v>
      </c>
      <c r="F2262" s="1" t="s">
        <v>48</v>
      </c>
      <c r="G2262" s="1">
        <v>1.242622951</v>
      </c>
      <c r="H2262" s="1">
        <v>17.8</v>
      </c>
      <c r="I2262" s="1">
        <v>30.5</v>
      </c>
      <c r="J2262" s="1">
        <v>0.57780398300000002</v>
      </c>
      <c r="K2262" s="1">
        <v>0.54180634699999997</v>
      </c>
      <c r="L2262" s="1">
        <v>0.59470779900000004</v>
      </c>
      <c r="M2262" s="3">
        <v>0.69518155599999998</v>
      </c>
      <c r="N2262" s="1" t="s">
        <v>44</v>
      </c>
      <c r="O2262" s="1">
        <v>1.7403685090000001</v>
      </c>
      <c r="P2262" s="1">
        <v>41.2</v>
      </c>
      <c r="Q2262" s="1">
        <v>59.7</v>
      </c>
      <c r="R2262" s="1">
        <v>0.61056523400000007</v>
      </c>
      <c r="S2262" s="1">
        <v>5.7138835654260776E-2</v>
      </c>
      <c r="T2262" t="s">
        <v>2409</v>
      </c>
      <c r="U2262" s="1">
        <v>3123</v>
      </c>
      <c r="V2262">
        <f t="shared" si="140"/>
        <v>0.38828577602557762</v>
      </c>
      <c r="W2262" s="1">
        <f t="shared" si="141"/>
        <v>23.400000000000002</v>
      </c>
      <c r="X2262">
        <f t="shared" si="142"/>
        <v>0.49774555800000009</v>
      </c>
      <c r="Y2262">
        <f t="shared" si="143"/>
        <v>29.200000000000003</v>
      </c>
      <c r="Z2262" s="1">
        <v>1</v>
      </c>
      <c r="AA2262">
        <v>99</v>
      </c>
      <c r="AB2262">
        <v>1.01E-2</v>
      </c>
      <c r="AC2262">
        <v>2</v>
      </c>
      <c r="AD2262">
        <v>151</v>
      </c>
      <c r="AE2262">
        <v>1.32E-2</v>
      </c>
      <c r="AF2262" t="s">
        <v>2590</v>
      </c>
      <c r="AG2262" t="s">
        <v>2589</v>
      </c>
    </row>
    <row r="2263" spans="1:33">
      <c r="A2263" s="2" t="s">
        <v>47</v>
      </c>
      <c r="B2263" s="2" t="s">
        <v>45</v>
      </c>
      <c r="C2263" s="1">
        <v>0.50612154099999995</v>
      </c>
      <c r="D2263">
        <v>0.55940039100000005</v>
      </c>
      <c r="E2263">
        <v>0.66789001699999995</v>
      </c>
      <c r="F2263" s="1" t="s">
        <v>48</v>
      </c>
      <c r="G2263" s="1">
        <v>1.242622951</v>
      </c>
      <c r="H2263" s="1">
        <v>17.8</v>
      </c>
      <c r="I2263" s="1">
        <v>30.5</v>
      </c>
      <c r="J2263" s="1">
        <v>0.57780398300000002</v>
      </c>
      <c r="K2263" s="1">
        <v>0.50907007599999998</v>
      </c>
      <c r="L2263" s="1">
        <v>0.68428041399999995</v>
      </c>
      <c r="M2263" s="3">
        <v>0.67454742099999998</v>
      </c>
      <c r="N2263" s="1" t="s">
        <v>46</v>
      </c>
      <c r="O2263" s="1">
        <v>0.98140043799999999</v>
      </c>
      <c r="P2263" s="1">
        <v>38.9</v>
      </c>
      <c r="Q2263" s="1">
        <v>91.4</v>
      </c>
      <c r="R2263" s="1">
        <v>0.62263263699999993</v>
      </c>
      <c r="S2263" s="1">
        <v>0.12509210619038255</v>
      </c>
      <c r="T2263" t="s">
        <v>2410</v>
      </c>
      <c r="U2263" s="1">
        <v>1586</v>
      </c>
      <c r="V2263">
        <f t="shared" si="140"/>
        <v>0.35558924255350943</v>
      </c>
      <c r="W2263" s="1">
        <f t="shared" si="141"/>
        <v>21.099999999999998</v>
      </c>
      <c r="X2263">
        <f t="shared" si="142"/>
        <v>0.26122251299999999</v>
      </c>
      <c r="Y2263">
        <f t="shared" si="143"/>
        <v>60.900000000000006</v>
      </c>
      <c r="Z2263" s="1">
        <v>1</v>
      </c>
      <c r="AA2263">
        <v>99</v>
      </c>
      <c r="AB2263">
        <v>1.01E-2</v>
      </c>
      <c r="AC2263">
        <v>2</v>
      </c>
      <c r="AD2263">
        <v>131</v>
      </c>
      <c r="AE2263">
        <v>1.5299999999999999E-2</v>
      </c>
      <c r="AF2263" t="s">
        <v>2590</v>
      </c>
      <c r="AG2263" t="s">
        <v>2589</v>
      </c>
    </row>
    <row r="2264" spans="1:33">
      <c r="A2264" s="2" t="s">
        <v>45</v>
      </c>
      <c r="B2264" s="2" t="s">
        <v>10</v>
      </c>
      <c r="C2264" s="1">
        <v>0.50907007599999998</v>
      </c>
      <c r="D2264">
        <v>0.68428041399999995</v>
      </c>
      <c r="E2264">
        <v>0.67454742099999998</v>
      </c>
      <c r="F2264" s="1" t="s">
        <v>46</v>
      </c>
      <c r="G2264" s="1">
        <v>0.98140043799999999</v>
      </c>
      <c r="H2264" s="1">
        <v>38.9</v>
      </c>
      <c r="I2264" s="1">
        <v>91.4</v>
      </c>
      <c r="J2264" s="1">
        <v>0.62263263699999993</v>
      </c>
      <c r="K2264" s="1">
        <v>0.52456325500000001</v>
      </c>
      <c r="L2264" s="1">
        <v>0.61925627999999999</v>
      </c>
      <c r="M2264" s="3">
        <v>0.72111139899999999</v>
      </c>
      <c r="N2264" s="1" t="s">
        <v>12</v>
      </c>
      <c r="O2264" s="1">
        <v>0.61690647499999995</v>
      </c>
      <c r="P2264" s="1">
        <v>30</v>
      </c>
      <c r="Q2264" s="1">
        <v>111.2</v>
      </c>
      <c r="R2264" s="1">
        <v>0.62164364466666666</v>
      </c>
      <c r="S2264" s="1">
        <v>8.1463983729992459E-2</v>
      </c>
      <c r="T2264" t="s">
        <v>2411</v>
      </c>
      <c r="U2264" s="1">
        <v>504</v>
      </c>
      <c r="V2264">
        <f t="shared" si="140"/>
        <v>0.30027005960505837</v>
      </c>
      <c r="W2264" s="1">
        <f t="shared" si="141"/>
        <v>8.8999999999999986</v>
      </c>
      <c r="X2264">
        <f t="shared" si="142"/>
        <v>0.36449396300000003</v>
      </c>
      <c r="Y2264">
        <f t="shared" si="143"/>
        <v>19.799999999999997</v>
      </c>
      <c r="Z2264" s="1">
        <v>4</v>
      </c>
      <c r="AA2264">
        <v>96</v>
      </c>
      <c r="AB2264">
        <v>4.1700000000000001E-2</v>
      </c>
      <c r="AC2264">
        <v>5</v>
      </c>
      <c r="AD2264">
        <v>165</v>
      </c>
      <c r="AE2264">
        <v>3.0300000000000001E-2</v>
      </c>
      <c r="AF2264" t="s">
        <v>2589</v>
      </c>
      <c r="AG2264" t="s">
        <v>2588</v>
      </c>
    </row>
    <row r="2265" spans="1:33">
      <c r="A2265" s="2" t="s">
        <v>45</v>
      </c>
      <c r="B2265" s="2" t="s">
        <v>13</v>
      </c>
      <c r="C2265" s="1">
        <v>0.50907007599999998</v>
      </c>
      <c r="D2265">
        <v>0.68428041399999995</v>
      </c>
      <c r="E2265">
        <v>0.67454742099999998</v>
      </c>
      <c r="F2265" s="1" t="s">
        <v>46</v>
      </c>
      <c r="G2265" s="1">
        <v>0.98140043799999999</v>
      </c>
      <c r="H2265" s="1">
        <v>38.9</v>
      </c>
      <c r="I2265" s="1">
        <v>91.4</v>
      </c>
      <c r="J2265" s="1">
        <v>0.62263263699999993</v>
      </c>
      <c r="K2265" s="1">
        <v>0.48695497399999998</v>
      </c>
      <c r="L2265" s="1">
        <v>0.54991327199999995</v>
      </c>
      <c r="M2265" s="3">
        <v>0.67282609299999996</v>
      </c>
      <c r="N2265" s="1" t="s">
        <v>14</v>
      </c>
      <c r="O2265" s="1">
        <v>1.6052009460000001</v>
      </c>
      <c r="P2265" s="1">
        <v>26.6</v>
      </c>
      <c r="Q2265" s="1">
        <v>42.3</v>
      </c>
      <c r="R2265" s="1">
        <v>0.56989811299999993</v>
      </c>
      <c r="S2265" s="1">
        <v>0.13618579057964214</v>
      </c>
      <c r="T2265" t="s">
        <v>2412</v>
      </c>
      <c r="U2265" s="1">
        <v>750</v>
      </c>
      <c r="V2265">
        <f t="shared" si="140"/>
        <v>0.31945125148796666</v>
      </c>
      <c r="W2265" s="1">
        <f t="shared" si="141"/>
        <v>12.299999999999997</v>
      </c>
      <c r="X2265">
        <f t="shared" si="142"/>
        <v>0.62380050800000009</v>
      </c>
      <c r="Y2265">
        <f t="shared" si="143"/>
        <v>49.100000000000009</v>
      </c>
      <c r="Z2265" s="1">
        <v>1</v>
      </c>
      <c r="AA2265">
        <v>99</v>
      </c>
      <c r="AB2265">
        <v>1.01E-2</v>
      </c>
      <c r="AC2265">
        <v>2</v>
      </c>
      <c r="AD2265">
        <v>115</v>
      </c>
      <c r="AE2265">
        <v>1.7399999999999999E-2</v>
      </c>
      <c r="AF2265" t="s">
        <v>2589</v>
      </c>
      <c r="AG2265" t="s">
        <v>2590</v>
      </c>
    </row>
    <row r="2266" spans="1:33">
      <c r="A2266" s="2" t="s">
        <v>45</v>
      </c>
      <c r="B2266" s="2" t="s">
        <v>15</v>
      </c>
      <c r="C2266" s="1">
        <v>0.50907007599999998</v>
      </c>
      <c r="D2266">
        <v>0.68428041399999995</v>
      </c>
      <c r="E2266">
        <v>0.67454742099999998</v>
      </c>
      <c r="F2266" s="1" t="s">
        <v>46</v>
      </c>
      <c r="G2266" s="1">
        <v>0.98140043799999999</v>
      </c>
      <c r="H2266" s="1">
        <v>38.9</v>
      </c>
      <c r="I2266" s="1">
        <v>91.4</v>
      </c>
      <c r="J2266" s="1">
        <v>0.62263263699999993</v>
      </c>
      <c r="K2266" s="1">
        <v>0.54560998800000005</v>
      </c>
      <c r="L2266" s="1">
        <v>0.66721428400000005</v>
      </c>
      <c r="M2266" s="3">
        <v>0.72650398400000005</v>
      </c>
      <c r="N2266" s="1" t="s">
        <v>16</v>
      </c>
      <c r="O2266" s="1">
        <v>5.1392405060000002</v>
      </c>
      <c r="P2266" s="1">
        <v>35.9</v>
      </c>
      <c r="Q2266" s="1">
        <v>15.8</v>
      </c>
      <c r="R2266" s="1">
        <v>0.64644275200000012</v>
      </c>
      <c r="S2266" s="1">
        <v>6.5771592659123149E-2</v>
      </c>
      <c r="T2266" t="s">
        <v>2413</v>
      </c>
      <c r="U2266" s="1">
        <v>712</v>
      </c>
      <c r="V2266">
        <f t="shared" si="140"/>
        <v>0.31694222151520629</v>
      </c>
      <c r="W2266" s="1">
        <f t="shared" si="141"/>
        <v>3</v>
      </c>
      <c r="X2266">
        <f t="shared" si="142"/>
        <v>4.1578400680000005</v>
      </c>
      <c r="Y2266">
        <f t="shared" si="143"/>
        <v>75.600000000000009</v>
      </c>
      <c r="Z2266" s="1">
        <v>0</v>
      </c>
      <c r="AA2266">
        <v>100</v>
      </c>
      <c r="AB2266">
        <v>0</v>
      </c>
      <c r="AC2266">
        <v>0</v>
      </c>
      <c r="AD2266">
        <v>113</v>
      </c>
      <c r="AE2266">
        <v>0</v>
      </c>
      <c r="AF2266" t="s">
        <v>2589</v>
      </c>
      <c r="AG2266" t="s">
        <v>2591</v>
      </c>
    </row>
    <row r="2267" spans="1:33">
      <c r="A2267" s="2" t="s">
        <v>45</v>
      </c>
      <c r="B2267" s="2" t="s">
        <v>17</v>
      </c>
      <c r="C2267" s="1">
        <v>0.50907007599999998</v>
      </c>
      <c r="D2267">
        <v>0.68428041399999995</v>
      </c>
      <c r="E2267">
        <v>0.67454742099999998</v>
      </c>
      <c r="F2267" s="1" t="s">
        <v>46</v>
      </c>
      <c r="G2267" s="1">
        <v>0.98140043799999999</v>
      </c>
      <c r="H2267" s="1">
        <v>38.9</v>
      </c>
      <c r="I2267" s="1">
        <v>91.4</v>
      </c>
      <c r="J2267" s="1">
        <v>0.62263263699999993</v>
      </c>
      <c r="K2267" s="1">
        <v>0.659112378</v>
      </c>
      <c r="L2267" s="1">
        <v>0.68333493499999998</v>
      </c>
      <c r="M2267" s="3">
        <v>0.70345495199999997</v>
      </c>
      <c r="N2267" s="1" t="s">
        <v>18</v>
      </c>
      <c r="O2267" s="1">
        <v>1.9463955639999999</v>
      </c>
      <c r="P2267" s="1">
        <v>46.3</v>
      </c>
      <c r="Q2267" s="1">
        <v>54.1</v>
      </c>
      <c r="R2267" s="1">
        <v>0.68196742166666668</v>
      </c>
      <c r="S2267" s="1">
        <v>0.15280455382126087</v>
      </c>
      <c r="T2267" t="s">
        <v>2414</v>
      </c>
      <c r="U2267" s="1">
        <v>620</v>
      </c>
      <c r="V2267">
        <f t="shared" si="140"/>
        <v>0.31026574327758377</v>
      </c>
      <c r="W2267" s="1">
        <f t="shared" si="141"/>
        <v>7.3999999999999986</v>
      </c>
      <c r="X2267">
        <f t="shared" si="142"/>
        <v>0.96499512599999993</v>
      </c>
      <c r="Y2267">
        <f t="shared" si="143"/>
        <v>37.300000000000004</v>
      </c>
      <c r="Z2267" s="1">
        <v>0</v>
      </c>
      <c r="AA2267">
        <v>100</v>
      </c>
      <c r="AB2267">
        <v>0</v>
      </c>
      <c r="AC2267">
        <v>0</v>
      </c>
      <c r="AD2267">
        <v>127</v>
      </c>
      <c r="AE2267">
        <v>0</v>
      </c>
      <c r="AF2267" t="s">
        <v>2589</v>
      </c>
      <c r="AG2267" t="s">
        <v>2591</v>
      </c>
    </row>
    <row r="2268" spans="1:33">
      <c r="A2268" s="2" t="s">
        <v>45</v>
      </c>
      <c r="B2268" s="2" t="s">
        <v>19</v>
      </c>
      <c r="C2268" s="1">
        <v>0.50907007599999998</v>
      </c>
      <c r="D2268">
        <v>0.68428041399999995</v>
      </c>
      <c r="E2268">
        <v>0.67454742099999998</v>
      </c>
      <c r="F2268" s="1" t="s">
        <v>46</v>
      </c>
      <c r="G2268" s="1">
        <v>0.98140043799999999</v>
      </c>
      <c r="H2268" s="1">
        <v>38.9</v>
      </c>
      <c r="I2268" s="1">
        <v>91.4</v>
      </c>
      <c r="J2268" s="1">
        <v>0.62263263699999993</v>
      </c>
      <c r="K2268" s="1">
        <v>0.49391595300000002</v>
      </c>
      <c r="L2268" s="1">
        <v>0.603599314</v>
      </c>
      <c r="M2268" s="3">
        <v>0.63481471599999995</v>
      </c>
      <c r="N2268" s="1" t="s">
        <v>20</v>
      </c>
      <c r="O2268" s="1">
        <v>1.2140902870000001</v>
      </c>
      <c r="P2268" s="1">
        <v>64.900000000000006</v>
      </c>
      <c r="Q2268" s="1">
        <v>146.19999999999999</v>
      </c>
      <c r="R2268" s="1">
        <v>0.57744332766666662</v>
      </c>
      <c r="S2268" s="1">
        <v>9.1201837633493696E-2</v>
      </c>
      <c r="T2268" t="s">
        <v>2415</v>
      </c>
      <c r="U2268" s="1">
        <v>1745</v>
      </c>
      <c r="V2268">
        <f t="shared" si="140"/>
        <v>0.36019949236613319</v>
      </c>
      <c r="W2268" s="1">
        <f t="shared" si="141"/>
        <v>26.000000000000007</v>
      </c>
      <c r="X2268">
        <f t="shared" si="142"/>
        <v>0.23268984900000012</v>
      </c>
      <c r="Y2268">
        <f t="shared" si="143"/>
        <v>54.799999999999983</v>
      </c>
      <c r="Z2268" s="1">
        <v>9</v>
      </c>
      <c r="AA2268">
        <v>91</v>
      </c>
      <c r="AB2268">
        <v>9.8900000000000002E-2</v>
      </c>
      <c r="AC2268">
        <v>11</v>
      </c>
      <c r="AD2268">
        <v>96</v>
      </c>
      <c r="AE2268">
        <v>0.11459999999999999</v>
      </c>
      <c r="AF2268" t="s">
        <v>2589</v>
      </c>
      <c r="AG2268" t="s">
        <v>2593</v>
      </c>
    </row>
    <row r="2269" spans="1:33">
      <c r="A2269" s="2" t="s">
        <v>45</v>
      </c>
      <c r="B2269" s="2" t="s">
        <v>21</v>
      </c>
      <c r="C2269" s="1">
        <v>0.50907007599999998</v>
      </c>
      <c r="D2269">
        <v>0.68428041399999995</v>
      </c>
      <c r="E2269">
        <v>0.67454742099999998</v>
      </c>
      <c r="F2269" s="1" t="s">
        <v>46</v>
      </c>
      <c r="G2269" s="1">
        <v>0.98140043799999999</v>
      </c>
      <c r="H2269" s="1">
        <v>38.9</v>
      </c>
      <c r="I2269" s="1">
        <v>91.4</v>
      </c>
      <c r="J2269" s="1">
        <v>0.62263263699999993</v>
      </c>
      <c r="K2269" s="1">
        <v>0.53276376800000003</v>
      </c>
      <c r="L2269" s="1">
        <v>0.65428149899999999</v>
      </c>
      <c r="M2269" s="3">
        <v>0.70160154799999996</v>
      </c>
      <c r="N2269" s="1" t="s">
        <v>22</v>
      </c>
      <c r="O2269" s="1">
        <v>1.2440604749999999</v>
      </c>
      <c r="P2269" s="1">
        <v>24.6</v>
      </c>
      <c r="Q2269" s="1">
        <v>46.3</v>
      </c>
      <c r="R2269" s="1">
        <v>0.62954893833333336</v>
      </c>
      <c r="S2269" s="1">
        <v>4.683216554356863E-2</v>
      </c>
      <c r="T2269" t="s">
        <v>2416</v>
      </c>
      <c r="U2269" s="1">
        <v>87724</v>
      </c>
      <c r="V2269">
        <f t="shared" si="140"/>
        <v>0.5492353806915472</v>
      </c>
      <c r="W2269" s="1">
        <f t="shared" si="141"/>
        <v>14.299999999999997</v>
      </c>
      <c r="X2269">
        <f t="shared" si="142"/>
        <v>0.26266003699999996</v>
      </c>
      <c r="Y2269">
        <f t="shared" si="143"/>
        <v>45.100000000000009</v>
      </c>
      <c r="Z2269" s="1">
        <v>3</v>
      </c>
      <c r="AA2269">
        <v>97</v>
      </c>
      <c r="AB2269">
        <v>3.09E-2</v>
      </c>
      <c r="AC2269">
        <v>3</v>
      </c>
      <c r="AD2269">
        <v>110</v>
      </c>
      <c r="AE2269">
        <v>2.7300000000000001E-2</v>
      </c>
      <c r="AF2269" t="s">
        <v>2589</v>
      </c>
      <c r="AG2269" t="s">
        <v>2589</v>
      </c>
    </row>
    <row r="2270" spans="1:33">
      <c r="A2270" s="2" t="s">
        <v>45</v>
      </c>
      <c r="B2270" s="2" t="s">
        <v>23</v>
      </c>
      <c r="C2270" s="1">
        <v>0.50907007599999998</v>
      </c>
      <c r="D2270">
        <v>0.68428041399999995</v>
      </c>
      <c r="E2270">
        <v>0.67454742099999998</v>
      </c>
      <c r="F2270" s="1" t="s">
        <v>46</v>
      </c>
      <c r="G2270" s="1">
        <v>0.98140043799999999</v>
      </c>
      <c r="H2270" s="1">
        <v>38.9</v>
      </c>
      <c r="I2270" s="1">
        <v>91.4</v>
      </c>
      <c r="J2270" s="1">
        <v>0.62263263699999993</v>
      </c>
      <c r="K2270" s="1">
        <v>0.49415677200000002</v>
      </c>
      <c r="L2270" s="1">
        <v>0.62090818999999997</v>
      </c>
      <c r="M2270" s="3">
        <v>0.63381026900000004</v>
      </c>
      <c r="N2270" s="1" t="s">
        <v>24</v>
      </c>
      <c r="O2270" s="1">
        <v>1.141304348</v>
      </c>
      <c r="P2270" s="1">
        <v>44.4</v>
      </c>
      <c r="Q2270" s="1">
        <v>101.2</v>
      </c>
      <c r="R2270" s="1">
        <v>0.58295841033333329</v>
      </c>
      <c r="S2270" s="1">
        <v>7.679818333771761E-2</v>
      </c>
      <c r="T2270" t="s">
        <v>2417</v>
      </c>
      <c r="U2270" s="1">
        <v>681</v>
      </c>
      <c r="V2270">
        <f t="shared" si="140"/>
        <v>0.314794123545865</v>
      </c>
      <c r="W2270" s="1">
        <f t="shared" si="141"/>
        <v>5.5</v>
      </c>
      <c r="X2270">
        <f t="shared" si="142"/>
        <v>0.15990391000000004</v>
      </c>
      <c r="Y2270">
        <f t="shared" si="143"/>
        <v>9.7999999999999972</v>
      </c>
      <c r="Z2270" s="1">
        <v>3</v>
      </c>
      <c r="AA2270">
        <v>97</v>
      </c>
      <c r="AB2270">
        <v>3.09E-2</v>
      </c>
      <c r="AC2270">
        <v>5</v>
      </c>
      <c r="AD2270">
        <v>104</v>
      </c>
      <c r="AE2270">
        <v>4.8099999999999997E-2</v>
      </c>
      <c r="AF2270" t="s">
        <v>2589</v>
      </c>
      <c r="AG2270" t="s">
        <v>2590</v>
      </c>
    </row>
    <row r="2271" spans="1:33">
      <c r="A2271" s="2" t="s">
        <v>45</v>
      </c>
      <c r="B2271" s="2" t="s">
        <v>25</v>
      </c>
      <c r="C2271" s="1">
        <v>0.50907007599999998</v>
      </c>
      <c r="D2271">
        <v>0.68428041399999995</v>
      </c>
      <c r="E2271">
        <v>0.67454742099999998</v>
      </c>
      <c r="F2271" s="1" t="s">
        <v>46</v>
      </c>
      <c r="G2271" s="1">
        <v>0.98140043799999999</v>
      </c>
      <c r="H2271" s="1">
        <v>38.9</v>
      </c>
      <c r="I2271" s="1">
        <v>91.4</v>
      </c>
      <c r="J2271" s="1">
        <v>0.62263263699999993</v>
      </c>
      <c r="K2271" s="1">
        <v>0.53959274199999996</v>
      </c>
      <c r="L2271" s="1">
        <v>0.64971567399999997</v>
      </c>
      <c r="M2271" s="3">
        <v>0.65028459999999999</v>
      </c>
      <c r="N2271" s="1" t="s">
        <v>26</v>
      </c>
      <c r="O2271" s="1">
        <v>1.623046875</v>
      </c>
      <c r="P2271" s="1">
        <v>34.700000000000003</v>
      </c>
      <c r="Q2271" s="1">
        <v>51.2</v>
      </c>
      <c r="R2271" s="1">
        <v>0.61319767199999997</v>
      </c>
      <c r="S2271" s="1">
        <v>5.2106034908570749E-2</v>
      </c>
      <c r="T2271" t="s">
        <v>2418</v>
      </c>
      <c r="U2271" s="1">
        <v>1335</v>
      </c>
      <c r="V2271">
        <f t="shared" si="140"/>
        <v>0.34727569618895493</v>
      </c>
      <c r="W2271" s="1">
        <f t="shared" si="141"/>
        <v>4.1999999999999957</v>
      </c>
      <c r="X2271">
        <f t="shared" si="142"/>
        <v>0.64164643700000001</v>
      </c>
      <c r="Y2271">
        <f t="shared" si="143"/>
        <v>40.200000000000003</v>
      </c>
      <c r="Z2271" s="1">
        <v>0</v>
      </c>
      <c r="AA2271">
        <v>100</v>
      </c>
      <c r="AB2271">
        <v>0</v>
      </c>
      <c r="AC2271">
        <v>0</v>
      </c>
      <c r="AD2271">
        <v>111</v>
      </c>
      <c r="AE2271">
        <v>0</v>
      </c>
      <c r="AF2271" t="s">
        <v>2589</v>
      </c>
      <c r="AG2271" t="s">
        <v>2594</v>
      </c>
    </row>
    <row r="2272" spans="1:33">
      <c r="A2272" s="2" t="s">
        <v>45</v>
      </c>
      <c r="B2272" s="2" t="s">
        <v>27</v>
      </c>
      <c r="C2272" s="1">
        <v>0.50907007599999998</v>
      </c>
      <c r="D2272">
        <v>0.68428041399999995</v>
      </c>
      <c r="E2272">
        <v>0.67454742099999998</v>
      </c>
      <c r="F2272" s="1" t="s">
        <v>46</v>
      </c>
      <c r="G2272" s="1">
        <v>0.98140043799999999</v>
      </c>
      <c r="H2272" s="1">
        <v>38.9</v>
      </c>
      <c r="I2272" s="1">
        <v>91.4</v>
      </c>
      <c r="J2272" s="1">
        <v>0.62263263699999993</v>
      </c>
      <c r="K2272" s="1">
        <v>0.518608662</v>
      </c>
      <c r="L2272" s="1">
        <v>0.64320369700000002</v>
      </c>
      <c r="M2272" s="3">
        <v>0.62228994199999998</v>
      </c>
      <c r="N2272" s="1" t="s">
        <v>28</v>
      </c>
      <c r="O2272" s="1">
        <v>1.8717391299999999</v>
      </c>
      <c r="P2272" s="1">
        <v>33.700000000000003</v>
      </c>
      <c r="Q2272" s="1">
        <v>46</v>
      </c>
      <c r="R2272" s="1">
        <v>0.59470076699999996</v>
      </c>
      <c r="S2272" s="1">
        <v>6.7150021696295234E-2</v>
      </c>
      <c r="T2272" t="s">
        <v>2419</v>
      </c>
      <c r="U2272" s="1">
        <v>285</v>
      </c>
      <c r="V2272">
        <f t="shared" si="140"/>
        <v>0.27276054000094557</v>
      </c>
      <c r="W2272" s="1">
        <f t="shared" si="141"/>
        <v>5.1999999999999957</v>
      </c>
      <c r="X2272">
        <f t="shared" si="142"/>
        <v>0.89033869199999993</v>
      </c>
      <c r="Y2272">
        <f t="shared" si="143"/>
        <v>45.400000000000006</v>
      </c>
      <c r="Z2272" s="1">
        <v>2</v>
      </c>
      <c r="AA2272">
        <v>98</v>
      </c>
      <c r="AB2272">
        <v>2.0400000000000001E-2</v>
      </c>
      <c r="AC2272">
        <v>3</v>
      </c>
      <c r="AD2272">
        <v>115</v>
      </c>
      <c r="AE2272">
        <v>2.6100000000000002E-2</v>
      </c>
      <c r="AF2272" t="s">
        <v>2589</v>
      </c>
      <c r="AG2272" t="s">
        <v>2590</v>
      </c>
    </row>
    <row r="2273" spans="1:33">
      <c r="A2273" s="2" t="s">
        <v>45</v>
      </c>
      <c r="B2273" s="2" t="s">
        <v>29</v>
      </c>
      <c r="C2273" s="1">
        <v>0.50907007599999998</v>
      </c>
      <c r="D2273">
        <v>0.68428041399999995</v>
      </c>
      <c r="E2273">
        <v>0.67454742099999998</v>
      </c>
      <c r="F2273" s="1" t="s">
        <v>46</v>
      </c>
      <c r="G2273" s="1">
        <v>0.98140043799999999</v>
      </c>
      <c r="H2273" s="1">
        <v>38.9</v>
      </c>
      <c r="I2273" s="1">
        <v>91.4</v>
      </c>
      <c r="J2273" s="1">
        <v>0.62263263699999993</v>
      </c>
      <c r="K2273" s="1">
        <v>0.59351545100000003</v>
      </c>
      <c r="L2273" s="1">
        <v>0.68136602400000001</v>
      </c>
      <c r="M2273" s="3">
        <v>0.73518087600000004</v>
      </c>
      <c r="N2273" s="1" t="s">
        <v>30</v>
      </c>
      <c r="O2273" s="1">
        <v>2.849112426</v>
      </c>
      <c r="P2273" s="1">
        <v>37.9</v>
      </c>
      <c r="Q2273" s="1">
        <v>33.799999999999997</v>
      </c>
      <c r="R2273" s="1">
        <v>0.67002078366666673</v>
      </c>
      <c r="S2273" s="1">
        <v>0.1039996677552374</v>
      </c>
      <c r="T2273" t="s">
        <v>2420</v>
      </c>
      <c r="U2273" s="1">
        <v>310</v>
      </c>
      <c r="V2273">
        <f t="shared" si="140"/>
        <v>0.27681796598158587</v>
      </c>
      <c r="W2273" s="1">
        <f t="shared" si="141"/>
        <v>1</v>
      </c>
      <c r="X2273">
        <f t="shared" si="142"/>
        <v>1.8677119879999999</v>
      </c>
      <c r="Y2273">
        <f t="shared" si="143"/>
        <v>57.600000000000009</v>
      </c>
      <c r="Z2273" s="1">
        <v>0</v>
      </c>
      <c r="AA2273">
        <v>100</v>
      </c>
      <c r="AB2273">
        <v>0</v>
      </c>
      <c r="AC2273">
        <v>0</v>
      </c>
      <c r="AD2273">
        <v>107</v>
      </c>
      <c r="AE2273">
        <v>0</v>
      </c>
      <c r="AF2273" t="s">
        <v>2589</v>
      </c>
      <c r="AG2273" t="s">
        <v>2593</v>
      </c>
    </row>
    <row r="2274" spans="1:33">
      <c r="A2274" s="2" t="s">
        <v>45</v>
      </c>
      <c r="B2274" s="2" t="s">
        <v>31</v>
      </c>
      <c r="C2274" s="1">
        <v>0.50907007599999998</v>
      </c>
      <c r="D2274">
        <v>0.68428041399999995</v>
      </c>
      <c r="E2274">
        <v>0.67454742099999998</v>
      </c>
      <c r="F2274" s="1" t="s">
        <v>46</v>
      </c>
      <c r="G2274" s="1">
        <v>0.98140043799999999</v>
      </c>
      <c r="H2274" s="1">
        <v>38.9</v>
      </c>
      <c r="I2274" s="1">
        <v>91.4</v>
      </c>
      <c r="J2274" s="1">
        <v>0.62263263699999993</v>
      </c>
      <c r="K2274" s="1">
        <v>0.47727961800000002</v>
      </c>
      <c r="L2274" s="1">
        <v>0.66941086400000005</v>
      </c>
      <c r="M2274" s="3">
        <v>0.69294815300000001</v>
      </c>
      <c r="N2274" s="1" t="s">
        <v>32</v>
      </c>
      <c r="O2274" s="1">
        <v>1.341891892</v>
      </c>
      <c r="P2274" s="1">
        <v>42.1</v>
      </c>
      <c r="Q2274" s="1">
        <v>74</v>
      </c>
      <c r="R2274" s="1">
        <v>0.61321287833333338</v>
      </c>
      <c r="S2274" s="1">
        <v>3.962730971423728E-2</v>
      </c>
      <c r="T2274" t="s">
        <v>2421</v>
      </c>
      <c r="U2274" s="1">
        <v>10640</v>
      </c>
      <c r="V2274">
        <f t="shared" si="140"/>
        <v>0.44743795866211439</v>
      </c>
      <c r="W2274" s="1">
        <f t="shared" si="141"/>
        <v>3.2000000000000028</v>
      </c>
      <c r="X2274">
        <f t="shared" si="142"/>
        <v>0.36049145400000004</v>
      </c>
      <c r="Y2274">
        <f t="shared" si="143"/>
        <v>17.400000000000006</v>
      </c>
      <c r="Z2274" s="1">
        <v>11</v>
      </c>
      <c r="AA2274">
        <v>89</v>
      </c>
      <c r="AB2274">
        <v>0.1236</v>
      </c>
      <c r="AC2274">
        <v>13</v>
      </c>
      <c r="AD2274">
        <v>102</v>
      </c>
      <c r="AE2274">
        <v>0.1275</v>
      </c>
      <c r="AF2274" t="s">
        <v>2589</v>
      </c>
      <c r="AG2274" t="s">
        <v>2589</v>
      </c>
    </row>
    <row r="2275" spans="1:33">
      <c r="A2275" s="2" t="s">
        <v>45</v>
      </c>
      <c r="B2275" s="2" t="s">
        <v>33</v>
      </c>
      <c r="C2275" s="1">
        <v>0.50907007599999998</v>
      </c>
      <c r="D2275">
        <v>0.68428041399999995</v>
      </c>
      <c r="E2275">
        <v>0.67454742099999998</v>
      </c>
      <c r="F2275" s="1" t="s">
        <v>46</v>
      </c>
      <c r="G2275" s="1">
        <v>0.98140043799999999</v>
      </c>
      <c r="H2275" s="1">
        <v>38.9</v>
      </c>
      <c r="I2275" s="1">
        <v>91.4</v>
      </c>
      <c r="J2275" s="1">
        <v>0.62263263699999993</v>
      </c>
      <c r="K2275" s="1">
        <v>0.51347926600000005</v>
      </c>
      <c r="L2275" s="1">
        <v>0.63144379399999995</v>
      </c>
      <c r="M2275" s="3">
        <v>0.64189093500000005</v>
      </c>
      <c r="N2275" s="1" t="s">
        <v>34</v>
      </c>
      <c r="O2275" s="1">
        <v>2.3123667380000001</v>
      </c>
      <c r="P2275" s="1">
        <v>79.099999999999994</v>
      </c>
      <c r="Q2275" s="1">
        <v>93.8</v>
      </c>
      <c r="R2275" s="1">
        <v>0.59560466500000009</v>
      </c>
      <c r="S2275" s="1">
        <v>6.227034163507289E-2</v>
      </c>
      <c r="T2275" t="s">
        <v>2422</v>
      </c>
      <c r="U2275" s="1">
        <v>1447</v>
      </c>
      <c r="V2275">
        <f t="shared" si="140"/>
        <v>0.35116317012433751</v>
      </c>
      <c r="W2275" s="1">
        <f t="shared" si="141"/>
        <v>40.199999999999996</v>
      </c>
      <c r="X2275">
        <f t="shared" si="142"/>
        <v>1.3309663</v>
      </c>
      <c r="Y2275">
        <f t="shared" si="143"/>
        <v>2.3999999999999915</v>
      </c>
      <c r="Z2275" s="1">
        <v>7</v>
      </c>
      <c r="AA2275">
        <v>93</v>
      </c>
      <c r="AB2275">
        <v>7.5300000000000006E-2</v>
      </c>
      <c r="AC2275">
        <v>8</v>
      </c>
      <c r="AD2275">
        <v>101</v>
      </c>
      <c r="AE2275">
        <v>7.9200000000000007E-2</v>
      </c>
      <c r="AF2275" t="s">
        <v>2589</v>
      </c>
      <c r="AG2275" t="s">
        <v>2590</v>
      </c>
    </row>
    <row r="2276" spans="1:33">
      <c r="A2276" s="2" t="s">
        <v>45</v>
      </c>
      <c r="B2276" s="2" t="s">
        <v>35</v>
      </c>
      <c r="C2276" s="1">
        <v>0.50907007599999998</v>
      </c>
      <c r="D2276">
        <v>0.68428041399999995</v>
      </c>
      <c r="E2276">
        <v>0.67454742099999998</v>
      </c>
      <c r="F2276" s="1" t="s">
        <v>46</v>
      </c>
      <c r="G2276" s="1">
        <v>0.98140043799999999</v>
      </c>
      <c r="H2276" s="1">
        <v>38.9</v>
      </c>
      <c r="I2276" s="1">
        <v>91.4</v>
      </c>
      <c r="J2276" s="1">
        <v>0.62263263699999993</v>
      </c>
      <c r="K2276" s="1">
        <v>0.52542897600000005</v>
      </c>
      <c r="L2276" s="1">
        <v>0.60774736299999998</v>
      </c>
      <c r="M2276" s="3">
        <v>0.62585751700000003</v>
      </c>
      <c r="N2276" s="1" t="s">
        <v>36</v>
      </c>
      <c r="O2276" s="1">
        <v>0.98848810399999998</v>
      </c>
      <c r="P2276" s="1">
        <v>54.2</v>
      </c>
      <c r="Q2276" s="1">
        <v>130.30000000000001</v>
      </c>
      <c r="R2276" s="1">
        <v>0.58634461866666665</v>
      </c>
      <c r="S2276" s="1">
        <v>9.2171732413510649E-2</v>
      </c>
      <c r="T2276" t="s">
        <v>2423</v>
      </c>
      <c r="U2276" s="1">
        <v>15242</v>
      </c>
      <c r="V2276">
        <f t="shared" si="140"/>
        <v>0.46478243969895999</v>
      </c>
      <c r="W2276" s="1">
        <f t="shared" si="141"/>
        <v>15.300000000000004</v>
      </c>
      <c r="X2276">
        <f t="shared" si="142"/>
        <v>7.0876659999999925E-3</v>
      </c>
      <c r="Y2276">
        <f t="shared" si="143"/>
        <v>38.900000000000006</v>
      </c>
      <c r="Z2276" s="1">
        <v>11</v>
      </c>
      <c r="AA2276">
        <v>89</v>
      </c>
      <c r="AB2276">
        <v>0.1236</v>
      </c>
      <c r="AC2276">
        <v>13</v>
      </c>
      <c r="AD2276">
        <v>95</v>
      </c>
      <c r="AE2276">
        <v>0.1368</v>
      </c>
      <c r="AF2276" t="s">
        <v>2589</v>
      </c>
      <c r="AG2276" t="s">
        <v>2589</v>
      </c>
    </row>
    <row r="2277" spans="1:33">
      <c r="A2277" s="2" t="s">
        <v>45</v>
      </c>
      <c r="B2277" s="2" t="s">
        <v>37</v>
      </c>
      <c r="C2277" s="1">
        <v>0.50907007599999998</v>
      </c>
      <c r="D2277">
        <v>0.68428041399999995</v>
      </c>
      <c r="E2277">
        <v>0.67454742099999998</v>
      </c>
      <c r="F2277" s="1" t="s">
        <v>46</v>
      </c>
      <c r="G2277" s="1">
        <v>0.98140043799999999</v>
      </c>
      <c r="H2277" s="1">
        <v>38.9</v>
      </c>
      <c r="I2277" s="1">
        <v>91.4</v>
      </c>
      <c r="J2277" s="1">
        <v>0.62263263699999993</v>
      </c>
      <c r="K2277" s="1">
        <v>0.50856695500000004</v>
      </c>
      <c r="L2277" s="1">
        <v>0.654733224</v>
      </c>
      <c r="M2277" s="3">
        <v>0.61418267199999999</v>
      </c>
      <c r="N2277" s="1" t="s">
        <v>38</v>
      </c>
      <c r="O2277" s="1">
        <v>0.64065708399999999</v>
      </c>
      <c r="P2277" s="1">
        <v>41.9</v>
      </c>
      <c r="Q2277" s="1">
        <v>146.1</v>
      </c>
      <c r="R2277" s="1">
        <v>0.59249428366666679</v>
      </c>
      <c r="S2277" s="1">
        <v>6.7210062412333307E-2</v>
      </c>
      <c r="T2277" t="s">
        <v>2424</v>
      </c>
      <c r="U2277" s="1">
        <v>1216</v>
      </c>
      <c r="V2277">
        <f t="shared" si="140"/>
        <v>0.34277039721519065</v>
      </c>
      <c r="W2277" s="1">
        <f t="shared" si="141"/>
        <v>3</v>
      </c>
      <c r="X2277">
        <f t="shared" si="142"/>
        <v>0.340743354</v>
      </c>
      <c r="Y2277">
        <f t="shared" si="143"/>
        <v>54.699999999999989</v>
      </c>
      <c r="Z2277" s="1">
        <v>6</v>
      </c>
      <c r="AA2277">
        <v>94</v>
      </c>
      <c r="AB2277">
        <v>6.3799999999999996E-2</v>
      </c>
      <c r="AC2277">
        <v>7</v>
      </c>
      <c r="AD2277">
        <v>100</v>
      </c>
      <c r="AE2277">
        <v>7.0000000000000007E-2</v>
      </c>
      <c r="AF2277" t="s">
        <v>2589</v>
      </c>
      <c r="AG2277" t="s">
        <v>2590</v>
      </c>
    </row>
    <row r="2278" spans="1:33">
      <c r="A2278" s="2" t="s">
        <v>45</v>
      </c>
      <c r="B2278" s="2" t="s">
        <v>39</v>
      </c>
      <c r="C2278" s="1">
        <v>0.50907007599999998</v>
      </c>
      <c r="D2278">
        <v>0.68428041399999995</v>
      </c>
      <c r="E2278">
        <v>0.67454742099999998</v>
      </c>
      <c r="F2278" s="1" t="s">
        <v>46</v>
      </c>
      <c r="G2278" s="1">
        <v>0.98140043799999999</v>
      </c>
      <c r="H2278" s="1">
        <v>38.9</v>
      </c>
      <c r="I2278" s="1">
        <v>91.4</v>
      </c>
      <c r="J2278" s="1">
        <v>0.62263263699999993</v>
      </c>
      <c r="K2278" s="1">
        <v>0.60811616199999996</v>
      </c>
      <c r="L2278" s="1">
        <v>0.721105683</v>
      </c>
      <c r="M2278" s="3">
        <v>0.741016169</v>
      </c>
      <c r="N2278" s="1" t="s">
        <v>40</v>
      </c>
      <c r="O2278" s="1">
        <v>1.0601915180000001</v>
      </c>
      <c r="P2278" s="1">
        <v>34</v>
      </c>
      <c r="Q2278" s="1">
        <v>73.099999999999994</v>
      </c>
      <c r="R2278" s="1">
        <v>0.69007933799999999</v>
      </c>
      <c r="S2278" s="1">
        <v>0.12483718215952035</v>
      </c>
      <c r="T2278" t="s">
        <v>2425</v>
      </c>
      <c r="U2278" s="1">
        <v>4315</v>
      </c>
      <c r="V2278">
        <f t="shared" si="140"/>
        <v>0.40388675556124759</v>
      </c>
      <c r="W2278" s="1">
        <f t="shared" si="141"/>
        <v>4.8999999999999986</v>
      </c>
      <c r="X2278">
        <f t="shared" si="142"/>
        <v>7.8791080000000124E-2</v>
      </c>
      <c r="Y2278">
        <f t="shared" si="143"/>
        <v>18.300000000000011</v>
      </c>
      <c r="Z2278" s="1">
        <v>3</v>
      </c>
      <c r="AA2278">
        <v>97</v>
      </c>
      <c r="AB2278">
        <v>3.09E-2</v>
      </c>
      <c r="AC2278">
        <v>5</v>
      </c>
      <c r="AD2278">
        <v>105</v>
      </c>
      <c r="AE2278">
        <v>4.7600000000000003E-2</v>
      </c>
      <c r="AF2278" t="s">
        <v>2589</v>
      </c>
      <c r="AG2278" t="s">
        <v>2589</v>
      </c>
    </row>
    <row r="2279" spans="1:33">
      <c r="A2279" s="2" t="s">
        <v>45</v>
      </c>
      <c r="B2279" s="2" t="s">
        <v>41</v>
      </c>
      <c r="C2279" s="1">
        <v>0.50907007599999998</v>
      </c>
      <c r="D2279">
        <v>0.68428041399999995</v>
      </c>
      <c r="E2279">
        <v>0.67454742099999998</v>
      </c>
      <c r="F2279" s="1" t="s">
        <v>46</v>
      </c>
      <c r="G2279" s="1">
        <v>0.98140043799999999</v>
      </c>
      <c r="H2279" s="1">
        <v>38.9</v>
      </c>
      <c r="I2279" s="1">
        <v>91.4</v>
      </c>
      <c r="J2279" s="1">
        <v>0.62263263699999993</v>
      </c>
      <c r="K2279" s="1">
        <v>0.60402244999999999</v>
      </c>
      <c r="L2279" s="1">
        <v>0.669189213</v>
      </c>
      <c r="M2279" s="3">
        <v>0.69821693799999995</v>
      </c>
      <c r="N2279" s="1" t="s">
        <v>42</v>
      </c>
      <c r="O2279" s="1">
        <v>1.3243902439999999</v>
      </c>
      <c r="P2279" s="1">
        <v>23</v>
      </c>
      <c r="Q2279" s="1">
        <v>41</v>
      </c>
      <c r="R2279" s="1">
        <v>0.65714286700000002</v>
      </c>
      <c r="S2279" s="1">
        <v>9.9014866110456193E-2</v>
      </c>
      <c r="T2279" t="s">
        <v>2426</v>
      </c>
      <c r="U2279" s="1">
        <v>1333</v>
      </c>
      <c r="V2279">
        <f t="shared" si="140"/>
        <v>0.34720334993487323</v>
      </c>
      <c r="W2279" s="1">
        <f t="shared" si="141"/>
        <v>15.899999999999999</v>
      </c>
      <c r="X2279">
        <f t="shared" si="142"/>
        <v>0.34298980599999995</v>
      </c>
      <c r="Y2279">
        <f t="shared" si="143"/>
        <v>50.400000000000006</v>
      </c>
      <c r="Z2279" s="1">
        <v>0</v>
      </c>
      <c r="AA2279">
        <v>100</v>
      </c>
      <c r="AB2279">
        <v>0</v>
      </c>
      <c r="AC2279">
        <v>0</v>
      </c>
      <c r="AD2279">
        <v>124</v>
      </c>
      <c r="AE2279">
        <v>0</v>
      </c>
      <c r="AF2279" t="s">
        <v>2589</v>
      </c>
      <c r="AG2279" t="s">
        <v>2591</v>
      </c>
    </row>
    <row r="2280" spans="1:33">
      <c r="A2280" s="2" t="s">
        <v>45</v>
      </c>
      <c r="B2280" s="2" t="s">
        <v>43</v>
      </c>
      <c r="C2280" s="1">
        <v>0.50907007599999998</v>
      </c>
      <c r="D2280">
        <v>0.68428041399999995</v>
      </c>
      <c r="E2280">
        <v>0.67454742099999998</v>
      </c>
      <c r="F2280" s="1" t="s">
        <v>46</v>
      </c>
      <c r="G2280" s="1">
        <v>0.98140043799999999</v>
      </c>
      <c r="H2280" s="1">
        <v>38.9</v>
      </c>
      <c r="I2280" s="1">
        <v>91.4</v>
      </c>
      <c r="J2280" s="1">
        <v>0.62263263699999993</v>
      </c>
      <c r="K2280" s="1">
        <v>0.54180634699999997</v>
      </c>
      <c r="L2280" s="1">
        <v>0.59470779900000004</v>
      </c>
      <c r="M2280" s="3">
        <v>0.69518155599999998</v>
      </c>
      <c r="N2280" s="1" t="s">
        <v>44</v>
      </c>
      <c r="O2280" s="1">
        <v>1.7403685090000001</v>
      </c>
      <c r="P2280" s="1">
        <v>41.2</v>
      </c>
      <c r="Q2280" s="1">
        <v>59.7</v>
      </c>
      <c r="R2280" s="1">
        <v>0.61056523400000007</v>
      </c>
      <c r="S2280" s="1">
        <v>9.7573994097412423E-2</v>
      </c>
      <c r="T2280" t="s">
        <v>2427</v>
      </c>
      <c r="U2280" s="1">
        <v>4525</v>
      </c>
      <c r="V2280">
        <f t="shared" si="140"/>
        <v>0.40617984261569134</v>
      </c>
      <c r="W2280" s="1">
        <f t="shared" si="141"/>
        <v>2.3000000000000043</v>
      </c>
      <c r="X2280">
        <f t="shared" si="142"/>
        <v>0.75896807100000008</v>
      </c>
      <c r="Y2280">
        <f t="shared" si="143"/>
        <v>31.700000000000003</v>
      </c>
      <c r="Z2280" s="1">
        <v>8</v>
      </c>
      <c r="AA2280">
        <v>92</v>
      </c>
      <c r="AB2280">
        <v>8.6999999999999994E-2</v>
      </c>
      <c r="AC2280">
        <v>11</v>
      </c>
      <c r="AD2280">
        <v>135</v>
      </c>
      <c r="AE2280">
        <v>8.1500000000000003E-2</v>
      </c>
      <c r="AF2280" t="s">
        <v>2589</v>
      </c>
      <c r="AG2280" t="s">
        <v>2589</v>
      </c>
    </row>
    <row r="2281" spans="1:33">
      <c r="A2281" s="2" t="s">
        <v>43</v>
      </c>
      <c r="B2281" s="2" t="s">
        <v>10</v>
      </c>
      <c r="C2281" s="1">
        <v>0.54180634699999997</v>
      </c>
      <c r="D2281">
        <v>0.59470779900000004</v>
      </c>
      <c r="E2281">
        <v>0.69518155599999998</v>
      </c>
      <c r="F2281" s="1" t="s">
        <v>44</v>
      </c>
      <c r="G2281" s="1">
        <v>1.7403685090000001</v>
      </c>
      <c r="H2281" s="1">
        <v>41.2</v>
      </c>
      <c r="I2281" s="1">
        <v>59.7</v>
      </c>
      <c r="J2281" s="1">
        <v>0.61056523400000007</v>
      </c>
      <c r="K2281" s="1">
        <v>0.52456325500000001</v>
      </c>
      <c r="L2281" s="1">
        <v>0.61925627999999999</v>
      </c>
      <c r="M2281" s="3">
        <v>0.72111139899999999</v>
      </c>
      <c r="N2281" s="1" t="s">
        <v>12</v>
      </c>
      <c r="O2281" s="1">
        <v>0.61690647499999995</v>
      </c>
      <c r="P2281" s="1">
        <v>30</v>
      </c>
      <c r="Q2281" s="1">
        <v>111.2</v>
      </c>
      <c r="R2281" s="1">
        <v>0.62164364466666666</v>
      </c>
      <c r="S2281" s="1">
        <v>3.9652350486856017E-2</v>
      </c>
      <c r="T2281" t="s">
        <v>2428</v>
      </c>
      <c r="U2281" s="1">
        <v>2407</v>
      </c>
      <c r="V2281">
        <f t="shared" si="140"/>
        <v>0.37571956558611441</v>
      </c>
      <c r="W2281" s="1">
        <f t="shared" si="141"/>
        <v>11.200000000000003</v>
      </c>
      <c r="X2281">
        <f t="shared" si="142"/>
        <v>1.1234620340000001</v>
      </c>
      <c r="Y2281">
        <f t="shared" si="143"/>
        <v>51.5</v>
      </c>
      <c r="Z2281" s="1">
        <v>4</v>
      </c>
      <c r="AA2281">
        <v>96</v>
      </c>
      <c r="AB2281">
        <v>4.1700000000000001E-2</v>
      </c>
      <c r="AC2281">
        <v>5</v>
      </c>
      <c r="AD2281">
        <v>185</v>
      </c>
      <c r="AE2281">
        <v>2.7E-2</v>
      </c>
      <c r="AF2281" t="s">
        <v>2589</v>
      </c>
      <c r="AG2281" t="s">
        <v>2588</v>
      </c>
    </row>
    <row r="2282" spans="1:33">
      <c r="A2282" s="2" t="s">
        <v>43</v>
      </c>
      <c r="B2282" s="2" t="s">
        <v>13</v>
      </c>
      <c r="C2282" s="1">
        <v>0.54180634699999997</v>
      </c>
      <c r="D2282">
        <v>0.59470779900000004</v>
      </c>
      <c r="E2282">
        <v>0.69518155599999998</v>
      </c>
      <c r="F2282" s="1" t="s">
        <v>44</v>
      </c>
      <c r="G2282" s="1">
        <v>1.7403685090000001</v>
      </c>
      <c r="H2282" s="1">
        <v>41.2</v>
      </c>
      <c r="I2282" s="1">
        <v>59.7</v>
      </c>
      <c r="J2282" s="1">
        <v>0.61056523400000007</v>
      </c>
      <c r="K2282" s="1">
        <v>0.48695497399999998</v>
      </c>
      <c r="L2282" s="1">
        <v>0.54991327199999995</v>
      </c>
      <c r="M2282" s="3">
        <v>0.67282609299999996</v>
      </c>
      <c r="N2282" s="1" t="s">
        <v>14</v>
      </c>
      <c r="O2282" s="1">
        <v>1.6052009460000001</v>
      </c>
      <c r="P2282" s="1">
        <v>26.6</v>
      </c>
      <c r="Q2282" s="1">
        <v>42.3</v>
      </c>
      <c r="R2282" s="1">
        <v>0.56989811299999993</v>
      </c>
      <c r="S2282" s="1">
        <v>7.4262975264146491E-2</v>
      </c>
      <c r="T2282" t="s">
        <v>2429</v>
      </c>
      <c r="U2282" s="1">
        <v>264</v>
      </c>
      <c r="V2282">
        <f t="shared" si="140"/>
        <v>0.26906710298553682</v>
      </c>
      <c r="W2282" s="1">
        <f t="shared" si="141"/>
        <v>14.600000000000001</v>
      </c>
      <c r="X2282">
        <f t="shared" si="142"/>
        <v>0.13516756299999999</v>
      </c>
      <c r="Y2282">
        <f t="shared" si="143"/>
        <v>17.400000000000006</v>
      </c>
      <c r="Z2282" s="1">
        <v>1</v>
      </c>
      <c r="AA2282">
        <v>99</v>
      </c>
      <c r="AB2282">
        <v>1.01E-2</v>
      </c>
      <c r="AC2282">
        <v>2</v>
      </c>
      <c r="AD2282">
        <v>135</v>
      </c>
      <c r="AE2282">
        <v>1.4800000000000001E-2</v>
      </c>
      <c r="AF2282" t="s">
        <v>2589</v>
      </c>
      <c r="AG2282" t="s">
        <v>2590</v>
      </c>
    </row>
    <row r="2283" spans="1:33">
      <c r="A2283" s="2" t="s">
        <v>43</v>
      </c>
      <c r="B2283" s="2" t="s">
        <v>15</v>
      </c>
      <c r="C2283" s="1">
        <v>0.54180634699999997</v>
      </c>
      <c r="D2283">
        <v>0.59470779900000004</v>
      </c>
      <c r="E2283">
        <v>0.69518155599999998</v>
      </c>
      <c r="F2283" s="1" t="s">
        <v>44</v>
      </c>
      <c r="G2283" s="1">
        <v>1.7403685090000001</v>
      </c>
      <c r="H2283" s="1">
        <v>41.2</v>
      </c>
      <c r="I2283" s="1">
        <v>59.7</v>
      </c>
      <c r="J2283" s="1">
        <v>0.61056523400000007</v>
      </c>
      <c r="K2283" s="1">
        <v>0.54560998800000005</v>
      </c>
      <c r="L2283" s="1">
        <v>0.66721428400000005</v>
      </c>
      <c r="M2283" s="3">
        <v>0.72650398400000005</v>
      </c>
      <c r="N2283" s="1" t="s">
        <v>16</v>
      </c>
      <c r="O2283" s="1">
        <v>5.1392405060000002</v>
      </c>
      <c r="P2283" s="1">
        <v>35.9</v>
      </c>
      <c r="Q2283" s="1">
        <v>15.8</v>
      </c>
      <c r="R2283" s="1">
        <v>0.64644275200000012</v>
      </c>
      <c r="S2283" s="1">
        <v>7.907434822828005E-2</v>
      </c>
      <c r="T2283" t="s">
        <v>2430</v>
      </c>
      <c r="U2283" s="1">
        <v>14721</v>
      </c>
      <c r="V2283">
        <f t="shared" si="140"/>
        <v>0.46310414585561976</v>
      </c>
      <c r="W2283" s="1">
        <f t="shared" si="141"/>
        <v>5.3000000000000043</v>
      </c>
      <c r="X2283">
        <f t="shared" si="142"/>
        <v>3.3988719970000001</v>
      </c>
      <c r="Y2283">
        <f t="shared" si="143"/>
        <v>43.900000000000006</v>
      </c>
      <c r="Z2283" s="1">
        <v>3</v>
      </c>
      <c r="AA2283">
        <v>97</v>
      </c>
      <c r="AB2283">
        <v>3.09E-2</v>
      </c>
      <c r="AC2283">
        <v>2</v>
      </c>
      <c r="AD2283">
        <v>131</v>
      </c>
      <c r="AE2283">
        <v>1.5299999999999999E-2</v>
      </c>
      <c r="AF2283" t="s">
        <v>2589</v>
      </c>
      <c r="AG2283" t="s">
        <v>2591</v>
      </c>
    </row>
    <row r="2284" spans="1:33">
      <c r="A2284" s="2" t="s">
        <v>43</v>
      </c>
      <c r="B2284" s="2" t="s">
        <v>17</v>
      </c>
      <c r="C2284" s="1">
        <v>0.54180634699999997</v>
      </c>
      <c r="D2284">
        <v>0.59470779900000004</v>
      </c>
      <c r="E2284">
        <v>0.69518155599999998</v>
      </c>
      <c r="F2284" s="1" t="s">
        <v>44</v>
      </c>
      <c r="G2284" s="1">
        <v>1.7403685090000001</v>
      </c>
      <c r="H2284" s="1">
        <v>41.2</v>
      </c>
      <c r="I2284" s="1">
        <v>59.7</v>
      </c>
      <c r="J2284" s="1">
        <v>0.61056523400000007</v>
      </c>
      <c r="K2284" s="1">
        <v>0.659112378</v>
      </c>
      <c r="L2284" s="1">
        <v>0.68333493499999998</v>
      </c>
      <c r="M2284" s="3">
        <v>0.70345495199999997</v>
      </c>
      <c r="N2284" s="1" t="s">
        <v>18</v>
      </c>
      <c r="O2284" s="1">
        <v>1.9463955639999999</v>
      </c>
      <c r="P2284" s="1">
        <v>46.3</v>
      </c>
      <c r="Q2284" s="1">
        <v>54.1</v>
      </c>
      <c r="R2284" s="1">
        <v>0.68196742166666668</v>
      </c>
      <c r="S2284" s="1">
        <v>0.14725462038899925</v>
      </c>
      <c r="T2284" t="s">
        <v>2431</v>
      </c>
      <c r="U2284" s="1">
        <v>5054</v>
      </c>
      <c r="V2284">
        <f t="shared" si="140"/>
        <v>0.41151502639821064</v>
      </c>
      <c r="W2284" s="1">
        <f t="shared" si="141"/>
        <v>5.0999999999999943</v>
      </c>
      <c r="X2284">
        <f t="shared" si="142"/>
        <v>0.20602705499999985</v>
      </c>
      <c r="Y2284">
        <f t="shared" si="143"/>
        <v>5.6000000000000014</v>
      </c>
      <c r="Z2284" s="1">
        <v>3</v>
      </c>
      <c r="AA2284">
        <v>97</v>
      </c>
      <c r="AB2284">
        <v>3.09E-2</v>
      </c>
      <c r="AC2284">
        <v>4</v>
      </c>
      <c r="AD2284">
        <v>143</v>
      </c>
      <c r="AE2284">
        <v>2.8000000000000001E-2</v>
      </c>
      <c r="AF2284" t="s">
        <v>2589</v>
      </c>
      <c r="AG2284" t="s">
        <v>2591</v>
      </c>
    </row>
    <row r="2285" spans="1:33">
      <c r="A2285" s="2" t="s">
        <v>43</v>
      </c>
      <c r="B2285" s="2" t="s">
        <v>19</v>
      </c>
      <c r="C2285" s="1">
        <v>0.54180634699999997</v>
      </c>
      <c r="D2285">
        <v>0.59470779900000004</v>
      </c>
      <c r="E2285">
        <v>0.69518155599999998</v>
      </c>
      <c r="F2285" s="1" t="s">
        <v>44</v>
      </c>
      <c r="G2285" s="1">
        <v>1.7403685090000001</v>
      </c>
      <c r="H2285" s="1">
        <v>41.2</v>
      </c>
      <c r="I2285" s="1">
        <v>59.7</v>
      </c>
      <c r="J2285" s="1">
        <v>0.61056523400000007</v>
      </c>
      <c r="K2285" s="1">
        <v>0.49391595300000002</v>
      </c>
      <c r="L2285" s="1">
        <v>0.603599314</v>
      </c>
      <c r="M2285" s="3">
        <v>0.63481471599999995</v>
      </c>
      <c r="N2285" s="1" t="s">
        <v>20</v>
      </c>
      <c r="O2285" s="1">
        <v>1.2140902870000001</v>
      </c>
      <c r="P2285" s="1">
        <v>64.900000000000006</v>
      </c>
      <c r="Q2285" s="1">
        <v>146.19999999999999</v>
      </c>
      <c r="R2285" s="1">
        <v>0.57744332766666662</v>
      </c>
      <c r="S2285" s="1">
        <v>7.7567417438355254E-2</v>
      </c>
      <c r="T2285" t="s">
        <v>2432</v>
      </c>
      <c r="U2285" s="1">
        <v>4741</v>
      </c>
      <c r="V2285">
        <f t="shared" si="140"/>
        <v>0.40842999503543959</v>
      </c>
      <c r="W2285" s="1">
        <f t="shared" si="141"/>
        <v>23.700000000000003</v>
      </c>
      <c r="X2285">
        <f t="shared" si="142"/>
        <v>0.52627822199999996</v>
      </c>
      <c r="Y2285">
        <f t="shared" si="143"/>
        <v>86.499999999999986</v>
      </c>
      <c r="Z2285" s="1">
        <v>12</v>
      </c>
      <c r="AA2285">
        <v>88</v>
      </c>
      <c r="AB2285">
        <v>0.13639999999999999</v>
      </c>
      <c r="AC2285">
        <v>12</v>
      </c>
      <c r="AD2285">
        <v>115</v>
      </c>
      <c r="AE2285">
        <v>0.1043</v>
      </c>
      <c r="AF2285" t="s">
        <v>2589</v>
      </c>
      <c r="AG2285" t="s">
        <v>2593</v>
      </c>
    </row>
    <row r="2286" spans="1:33">
      <c r="A2286" s="2" t="s">
        <v>43</v>
      </c>
      <c r="B2286" s="2" t="s">
        <v>21</v>
      </c>
      <c r="C2286" s="1">
        <v>0.54180634699999997</v>
      </c>
      <c r="D2286">
        <v>0.59470779900000004</v>
      </c>
      <c r="E2286">
        <v>0.69518155599999998</v>
      </c>
      <c r="F2286" s="1" t="s">
        <v>44</v>
      </c>
      <c r="G2286" s="1">
        <v>1.7403685090000001</v>
      </c>
      <c r="H2286" s="1">
        <v>41.2</v>
      </c>
      <c r="I2286" s="1">
        <v>59.7</v>
      </c>
      <c r="J2286" s="1">
        <v>0.61056523400000007</v>
      </c>
      <c r="K2286" s="1">
        <v>0.53276376800000003</v>
      </c>
      <c r="L2286" s="1">
        <v>0.65428149899999999</v>
      </c>
      <c r="M2286" s="3">
        <v>0.70160154799999996</v>
      </c>
      <c r="N2286" s="1" t="s">
        <v>22</v>
      </c>
      <c r="O2286" s="1">
        <v>1.2440604749999999</v>
      </c>
      <c r="P2286" s="1">
        <v>24.6</v>
      </c>
      <c r="Q2286" s="1">
        <v>46.3</v>
      </c>
      <c r="R2286" s="1">
        <v>0.62954893833333336</v>
      </c>
      <c r="S2286" s="1">
        <v>6.0597114320248766E-2</v>
      </c>
      <c r="T2286" t="s">
        <v>2433</v>
      </c>
      <c r="U2286" s="1">
        <v>11532</v>
      </c>
      <c r="V2286">
        <f t="shared" si="140"/>
        <v>0.45132273707957449</v>
      </c>
      <c r="W2286" s="1">
        <f t="shared" si="141"/>
        <v>16.600000000000001</v>
      </c>
      <c r="X2286">
        <f t="shared" si="142"/>
        <v>0.49630803400000012</v>
      </c>
      <c r="Y2286">
        <f t="shared" si="143"/>
        <v>13.400000000000006</v>
      </c>
      <c r="Z2286" s="1">
        <v>2</v>
      </c>
      <c r="AA2286">
        <v>98</v>
      </c>
      <c r="AB2286">
        <v>2.0400000000000001E-2</v>
      </c>
      <c r="AC2286">
        <v>3</v>
      </c>
      <c r="AD2286">
        <v>130</v>
      </c>
      <c r="AE2286">
        <v>2.3099999999999999E-2</v>
      </c>
      <c r="AF2286" t="s">
        <v>2589</v>
      </c>
      <c r="AG2286" t="s">
        <v>2589</v>
      </c>
    </row>
    <row r="2287" spans="1:33">
      <c r="A2287" s="2" t="s">
        <v>43</v>
      </c>
      <c r="B2287" s="2" t="s">
        <v>23</v>
      </c>
      <c r="C2287" s="1">
        <v>0.54180634699999997</v>
      </c>
      <c r="D2287">
        <v>0.59470779900000004</v>
      </c>
      <c r="E2287">
        <v>0.69518155599999998</v>
      </c>
      <c r="F2287" s="1" t="s">
        <v>44</v>
      </c>
      <c r="G2287" s="1">
        <v>1.7403685090000001</v>
      </c>
      <c r="H2287" s="1">
        <v>41.2</v>
      </c>
      <c r="I2287" s="1">
        <v>59.7</v>
      </c>
      <c r="J2287" s="1">
        <v>0.61056523400000007</v>
      </c>
      <c r="K2287" s="1">
        <v>0.49415677200000002</v>
      </c>
      <c r="L2287" s="1">
        <v>0.62090818999999997</v>
      </c>
      <c r="M2287" s="3">
        <v>0.63381026900000004</v>
      </c>
      <c r="N2287" s="1" t="s">
        <v>24</v>
      </c>
      <c r="O2287" s="1">
        <v>1.141304348</v>
      </c>
      <c r="P2287" s="1">
        <v>44.4</v>
      </c>
      <c r="Q2287" s="1">
        <v>101.2</v>
      </c>
      <c r="R2287" s="1">
        <v>0.58295841033333329</v>
      </c>
      <c r="S2287" s="1">
        <v>8.1996203291797964E-2</v>
      </c>
      <c r="T2287" t="s">
        <v>2434</v>
      </c>
      <c r="U2287" s="1">
        <v>585</v>
      </c>
      <c r="V2287">
        <f t="shared" si="140"/>
        <v>0.30746176289802007</v>
      </c>
      <c r="W2287" s="1">
        <f t="shared" si="141"/>
        <v>3.1999999999999957</v>
      </c>
      <c r="X2287">
        <f t="shared" si="142"/>
        <v>0.59906416100000004</v>
      </c>
      <c r="Y2287">
        <f t="shared" si="143"/>
        <v>41.5</v>
      </c>
      <c r="Z2287" s="1">
        <v>3</v>
      </c>
      <c r="AA2287">
        <v>97</v>
      </c>
      <c r="AB2287">
        <v>3.09E-2</v>
      </c>
      <c r="AC2287">
        <v>4</v>
      </c>
      <c r="AD2287">
        <v>125</v>
      </c>
      <c r="AE2287">
        <v>3.2000000000000001E-2</v>
      </c>
      <c r="AF2287" t="s">
        <v>2589</v>
      </c>
      <c r="AG2287" t="s">
        <v>2590</v>
      </c>
    </row>
    <row r="2288" spans="1:33">
      <c r="A2288" s="2" t="s">
        <v>43</v>
      </c>
      <c r="B2288" s="2" t="s">
        <v>25</v>
      </c>
      <c r="C2288" s="1">
        <v>0.54180634699999997</v>
      </c>
      <c r="D2288">
        <v>0.59470779900000004</v>
      </c>
      <c r="E2288">
        <v>0.69518155599999998</v>
      </c>
      <c r="F2288" s="1" t="s">
        <v>44</v>
      </c>
      <c r="G2288" s="1">
        <v>1.7403685090000001</v>
      </c>
      <c r="H2288" s="1">
        <v>41.2</v>
      </c>
      <c r="I2288" s="1">
        <v>59.7</v>
      </c>
      <c r="J2288" s="1">
        <v>0.61056523400000007</v>
      </c>
      <c r="K2288" s="1">
        <v>0.53959274199999996</v>
      </c>
      <c r="L2288" s="1">
        <v>0.64971567399999997</v>
      </c>
      <c r="M2288" s="3">
        <v>0.65028459999999999</v>
      </c>
      <c r="N2288" s="1" t="s">
        <v>26</v>
      </c>
      <c r="O2288" s="1">
        <v>1.623046875</v>
      </c>
      <c r="P2288" s="1">
        <v>34.700000000000003</v>
      </c>
      <c r="Q2288" s="1">
        <v>51.2</v>
      </c>
      <c r="R2288" s="1">
        <v>0.61319767199999997</v>
      </c>
      <c r="S2288" s="1">
        <v>7.1038743071492869E-2</v>
      </c>
      <c r="T2288" t="s">
        <v>2435</v>
      </c>
      <c r="U2288" s="1">
        <v>1249</v>
      </c>
      <c r="V2288">
        <f t="shared" si="140"/>
        <v>0.34406249315268173</v>
      </c>
      <c r="W2288" s="1">
        <f t="shared" si="141"/>
        <v>6.5</v>
      </c>
      <c r="X2288">
        <f t="shared" si="142"/>
        <v>0.11732163400000006</v>
      </c>
      <c r="Y2288">
        <f t="shared" si="143"/>
        <v>8.5</v>
      </c>
      <c r="Z2288" s="1">
        <v>0</v>
      </c>
      <c r="AA2288">
        <v>100</v>
      </c>
      <c r="AB2288">
        <v>0</v>
      </c>
      <c r="AC2288">
        <v>1</v>
      </c>
      <c r="AD2288">
        <v>130</v>
      </c>
      <c r="AE2288">
        <v>7.7000000000000002E-3</v>
      </c>
      <c r="AF2288" t="s">
        <v>2589</v>
      </c>
      <c r="AG2288" t="s">
        <v>2594</v>
      </c>
    </row>
    <row r="2289" spans="1:33">
      <c r="A2289" s="2" t="s">
        <v>43</v>
      </c>
      <c r="B2289" s="2" t="s">
        <v>27</v>
      </c>
      <c r="C2289" s="1">
        <v>0.54180634699999997</v>
      </c>
      <c r="D2289">
        <v>0.59470779900000004</v>
      </c>
      <c r="E2289">
        <v>0.69518155599999998</v>
      </c>
      <c r="F2289" s="1" t="s">
        <v>44</v>
      </c>
      <c r="G2289" s="1">
        <v>1.7403685090000001</v>
      </c>
      <c r="H2289" s="1">
        <v>41.2</v>
      </c>
      <c r="I2289" s="1">
        <v>59.7</v>
      </c>
      <c r="J2289" s="1">
        <v>0.61056523400000007</v>
      </c>
      <c r="K2289" s="1">
        <v>0.518608662</v>
      </c>
      <c r="L2289" s="1">
        <v>0.64320369700000002</v>
      </c>
      <c r="M2289" s="3">
        <v>0.62228994199999998</v>
      </c>
      <c r="N2289" s="1" t="s">
        <v>28</v>
      </c>
      <c r="O2289" s="1">
        <v>1.8717391299999999</v>
      </c>
      <c r="P2289" s="1">
        <v>33.700000000000003</v>
      </c>
      <c r="Q2289" s="1">
        <v>46</v>
      </c>
      <c r="R2289" s="1">
        <v>0.59470076699999996</v>
      </c>
      <c r="S2289" s="1">
        <v>9.0571364700498036E-2</v>
      </c>
      <c r="T2289" t="s">
        <v>2436</v>
      </c>
      <c r="U2289" s="1">
        <v>822</v>
      </c>
      <c r="V2289">
        <f t="shared" si="140"/>
        <v>0.32387464639333896</v>
      </c>
      <c r="W2289" s="1">
        <f t="shared" si="141"/>
        <v>7.5</v>
      </c>
      <c r="X2289">
        <f t="shared" si="142"/>
        <v>0.13137062099999985</v>
      </c>
      <c r="Y2289">
        <f t="shared" si="143"/>
        <v>13.700000000000003</v>
      </c>
      <c r="Z2289" s="1">
        <v>2</v>
      </c>
      <c r="AA2289">
        <v>98</v>
      </c>
      <c r="AB2289">
        <v>2.0400000000000001E-2</v>
      </c>
      <c r="AC2289">
        <v>3</v>
      </c>
      <c r="AD2289">
        <v>135</v>
      </c>
      <c r="AE2289">
        <v>2.2200000000000001E-2</v>
      </c>
      <c r="AF2289" t="s">
        <v>2589</v>
      </c>
      <c r="AG2289" t="s">
        <v>2590</v>
      </c>
    </row>
    <row r="2290" spans="1:33">
      <c r="A2290" s="2" t="s">
        <v>43</v>
      </c>
      <c r="B2290" s="2" t="s">
        <v>29</v>
      </c>
      <c r="C2290" s="1">
        <v>0.54180634699999997</v>
      </c>
      <c r="D2290">
        <v>0.59470779900000004</v>
      </c>
      <c r="E2290">
        <v>0.69518155599999998</v>
      </c>
      <c r="F2290" s="1" t="s">
        <v>44</v>
      </c>
      <c r="G2290" s="1">
        <v>1.7403685090000001</v>
      </c>
      <c r="H2290" s="1">
        <v>41.2</v>
      </c>
      <c r="I2290" s="1">
        <v>59.7</v>
      </c>
      <c r="J2290" s="1">
        <v>0.61056523400000007</v>
      </c>
      <c r="K2290" s="1">
        <v>0.59351545100000003</v>
      </c>
      <c r="L2290" s="1">
        <v>0.68136602400000001</v>
      </c>
      <c r="M2290" s="3">
        <v>0.73518087600000004</v>
      </c>
      <c r="N2290" s="1" t="s">
        <v>30</v>
      </c>
      <c r="O2290" s="1">
        <v>2.849112426</v>
      </c>
      <c r="P2290" s="1">
        <v>37.9</v>
      </c>
      <c r="Q2290" s="1">
        <v>33.799999999999997</v>
      </c>
      <c r="R2290" s="1">
        <v>0.67002078366666673</v>
      </c>
      <c r="S2290" s="1">
        <v>0.10855148546701629</v>
      </c>
      <c r="T2290" t="s">
        <v>2437</v>
      </c>
      <c r="U2290" s="1">
        <v>1113</v>
      </c>
      <c r="V2290">
        <f t="shared" si="140"/>
        <v>0.33849946270385645</v>
      </c>
      <c r="W2290" s="1">
        <f t="shared" si="141"/>
        <v>3.3000000000000043</v>
      </c>
      <c r="X2290">
        <f t="shared" si="142"/>
        <v>1.108743917</v>
      </c>
      <c r="Y2290">
        <f t="shared" si="143"/>
        <v>25.900000000000006</v>
      </c>
      <c r="Z2290" s="1">
        <v>3</v>
      </c>
      <c r="AA2290">
        <v>97</v>
      </c>
      <c r="AB2290">
        <v>3.09E-2</v>
      </c>
      <c r="AC2290">
        <v>2</v>
      </c>
      <c r="AD2290">
        <v>125</v>
      </c>
      <c r="AE2290">
        <v>1.6E-2</v>
      </c>
      <c r="AF2290" t="s">
        <v>2589</v>
      </c>
      <c r="AG2290" t="s">
        <v>2593</v>
      </c>
    </row>
    <row r="2291" spans="1:33">
      <c r="A2291" s="2" t="s">
        <v>43</v>
      </c>
      <c r="B2291" s="2" t="s">
        <v>31</v>
      </c>
      <c r="C2291" s="1">
        <v>0.54180634699999997</v>
      </c>
      <c r="D2291">
        <v>0.59470779900000004</v>
      </c>
      <c r="E2291">
        <v>0.69518155599999998</v>
      </c>
      <c r="F2291" s="1" t="s">
        <v>44</v>
      </c>
      <c r="G2291" s="1">
        <v>1.7403685090000001</v>
      </c>
      <c r="H2291" s="1">
        <v>41.2</v>
      </c>
      <c r="I2291" s="1">
        <v>59.7</v>
      </c>
      <c r="J2291" s="1">
        <v>0.61056523400000007</v>
      </c>
      <c r="K2291" s="1">
        <v>0.47727961800000002</v>
      </c>
      <c r="L2291" s="1">
        <v>0.66941086400000005</v>
      </c>
      <c r="M2291" s="3">
        <v>0.69294815300000001</v>
      </c>
      <c r="N2291" s="1" t="s">
        <v>32</v>
      </c>
      <c r="O2291" s="1">
        <v>1.341891892</v>
      </c>
      <c r="P2291" s="1">
        <v>42.1</v>
      </c>
      <c r="Q2291" s="1">
        <v>74</v>
      </c>
      <c r="R2291" s="1">
        <v>0.61321287833333338</v>
      </c>
      <c r="S2291" s="1">
        <v>9.8738213295532493E-2</v>
      </c>
      <c r="T2291" t="s">
        <v>2438</v>
      </c>
      <c r="U2291" s="1">
        <v>3419</v>
      </c>
      <c r="V2291">
        <f t="shared" si="140"/>
        <v>0.39265545564406606</v>
      </c>
      <c r="W2291" s="1">
        <f t="shared" si="141"/>
        <v>0.89999999999999858</v>
      </c>
      <c r="X2291">
        <f t="shared" si="142"/>
        <v>0.39847661700000003</v>
      </c>
      <c r="Y2291">
        <f t="shared" si="143"/>
        <v>14.299999999999997</v>
      </c>
      <c r="Z2291" s="1">
        <v>9</v>
      </c>
      <c r="AA2291">
        <v>91</v>
      </c>
      <c r="AB2291">
        <v>9.8900000000000002E-2</v>
      </c>
      <c r="AC2291">
        <v>12</v>
      </c>
      <c r="AD2291">
        <v>123</v>
      </c>
      <c r="AE2291">
        <v>9.7600000000000006E-2</v>
      </c>
      <c r="AF2291" t="s">
        <v>2589</v>
      </c>
      <c r="AG2291" t="s">
        <v>2589</v>
      </c>
    </row>
    <row r="2292" spans="1:33">
      <c r="A2292" s="2" t="s">
        <v>43</v>
      </c>
      <c r="B2292" s="2" t="s">
        <v>33</v>
      </c>
      <c r="C2292" s="1">
        <v>0.54180634699999997</v>
      </c>
      <c r="D2292">
        <v>0.59470779900000004</v>
      </c>
      <c r="E2292">
        <v>0.69518155599999998</v>
      </c>
      <c r="F2292" s="1" t="s">
        <v>44</v>
      </c>
      <c r="G2292" s="1">
        <v>1.7403685090000001</v>
      </c>
      <c r="H2292" s="1">
        <v>41.2</v>
      </c>
      <c r="I2292" s="1">
        <v>59.7</v>
      </c>
      <c r="J2292" s="1">
        <v>0.61056523400000007</v>
      </c>
      <c r="K2292" s="1">
        <v>0.51347926600000005</v>
      </c>
      <c r="L2292" s="1">
        <v>0.63144379399999995</v>
      </c>
      <c r="M2292" s="3">
        <v>0.64189093500000005</v>
      </c>
      <c r="N2292" s="1" t="s">
        <v>34</v>
      </c>
      <c r="O2292" s="1">
        <v>2.3123667380000001</v>
      </c>
      <c r="P2292" s="1">
        <v>79.099999999999994</v>
      </c>
      <c r="Q2292" s="1">
        <v>93.8</v>
      </c>
      <c r="R2292" s="1">
        <v>0.59560466500000009</v>
      </c>
      <c r="S2292" s="1">
        <v>7.0653005124949972E-2</v>
      </c>
      <c r="T2292" t="s">
        <v>2439</v>
      </c>
      <c r="U2292" s="1">
        <v>4021</v>
      </c>
      <c r="V2292">
        <f t="shared" si="140"/>
        <v>0.40048156367810123</v>
      </c>
      <c r="W2292" s="1">
        <f t="shared" si="141"/>
        <v>37.899999999999991</v>
      </c>
      <c r="X2292">
        <f t="shared" si="142"/>
        <v>0.57199822900000008</v>
      </c>
      <c r="Y2292">
        <f t="shared" si="143"/>
        <v>34.099999999999994</v>
      </c>
      <c r="Z2292" s="1">
        <v>7</v>
      </c>
      <c r="AA2292">
        <v>93</v>
      </c>
      <c r="AB2292">
        <v>7.5300000000000006E-2</v>
      </c>
      <c r="AC2292">
        <v>7</v>
      </c>
      <c r="AD2292">
        <v>122</v>
      </c>
      <c r="AE2292">
        <v>5.74E-2</v>
      </c>
      <c r="AF2292" t="s">
        <v>2589</v>
      </c>
      <c r="AG2292" t="s">
        <v>2590</v>
      </c>
    </row>
    <row r="2293" spans="1:33">
      <c r="A2293" s="2" t="s">
        <v>43</v>
      </c>
      <c r="B2293" s="2" t="s">
        <v>35</v>
      </c>
      <c r="C2293" s="1">
        <v>0.54180634699999997</v>
      </c>
      <c r="D2293">
        <v>0.59470779900000004</v>
      </c>
      <c r="E2293">
        <v>0.69518155599999998</v>
      </c>
      <c r="F2293" s="1" t="s">
        <v>44</v>
      </c>
      <c r="G2293" s="1">
        <v>1.7403685090000001</v>
      </c>
      <c r="H2293" s="1">
        <v>41.2</v>
      </c>
      <c r="I2293" s="1">
        <v>59.7</v>
      </c>
      <c r="J2293" s="1">
        <v>0.61056523400000007</v>
      </c>
      <c r="K2293" s="1">
        <v>0.52542897600000005</v>
      </c>
      <c r="L2293" s="1">
        <v>0.60774736299999998</v>
      </c>
      <c r="M2293" s="3">
        <v>0.62585751700000003</v>
      </c>
      <c r="N2293" s="1" t="s">
        <v>36</v>
      </c>
      <c r="O2293" s="1">
        <v>0.98848810399999998</v>
      </c>
      <c r="P2293" s="1">
        <v>54.2</v>
      </c>
      <c r="Q2293" s="1">
        <v>130.30000000000001</v>
      </c>
      <c r="R2293" s="1">
        <v>0.58634461866666665</v>
      </c>
      <c r="S2293" s="1">
        <v>7.241595745038E-2</v>
      </c>
      <c r="T2293" t="s">
        <v>2440</v>
      </c>
      <c r="U2293" s="1">
        <v>9116</v>
      </c>
      <c r="V2293">
        <f t="shared" si="140"/>
        <v>0.43997825738981533</v>
      </c>
      <c r="W2293" s="1">
        <f t="shared" si="141"/>
        <v>13</v>
      </c>
      <c r="X2293">
        <f t="shared" si="142"/>
        <v>0.75188040500000008</v>
      </c>
      <c r="Y2293">
        <f t="shared" si="143"/>
        <v>70.600000000000009</v>
      </c>
      <c r="Z2293" s="1">
        <v>8</v>
      </c>
      <c r="AA2293">
        <v>92</v>
      </c>
      <c r="AB2293">
        <v>8.6999999999999994E-2</v>
      </c>
      <c r="AC2293">
        <v>11</v>
      </c>
      <c r="AD2293">
        <v>117</v>
      </c>
      <c r="AE2293">
        <v>9.4E-2</v>
      </c>
      <c r="AF2293" t="s">
        <v>2589</v>
      </c>
      <c r="AG2293" t="s">
        <v>2589</v>
      </c>
    </row>
    <row r="2294" spans="1:33">
      <c r="A2294" s="2" t="s">
        <v>43</v>
      </c>
      <c r="B2294" s="2" t="s">
        <v>37</v>
      </c>
      <c r="C2294" s="1">
        <v>0.54180634699999997</v>
      </c>
      <c r="D2294">
        <v>0.59470779900000004</v>
      </c>
      <c r="E2294">
        <v>0.69518155599999998</v>
      </c>
      <c r="F2294" s="1" t="s">
        <v>44</v>
      </c>
      <c r="G2294" s="1">
        <v>1.7403685090000001</v>
      </c>
      <c r="H2294" s="1">
        <v>41.2</v>
      </c>
      <c r="I2294" s="1">
        <v>59.7</v>
      </c>
      <c r="J2294" s="1">
        <v>0.61056523400000007</v>
      </c>
      <c r="K2294" s="1">
        <v>0.50856695500000004</v>
      </c>
      <c r="L2294" s="1">
        <v>0.654733224</v>
      </c>
      <c r="M2294" s="3">
        <v>0.61418267199999999</v>
      </c>
      <c r="N2294" s="1" t="s">
        <v>38</v>
      </c>
      <c r="O2294" s="1">
        <v>0.64065708399999999</v>
      </c>
      <c r="P2294" s="1">
        <v>41.9</v>
      </c>
      <c r="Q2294" s="1">
        <v>146.1</v>
      </c>
      <c r="R2294" s="1">
        <v>0.59249428366666679</v>
      </c>
      <c r="S2294" s="1">
        <v>0.10615426527561544</v>
      </c>
      <c r="T2294" t="s">
        <v>2441</v>
      </c>
      <c r="U2294" s="1">
        <v>5186</v>
      </c>
      <c r="V2294">
        <f t="shared" si="140"/>
        <v>0.41275916804814805</v>
      </c>
      <c r="W2294" s="1">
        <f t="shared" si="141"/>
        <v>0.69999999999999574</v>
      </c>
      <c r="X2294">
        <f t="shared" si="142"/>
        <v>1.0997114250000002</v>
      </c>
      <c r="Y2294">
        <f t="shared" si="143"/>
        <v>86.399999999999991</v>
      </c>
      <c r="Z2294" s="1">
        <v>7</v>
      </c>
      <c r="AA2294">
        <v>93</v>
      </c>
      <c r="AB2294">
        <v>7.5300000000000006E-2</v>
      </c>
      <c r="AC2294">
        <v>8</v>
      </c>
      <c r="AD2294">
        <v>119</v>
      </c>
      <c r="AE2294">
        <v>6.7199999999999996E-2</v>
      </c>
      <c r="AF2294" t="s">
        <v>2589</v>
      </c>
      <c r="AG2294" t="s">
        <v>2590</v>
      </c>
    </row>
    <row r="2295" spans="1:33">
      <c r="A2295" s="2" t="s">
        <v>43</v>
      </c>
      <c r="B2295" s="2" t="s">
        <v>39</v>
      </c>
      <c r="C2295" s="1">
        <v>0.54180634699999997</v>
      </c>
      <c r="D2295">
        <v>0.59470779900000004</v>
      </c>
      <c r="E2295">
        <v>0.69518155599999998</v>
      </c>
      <c r="F2295" s="1" t="s">
        <v>44</v>
      </c>
      <c r="G2295" s="1">
        <v>1.7403685090000001</v>
      </c>
      <c r="H2295" s="1">
        <v>41.2</v>
      </c>
      <c r="I2295" s="1">
        <v>59.7</v>
      </c>
      <c r="J2295" s="1">
        <v>0.61056523400000007</v>
      </c>
      <c r="K2295" s="1">
        <v>0.60811616199999996</v>
      </c>
      <c r="L2295" s="1">
        <v>0.721105683</v>
      </c>
      <c r="M2295" s="3">
        <v>0.741016169</v>
      </c>
      <c r="N2295" s="1" t="s">
        <v>40</v>
      </c>
      <c r="O2295" s="1">
        <v>1.0601915180000001</v>
      </c>
      <c r="P2295" s="1">
        <v>34</v>
      </c>
      <c r="Q2295" s="1">
        <v>73.099999999999994</v>
      </c>
      <c r="R2295" s="1">
        <v>0.69007933799999999</v>
      </c>
      <c r="S2295" s="1">
        <v>0.14991407003304072</v>
      </c>
      <c r="T2295" t="s">
        <v>2442</v>
      </c>
      <c r="U2295" s="1">
        <v>9838</v>
      </c>
      <c r="V2295">
        <f t="shared" si="140"/>
        <v>0.44365631313592363</v>
      </c>
      <c r="W2295" s="1">
        <f t="shared" si="141"/>
        <v>7.2000000000000028</v>
      </c>
      <c r="X2295">
        <f t="shared" si="142"/>
        <v>0.68017699099999995</v>
      </c>
      <c r="Y2295">
        <f t="shared" si="143"/>
        <v>13.399999999999991</v>
      </c>
      <c r="Z2295" s="1">
        <v>3</v>
      </c>
      <c r="AA2295">
        <v>97</v>
      </c>
      <c r="AB2295">
        <v>3.09E-2</v>
      </c>
      <c r="AC2295">
        <v>5</v>
      </c>
      <c r="AD2295">
        <v>125</v>
      </c>
      <c r="AE2295">
        <v>0.04</v>
      </c>
      <c r="AF2295" t="s">
        <v>2589</v>
      </c>
      <c r="AG2295" t="s">
        <v>2589</v>
      </c>
    </row>
    <row r="2296" spans="1:33">
      <c r="A2296" s="2" t="s">
        <v>43</v>
      </c>
      <c r="B2296" s="2" t="s">
        <v>41</v>
      </c>
      <c r="C2296" s="1">
        <v>0.54180634699999997</v>
      </c>
      <c r="D2296">
        <v>0.59470779900000004</v>
      </c>
      <c r="E2296">
        <v>0.69518155599999998</v>
      </c>
      <c r="F2296" s="1" t="s">
        <v>44</v>
      </c>
      <c r="G2296" s="1">
        <v>1.7403685090000001</v>
      </c>
      <c r="H2296" s="1">
        <v>41.2</v>
      </c>
      <c r="I2296" s="1">
        <v>59.7</v>
      </c>
      <c r="J2296" s="1">
        <v>0.61056523400000007</v>
      </c>
      <c r="K2296" s="1">
        <v>0.60402244999999999</v>
      </c>
      <c r="L2296" s="1">
        <v>0.669189213</v>
      </c>
      <c r="M2296" s="3">
        <v>0.69821693799999995</v>
      </c>
      <c r="N2296" s="1" t="s">
        <v>42</v>
      </c>
      <c r="O2296" s="1">
        <v>1.3243902439999999</v>
      </c>
      <c r="P2296" s="1">
        <v>23</v>
      </c>
      <c r="Q2296" s="1">
        <v>41</v>
      </c>
      <c r="R2296" s="1">
        <v>0.65714286700000002</v>
      </c>
      <c r="S2296" s="1">
        <v>9.7095509926216073E-2</v>
      </c>
      <c r="T2296" t="s">
        <v>2443</v>
      </c>
      <c r="U2296" s="1">
        <v>4089</v>
      </c>
      <c r="V2296">
        <f t="shared" si="140"/>
        <v>0.40129079006159291</v>
      </c>
      <c r="W2296" s="1">
        <f t="shared" si="141"/>
        <v>18.200000000000003</v>
      </c>
      <c r="X2296">
        <f t="shared" si="142"/>
        <v>0.41597826500000012</v>
      </c>
      <c r="Y2296">
        <f t="shared" si="143"/>
        <v>18.700000000000003</v>
      </c>
      <c r="Z2296" s="1">
        <v>3</v>
      </c>
      <c r="AA2296">
        <v>97</v>
      </c>
      <c r="AB2296">
        <v>3.09E-2</v>
      </c>
      <c r="AC2296">
        <v>3</v>
      </c>
      <c r="AD2296">
        <v>141</v>
      </c>
      <c r="AE2296">
        <v>2.1299999999999999E-2</v>
      </c>
      <c r="AF2296" t="s">
        <v>2589</v>
      </c>
      <c r="AG2296" t="s">
        <v>2591</v>
      </c>
    </row>
    <row r="2297" spans="1:33">
      <c r="A2297" s="2" t="s">
        <v>41</v>
      </c>
      <c r="B2297" s="2" t="s">
        <v>10</v>
      </c>
      <c r="C2297" s="1">
        <v>0.60402244999999999</v>
      </c>
      <c r="D2297">
        <v>0.669189213</v>
      </c>
      <c r="E2297">
        <v>0.69821693799999995</v>
      </c>
      <c r="F2297" s="1" t="s">
        <v>42</v>
      </c>
      <c r="G2297" s="1">
        <v>1.3243902439999999</v>
      </c>
      <c r="H2297" s="1">
        <v>23</v>
      </c>
      <c r="I2297" s="1">
        <v>41</v>
      </c>
      <c r="J2297" s="1">
        <v>0.65714286700000002</v>
      </c>
      <c r="K2297" s="1">
        <v>0.52456325500000001</v>
      </c>
      <c r="L2297" s="1">
        <v>0.61925627999999999</v>
      </c>
      <c r="M2297" s="3">
        <v>0.72111139899999999</v>
      </c>
      <c r="N2297" s="1" t="s">
        <v>12</v>
      </c>
      <c r="O2297" s="1">
        <v>0.61690647499999995</v>
      </c>
      <c r="P2297" s="1">
        <v>30</v>
      </c>
      <c r="Q2297" s="1">
        <v>111.2</v>
      </c>
      <c r="R2297" s="1">
        <v>0.62164364466666666</v>
      </c>
      <c r="S2297" s="1">
        <v>9.6598228826987473E-2</v>
      </c>
      <c r="T2297" t="s">
        <v>2444</v>
      </c>
      <c r="U2297" s="1">
        <v>191</v>
      </c>
      <c r="V2297">
        <f t="shared" si="140"/>
        <v>0.25344815191641418</v>
      </c>
      <c r="W2297" s="1">
        <f t="shared" si="141"/>
        <v>7</v>
      </c>
      <c r="X2297">
        <f t="shared" si="142"/>
        <v>0.70748376899999998</v>
      </c>
      <c r="Y2297">
        <f t="shared" si="143"/>
        <v>70.2</v>
      </c>
      <c r="Z2297" s="1">
        <v>0</v>
      </c>
      <c r="AA2297">
        <v>100</v>
      </c>
      <c r="AB2297">
        <v>0</v>
      </c>
      <c r="AC2297">
        <v>0</v>
      </c>
      <c r="AD2297">
        <v>168</v>
      </c>
      <c r="AE2297">
        <v>0</v>
      </c>
      <c r="AF2297" t="s">
        <v>2591</v>
      </c>
      <c r="AG2297" t="s">
        <v>2588</v>
      </c>
    </row>
    <row r="2298" spans="1:33">
      <c r="A2298" s="2" t="s">
        <v>41</v>
      </c>
      <c r="B2298" s="2" t="s">
        <v>13</v>
      </c>
      <c r="C2298" s="1">
        <v>0.60402244999999999</v>
      </c>
      <c r="D2298">
        <v>0.669189213</v>
      </c>
      <c r="E2298">
        <v>0.69821693799999995</v>
      </c>
      <c r="F2298" s="1" t="s">
        <v>42</v>
      </c>
      <c r="G2298" s="1">
        <v>1.3243902439999999</v>
      </c>
      <c r="H2298" s="1">
        <v>23</v>
      </c>
      <c r="I2298" s="1">
        <v>41</v>
      </c>
      <c r="J2298" s="1">
        <v>0.65714286700000002</v>
      </c>
      <c r="K2298" s="1">
        <v>0.48695497399999998</v>
      </c>
      <c r="L2298" s="1">
        <v>0.54991327199999995</v>
      </c>
      <c r="M2298" s="3">
        <v>0.67282609299999996</v>
      </c>
      <c r="N2298" s="1" t="s">
        <v>14</v>
      </c>
      <c r="O2298" s="1">
        <v>1.6052009460000001</v>
      </c>
      <c r="P2298" s="1">
        <v>26.6</v>
      </c>
      <c r="Q2298" s="1">
        <v>42.3</v>
      </c>
      <c r="R2298" s="1">
        <v>0.56989811299999993</v>
      </c>
      <c r="S2298" s="1">
        <v>0.16904507992917184</v>
      </c>
      <c r="T2298" t="s">
        <v>2445</v>
      </c>
      <c r="U2298" s="1">
        <v>241</v>
      </c>
      <c r="V2298">
        <f t="shared" si="140"/>
        <v>0.26466856028609648</v>
      </c>
      <c r="W2298" s="1">
        <f t="shared" si="141"/>
        <v>3.6000000000000014</v>
      </c>
      <c r="X2298">
        <f t="shared" si="142"/>
        <v>0.28081070200000013</v>
      </c>
      <c r="Y2298">
        <f t="shared" si="143"/>
        <v>1.2999999999999972</v>
      </c>
      <c r="Z2298" s="1">
        <v>2</v>
      </c>
      <c r="AA2298">
        <v>98</v>
      </c>
      <c r="AB2298">
        <v>2.0400000000000001E-2</v>
      </c>
      <c r="AC2298">
        <v>3</v>
      </c>
      <c r="AD2298">
        <v>112</v>
      </c>
      <c r="AE2298">
        <v>2.6800000000000001E-2</v>
      </c>
      <c r="AF2298" t="s">
        <v>2591</v>
      </c>
      <c r="AG2298" t="s">
        <v>2590</v>
      </c>
    </row>
    <row r="2299" spans="1:33">
      <c r="A2299" s="2" t="s">
        <v>41</v>
      </c>
      <c r="B2299" s="2" t="s">
        <v>15</v>
      </c>
      <c r="C2299" s="1">
        <v>0.60402244999999999</v>
      </c>
      <c r="D2299">
        <v>0.669189213</v>
      </c>
      <c r="E2299">
        <v>0.69821693799999995</v>
      </c>
      <c r="F2299" s="1" t="s">
        <v>42</v>
      </c>
      <c r="G2299" s="1">
        <v>1.3243902439999999</v>
      </c>
      <c r="H2299" s="1">
        <v>23</v>
      </c>
      <c r="I2299" s="1">
        <v>41</v>
      </c>
      <c r="J2299" s="1">
        <v>0.65714286700000002</v>
      </c>
      <c r="K2299" s="1">
        <v>0.54560998800000005</v>
      </c>
      <c r="L2299" s="1">
        <v>0.66721428400000005</v>
      </c>
      <c r="M2299" s="3">
        <v>0.72650398400000005</v>
      </c>
      <c r="N2299" s="1" t="s">
        <v>16</v>
      </c>
      <c r="O2299" s="1">
        <v>5.1392405060000002</v>
      </c>
      <c r="P2299" s="1">
        <v>35.9</v>
      </c>
      <c r="Q2299" s="1">
        <v>15.8</v>
      </c>
      <c r="R2299" s="1">
        <v>0.64644275200000012</v>
      </c>
      <c r="S2299" s="1">
        <v>6.4931294711122148E-2</v>
      </c>
      <c r="T2299" t="s">
        <v>2446</v>
      </c>
      <c r="U2299" s="1">
        <v>12737</v>
      </c>
      <c r="V2299">
        <f t="shared" si="140"/>
        <v>0.45611857209001372</v>
      </c>
      <c r="W2299" s="1">
        <f t="shared" si="141"/>
        <v>12.899999999999999</v>
      </c>
      <c r="X2299">
        <f t="shared" si="142"/>
        <v>3.8148502620000002</v>
      </c>
      <c r="Y2299">
        <f t="shared" si="143"/>
        <v>25.2</v>
      </c>
      <c r="Z2299" s="1">
        <v>25</v>
      </c>
      <c r="AA2299">
        <v>75</v>
      </c>
      <c r="AB2299">
        <v>0.33329999999999999</v>
      </c>
      <c r="AC2299">
        <v>29</v>
      </c>
      <c r="AD2299">
        <v>82</v>
      </c>
      <c r="AE2299">
        <v>0.35370000000000001</v>
      </c>
      <c r="AF2299" t="s">
        <v>2591</v>
      </c>
      <c r="AG2299" t="s">
        <v>2591</v>
      </c>
    </row>
    <row r="2300" spans="1:33">
      <c r="A2300" s="2" t="s">
        <v>41</v>
      </c>
      <c r="B2300" s="2" t="s">
        <v>17</v>
      </c>
      <c r="C2300" s="1">
        <v>0.60402244999999999</v>
      </c>
      <c r="D2300">
        <v>0.669189213</v>
      </c>
      <c r="E2300">
        <v>0.69821693799999995</v>
      </c>
      <c r="F2300" s="1" t="s">
        <v>42</v>
      </c>
      <c r="G2300" s="1">
        <v>1.3243902439999999</v>
      </c>
      <c r="H2300" s="1">
        <v>23</v>
      </c>
      <c r="I2300" s="1">
        <v>41</v>
      </c>
      <c r="J2300" s="1">
        <v>0.65714286700000002</v>
      </c>
      <c r="K2300" s="1">
        <v>0.659112378</v>
      </c>
      <c r="L2300" s="1">
        <v>0.68333493499999998</v>
      </c>
      <c r="M2300" s="3">
        <v>0.70345495199999997</v>
      </c>
      <c r="N2300" s="1" t="s">
        <v>18</v>
      </c>
      <c r="O2300" s="1">
        <v>1.9463955639999999</v>
      </c>
      <c r="P2300" s="1">
        <v>46.3</v>
      </c>
      <c r="Q2300" s="1">
        <v>54.1</v>
      </c>
      <c r="R2300" s="1">
        <v>0.68196742166666668</v>
      </c>
      <c r="S2300" s="1">
        <v>5.7117759135059426E-2</v>
      </c>
      <c r="T2300" t="s">
        <v>2447</v>
      </c>
      <c r="U2300" s="1">
        <v>51724</v>
      </c>
      <c r="V2300">
        <f t="shared" si="140"/>
        <v>0.52374356700406244</v>
      </c>
      <c r="W2300" s="1">
        <f t="shared" si="141"/>
        <v>23.299999999999997</v>
      </c>
      <c r="X2300">
        <f t="shared" si="142"/>
        <v>0.62200531999999997</v>
      </c>
      <c r="Y2300">
        <f t="shared" si="143"/>
        <v>13.100000000000001</v>
      </c>
      <c r="Z2300" s="1">
        <v>27</v>
      </c>
      <c r="AA2300">
        <v>73</v>
      </c>
      <c r="AB2300">
        <v>0.36990000000000001</v>
      </c>
      <c r="AC2300">
        <v>36</v>
      </c>
      <c r="AD2300">
        <v>89</v>
      </c>
      <c r="AE2300">
        <v>0.40450000000000003</v>
      </c>
      <c r="AF2300" t="s">
        <v>2591</v>
      </c>
      <c r="AG2300" t="s">
        <v>2591</v>
      </c>
    </row>
    <row r="2301" spans="1:33">
      <c r="A2301" s="2" t="s">
        <v>41</v>
      </c>
      <c r="B2301" s="2" t="s">
        <v>19</v>
      </c>
      <c r="C2301" s="1">
        <v>0.60402244999999999</v>
      </c>
      <c r="D2301">
        <v>0.669189213</v>
      </c>
      <c r="E2301">
        <v>0.69821693799999995</v>
      </c>
      <c r="F2301" s="1" t="s">
        <v>42</v>
      </c>
      <c r="G2301" s="1">
        <v>1.3243902439999999</v>
      </c>
      <c r="H2301" s="1">
        <v>23</v>
      </c>
      <c r="I2301" s="1">
        <v>41</v>
      </c>
      <c r="J2301" s="1">
        <v>0.65714286700000002</v>
      </c>
      <c r="K2301" s="1">
        <v>0.49391595300000002</v>
      </c>
      <c r="L2301" s="1">
        <v>0.603599314</v>
      </c>
      <c r="M2301" s="3">
        <v>0.63481471599999995</v>
      </c>
      <c r="N2301" s="1" t="s">
        <v>20</v>
      </c>
      <c r="O2301" s="1">
        <v>1.2140902870000001</v>
      </c>
      <c r="P2301" s="1">
        <v>64.900000000000006</v>
      </c>
      <c r="Q2301" s="1">
        <v>146.19999999999999</v>
      </c>
      <c r="R2301" s="1">
        <v>0.57744332766666662</v>
      </c>
      <c r="S2301" s="1">
        <v>0.14298712280124559</v>
      </c>
      <c r="T2301" t="s">
        <v>2448</v>
      </c>
      <c r="U2301" s="1">
        <v>3359</v>
      </c>
      <c r="V2301">
        <f t="shared" si="140"/>
        <v>0.39180111153796271</v>
      </c>
      <c r="W2301" s="1">
        <f t="shared" si="141"/>
        <v>41.900000000000006</v>
      </c>
      <c r="X2301">
        <f t="shared" si="142"/>
        <v>0.11029995699999984</v>
      </c>
      <c r="Y2301">
        <f t="shared" si="143"/>
        <v>105.19999999999999</v>
      </c>
      <c r="Z2301" s="1">
        <v>2</v>
      </c>
      <c r="AA2301">
        <v>98</v>
      </c>
      <c r="AB2301">
        <v>2.0400000000000001E-2</v>
      </c>
      <c r="AC2301">
        <v>3</v>
      </c>
      <c r="AD2301">
        <v>102</v>
      </c>
      <c r="AE2301">
        <v>2.9399999999999999E-2</v>
      </c>
      <c r="AF2301" t="s">
        <v>2591</v>
      </c>
      <c r="AG2301" t="s">
        <v>2593</v>
      </c>
    </row>
    <row r="2302" spans="1:33">
      <c r="A2302" s="2" t="s">
        <v>41</v>
      </c>
      <c r="B2302" s="2" t="s">
        <v>21</v>
      </c>
      <c r="C2302" s="1">
        <v>0.60402244999999999</v>
      </c>
      <c r="D2302">
        <v>0.669189213</v>
      </c>
      <c r="E2302">
        <v>0.69821693799999995</v>
      </c>
      <c r="F2302" s="1" t="s">
        <v>42</v>
      </c>
      <c r="G2302" s="1">
        <v>1.3243902439999999</v>
      </c>
      <c r="H2302" s="1">
        <v>23</v>
      </c>
      <c r="I2302" s="1">
        <v>41</v>
      </c>
      <c r="J2302" s="1">
        <v>0.65714286700000002</v>
      </c>
      <c r="K2302" s="1">
        <v>0.53276376800000003</v>
      </c>
      <c r="L2302" s="1">
        <v>0.65428149899999999</v>
      </c>
      <c r="M2302" s="3">
        <v>0.70160154799999996</v>
      </c>
      <c r="N2302" s="1" t="s">
        <v>22</v>
      </c>
      <c r="O2302" s="1">
        <v>1.2440604749999999</v>
      </c>
      <c r="P2302" s="1">
        <v>24.6</v>
      </c>
      <c r="Q2302" s="1">
        <v>46.3</v>
      </c>
      <c r="R2302" s="1">
        <v>0.62954893833333336</v>
      </c>
      <c r="S2302" s="1">
        <v>7.2880006050596732E-2</v>
      </c>
      <c r="T2302" t="s">
        <v>2449</v>
      </c>
      <c r="U2302" s="1">
        <v>726</v>
      </c>
      <c r="V2302">
        <f t="shared" si="140"/>
        <v>0.31788184674445485</v>
      </c>
      <c r="W2302" s="1">
        <f t="shared" si="141"/>
        <v>1.6000000000000014</v>
      </c>
      <c r="X2302">
        <f t="shared" si="142"/>
        <v>8.0329768999999995E-2</v>
      </c>
      <c r="Y2302">
        <f t="shared" si="143"/>
        <v>5.2999999999999972</v>
      </c>
      <c r="Z2302" s="1">
        <v>0</v>
      </c>
      <c r="AA2302">
        <v>100</v>
      </c>
      <c r="AB2302">
        <v>0</v>
      </c>
      <c r="AC2302">
        <v>0</v>
      </c>
      <c r="AD2302">
        <v>111</v>
      </c>
      <c r="AE2302">
        <v>0</v>
      </c>
      <c r="AF2302" t="s">
        <v>2591</v>
      </c>
      <c r="AG2302" t="s">
        <v>2589</v>
      </c>
    </row>
    <row r="2303" spans="1:33">
      <c r="A2303" s="2" t="s">
        <v>41</v>
      </c>
      <c r="B2303" s="2" t="s">
        <v>23</v>
      </c>
      <c r="C2303" s="1">
        <v>0.60402244999999999</v>
      </c>
      <c r="D2303">
        <v>0.669189213</v>
      </c>
      <c r="E2303">
        <v>0.69821693799999995</v>
      </c>
      <c r="F2303" s="1" t="s">
        <v>42</v>
      </c>
      <c r="G2303" s="1">
        <v>1.3243902439999999</v>
      </c>
      <c r="H2303" s="1">
        <v>23</v>
      </c>
      <c r="I2303" s="1">
        <v>41</v>
      </c>
      <c r="J2303" s="1">
        <v>0.65714286700000002</v>
      </c>
      <c r="K2303" s="1">
        <v>0.49415677200000002</v>
      </c>
      <c r="L2303" s="1">
        <v>0.62090818999999997</v>
      </c>
      <c r="M2303" s="3">
        <v>0.63381026900000004</v>
      </c>
      <c r="N2303" s="1" t="s">
        <v>24</v>
      </c>
      <c r="O2303" s="1">
        <v>1.141304348</v>
      </c>
      <c r="P2303" s="1">
        <v>44.4</v>
      </c>
      <c r="Q2303" s="1">
        <v>101.2</v>
      </c>
      <c r="R2303" s="1">
        <v>0.58295841033333329</v>
      </c>
      <c r="S2303" s="1">
        <v>0.13619744269259154</v>
      </c>
      <c r="T2303" t="s">
        <v>2450</v>
      </c>
      <c r="U2303" s="1">
        <v>882</v>
      </c>
      <c r="V2303">
        <f t="shared" si="140"/>
        <v>0.32727428723686885</v>
      </c>
      <c r="W2303" s="1">
        <f t="shared" si="141"/>
        <v>21.4</v>
      </c>
      <c r="X2303">
        <f t="shared" si="142"/>
        <v>0.18308589599999991</v>
      </c>
      <c r="Y2303">
        <f t="shared" si="143"/>
        <v>60.2</v>
      </c>
      <c r="Z2303" s="1">
        <v>3</v>
      </c>
      <c r="AA2303">
        <v>97</v>
      </c>
      <c r="AB2303">
        <v>3.09E-2</v>
      </c>
      <c r="AC2303">
        <v>3</v>
      </c>
      <c r="AD2303">
        <v>104</v>
      </c>
      <c r="AE2303">
        <v>2.8799999999999999E-2</v>
      </c>
      <c r="AF2303" t="s">
        <v>2591</v>
      </c>
      <c r="AG2303" t="s">
        <v>2590</v>
      </c>
    </row>
    <row r="2304" spans="1:33">
      <c r="A2304" s="2" t="s">
        <v>41</v>
      </c>
      <c r="B2304" s="2" t="s">
        <v>25</v>
      </c>
      <c r="C2304" s="1">
        <v>0.60402244999999999</v>
      </c>
      <c r="D2304">
        <v>0.669189213</v>
      </c>
      <c r="E2304">
        <v>0.69821693799999995</v>
      </c>
      <c r="F2304" s="1" t="s">
        <v>42</v>
      </c>
      <c r="G2304" s="1">
        <v>1.3243902439999999</v>
      </c>
      <c r="H2304" s="1">
        <v>23</v>
      </c>
      <c r="I2304" s="1">
        <v>41</v>
      </c>
      <c r="J2304" s="1">
        <v>0.65714286700000002</v>
      </c>
      <c r="K2304" s="1">
        <v>0.53959274199999996</v>
      </c>
      <c r="L2304" s="1">
        <v>0.64971567399999997</v>
      </c>
      <c r="M2304" s="3">
        <v>0.65028459999999999</v>
      </c>
      <c r="N2304" s="1" t="s">
        <v>26</v>
      </c>
      <c r="O2304" s="1">
        <v>1.623046875</v>
      </c>
      <c r="P2304" s="1">
        <v>34.700000000000003</v>
      </c>
      <c r="Q2304" s="1">
        <v>51.2</v>
      </c>
      <c r="R2304" s="1">
        <v>0.61319767199999997</v>
      </c>
      <c r="S2304" s="1">
        <v>8.2631198831289082E-2</v>
      </c>
      <c r="T2304" t="s">
        <v>2451</v>
      </c>
      <c r="U2304" s="1">
        <v>439</v>
      </c>
      <c r="V2304">
        <f t="shared" si="140"/>
        <v>0.29360716891579125</v>
      </c>
      <c r="W2304" s="1">
        <f t="shared" si="141"/>
        <v>11.700000000000003</v>
      </c>
      <c r="X2304">
        <f t="shared" si="142"/>
        <v>0.29865663100000006</v>
      </c>
      <c r="Y2304">
        <f t="shared" si="143"/>
        <v>10.200000000000003</v>
      </c>
      <c r="Z2304" s="1">
        <v>0</v>
      </c>
      <c r="AA2304">
        <v>100</v>
      </c>
      <c r="AB2304">
        <v>0</v>
      </c>
      <c r="AC2304">
        <v>0</v>
      </c>
      <c r="AD2304">
        <v>109</v>
      </c>
      <c r="AE2304">
        <v>0</v>
      </c>
      <c r="AF2304" t="s">
        <v>2591</v>
      </c>
      <c r="AG2304" t="s">
        <v>2594</v>
      </c>
    </row>
    <row r="2305" spans="1:33">
      <c r="A2305" s="2" t="s">
        <v>41</v>
      </c>
      <c r="B2305" s="2" t="s">
        <v>27</v>
      </c>
      <c r="C2305" s="1">
        <v>0.60402244999999999</v>
      </c>
      <c r="D2305">
        <v>0.669189213</v>
      </c>
      <c r="E2305">
        <v>0.69821693799999995</v>
      </c>
      <c r="F2305" s="1" t="s">
        <v>42</v>
      </c>
      <c r="G2305" s="1">
        <v>1.3243902439999999</v>
      </c>
      <c r="H2305" s="1">
        <v>23</v>
      </c>
      <c r="I2305" s="1">
        <v>41</v>
      </c>
      <c r="J2305" s="1">
        <v>0.65714286700000002</v>
      </c>
      <c r="K2305" s="1">
        <v>0.518608662</v>
      </c>
      <c r="L2305" s="1">
        <v>0.64320369700000002</v>
      </c>
      <c r="M2305" s="3">
        <v>0.62228994199999998</v>
      </c>
      <c r="N2305" s="1" t="s">
        <v>28</v>
      </c>
      <c r="O2305" s="1">
        <v>1.8717391299999999</v>
      </c>
      <c r="P2305" s="1">
        <v>33.700000000000003</v>
      </c>
      <c r="Q2305" s="1">
        <v>46</v>
      </c>
      <c r="R2305" s="1">
        <v>0.59470076699999996</v>
      </c>
      <c r="S2305" s="1">
        <v>0.11719927876859657</v>
      </c>
      <c r="T2305" t="s">
        <v>2452</v>
      </c>
      <c r="U2305" s="1">
        <v>134</v>
      </c>
      <c r="V2305">
        <f t="shared" si="140"/>
        <v>0.23634497759608974</v>
      </c>
      <c r="W2305" s="1">
        <f t="shared" si="141"/>
        <v>10.700000000000003</v>
      </c>
      <c r="X2305">
        <f t="shared" si="142"/>
        <v>0.54734888599999998</v>
      </c>
      <c r="Y2305">
        <f t="shared" si="143"/>
        <v>5</v>
      </c>
      <c r="Z2305" s="1">
        <v>2</v>
      </c>
      <c r="AA2305">
        <v>98</v>
      </c>
      <c r="AB2305">
        <v>2.0400000000000001E-2</v>
      </c>
      <c r="AC2305">
        <v>3</v>
      </c>
      <c r="AD2305">
        <v>113</v>
      </c>
      <c r="AE2305">
        <v>2.6499999999999999E-2</v>
      </c>
      <c r="AF2305" t="s">
        <v>2591</v>
      </c>
      <c r="AG2305" t="s">
        <v>2590</v>
      </c>
    </row>
    <row r="2306" spans="1:33">
      <c r="A2306" s="2" t="s">
        <v>41</v>
      </c>
      <c r="B2306" s="2" t="s">
        <v>29</v>
      </c>
      <c r="C2306" s="1">
        <v>0.60402244999999999</v>
      </c>
      <c r="D2306">
        <v>0.669189213</v>
      </c>
      <c r="E2306">
        <v>0.69821693799999995</v>
      </c>
      <c r="F2306" s="1" t="s">
        <v>42</v>
      </c>
      <c r="G2306" s="1">
        <v>1.3243902439999999</v>
      </c>
      <c r="H2306" s="1">
        <v>23</v>
      </c>
      <c r="I2306" s="1">
        <v>41</v>
      </c>
      <c r="J2306" s="1">
        <v>0.65714286700000002</v>
      </c>
      <c r="K2306" s="1">
        <v>0.59351545100000003</v>
      </c>
      <c r="L2306" s="1">
        <v>0.68136602400000001</v>
      </c>
      <c r="M2306" s="3">
        <v>0.73518087600000004</v>
      </c>
      <c r="N2306" s="1" t="s">
        <v>30</v>
      </c>
      <c r="O2306" s="1">
        <v>2.849112426</v>
      </c>
      <c r="P2306" s="1">
        <v>37.9</v>
      </c>
      <c r="Q2306" s="1">
        <v>33.799999999999997</v>
      </c>
      <c r="R2306" s="1">
        <v>0.67002078366666673</v>
      </c>
      <c r="S2306" s="1">
        <v>4.0311344142605461E-2</v>
      </c>
      <c r="T2306" t="s">
        <v>2453</v>
      </c>
      <c r="U2306" s="1">
        <v>13375</v>
      </c>
      <c r="V2306">
        <f t="shared" ref="V2306:V2369" si="144">LOG10(U2306) / 9</f>
        <v>0.45847708785480734</v>
      </c>
      <c r="W2306" s="1">
        <f t="shared" ref="W2306:W2369" si="145">ABS(H2306-P2306)</f>
        <v>14.899999999999999</v>
      </c>
      <c r="X2306">
        <f t="shared" ref="X2306:X2369" si="146">ABS(G2306-O2306)</f>
        <v>1.5247221820000001</v>
      </c>
      <c r="Y2306">
        <f t="shared" ref="Y2306:Y2369" si="147">ABS(I2306-Q2306)</f>
        <v>7.2000000000000028</v>
      </c>
      <c r="Z2306" s="1">
        <v>27</v>
      </c>
      <c r="AA2306">
        <v>73</v>
      </c>
      <c r="AB2306">
        <v>0.36990000000000001</v>
      </c>
      <c r="AC2306">
        <v>33</v>
      </c>
      <c r="AD2306">
        <v>72</v>
      </c>
      <c r="AE2306">
        <v>0.45829999999999999</v>
      </c>
      <c r="AF2306" t="s">
        <v>2591</v>
      </c>
      <c r="AG2306" t="s">
        <v>2593</v>
      </c>
    </row>
    <row r="2307" spans="1:33">
      <c r="A2307" s="2" t="s">
        <v>41</v>
      </c>
      <c r="B2307" s="2" t="s">
        <v>31</v>
      </c>
      <c r="C2307" s="1">
        <v>0.60402244999999999</v>
      </c>
      <c r="D2307">
        <v>0.669189213</v>
      </c>
      <c r="E2307">
        <v>0.69821693799999995</v>
      </c>
      <c r="F2307" s="1" t="s">
        <v>42</v>
      </c>
      <c r="G2307" s="1">
        <v>1.3243902439999999</v>
      </c>
      <c r="H2307" s="1">
        <v>23</v>
      </c>
      <c r="I2307" s="1">
        <v>41</v>
      </c>
      <c r="J2307" s="1">
        <v>0.65714286700000002</v>
      </c>
      <c r="K2307" s="1">
        <v>0.47727961800000002</v>
      </c>
      <c r="L2307" s="1">
        <v>0.66941086400000005</v>
      </c>
      <c r="M2307" s="3">
        <v>0.69294815300000001</v>
      </c>
      <c r="N2307" s="1" t="s">
        <v>32</v>
      </c>
      <c r="O2307" s="1">
        <v>1.341891892</v>
      </c>
      <c r="P2307" s="1">
        <v>42.1</v>
      </c>
      <c r="Q2307" s="1">
        <v>74</v>
      </c>
      <c r="R2307" s="1">
        <v>0.61321287833333338</v>
      </c>
      <c r="S2307" s="1">
        <v>0.12685249184750863</v>
      </c>
      <c r="T2307" t="s">
        <v>2454</v>
      </c>
      <c r="U2307" s="1">
        <v>407</v>
      </c>
      <c r="V2307">
        <f t="shared" si="144"/>
        <v>0.28995493435835779</v>
      </c>
      <c r="W2307" s="1">
        <f t="shared" si="145"/>
        <v>19.100000000000001</v>
      </c>
      <c r="X2307">
        <f t="shared" si="146"/>
        <v>1.7501648000000092E-2</v>
      </c>
      <c r="Y2307">
        <f t="shared" si="147"/>
        <v>33</v>
      </c>
      <c r="Z2307" s="1">
        <v>0</v>
      </c>
      <c r="AA2307">
        <v>100</v>
      </c>
      <c r="AB2307">
        <v>0</v>
      </c>
      <c r="AC2307">
        <v>0</v>
      </c>
      <c r="AD2307">
        <v>113</v>
      </c>
      <c r="AE2307">
        <v>0</v>
      </c>
      <c r="AF2307" t="s">
        <v>2591</v>
      </c>
      <c r="AG2307" t="s">
        <v>2589</v>
      </c>
    </row>
    <row r="2308" spans="1:33">
      <c r="A2308" s="2" t="s">
        <v>41</v>
      </c>
      <c r="B2308" s="2" t="s">
        <v>33</v>
      </c>
      <c r="C2308" s="1">
        <v>0.60402244999999999</v>
      </c>
      <c r="D2308">
        <v>0.669189213</v>
      </c>
      <c r="E2308">
        <v>0.69821693799999995</v>
      </c>
      <c r="F2308" s="1" t="s">
        <v>42</v>
      </c>
      <c r="G2308" s="1">
        <v>1.3243902439999999</v>
      </c>
      <c r="H2308" s="1">
        <v>23</v>
      </c>
      <c r="I2308" s="1">
        <v>41</v>
      </c>
      <c r="J2308" s="1">
        <v>0.65714286700000002</v>
      </c>
      <c r="K2308" s="1">
        <v>0.51347926600000005</v>
      </c>
      <c r="L2308" s="1">
        <v>0.63144379399999995</v>
      </c>
      <c r="M2308" s="3">
        <v>0.64189093500000005</v>
      </c>
      <c r="N2308" s="1" t="s">
        <v>34</v>
      </c>
      <c r="O2308" s="1">
        <v>2.3123667380000001</v>
      </c>
      <c r="P2308" s="1">
        <v>79.099999999999994</v>
      </c>
      <c r="Q2308" s="1">
        <v>93.8</v>
      </c>
      <c r="R2308" s="1">
        <v>0.59560466500000009</v>
      </c>
      <c r="S2308" s="1">
        <v>0.11311676904110816</v>
      </c>
      <c r="T2308" t="s">
        <v>2455</v>
      </c>
      <c r="U2308" s="1">
        <v>385</v>
      </c>
      <c r="V2308">
        <f t="shared" si="144"/>
        <v>0.28727341438983339</v>
      </c>
      <c r="W2308" s="1">
        <f t="shared" si="145"/>
        <v>56.099999999999994</v>
      </c>
      <c r="X2308">
        <f t="shared" si="146"/>
        <v>0.9879764940000002</v>
      </c>
      <c r="Y2308">
        <f t="shared" si="147"/>
        <v>52.8</v>
      </c>
      <c r="Z2308" s="1">
        <v>1</v>
      </c>
      <c r="AA2308">
        <v>99</v>
      </c>
      <c r="AB2308">
        <v>1.01E-2</v>
      </c>
      <c r="AC2308">
        <v>1</v>
      </c>
      <c r="AD2308">
        <v>106</v>
      </c>
      <c r="AE2308">
        <v>9.4000000000000004E-3</v>
      </c>
      <c r="AF2308" t="s">
        <v>2591</v>
      </c>
      <c r="AG2308" t="s">
        <v>2590</v>
      </c>
    </row>
    <row r="2309" spans="1:33">
      <c r="A2309" s="2" t="s">
        <v>41</v>
      </c>
      <c r="B2309" s="2" t="s">
        <v>35</v>
      </c>
      <c r="C2309" s="1">
        <v>0.60402244999999999</v>
      </c>
      <c r="D2309">
        <v>0.669189213</v>
      </c>
      <c r="E2309">
        <v>0.69821693799999995</v>
      </c>
      <c r="F2309" s="1" t="s">
        <v>42</v>
      </c>
      <c r="G2309" s="1">
        <v>1.3243902439999999</v>
      </c>
      <c r="H2309" s="1">
        <v>23</v>
      </c>
      <c r="I2309" s="1">
        <v>41</v>
      </c>
      <c r="J2309" s="1">
        <v>0.65714286700000002</v>
      </c>
      <c r="K2309" s="1">
        <v>0.52542897600000005</v>
      </c>
      <c r="L2309" s="1">
        <v>0.60774736299999998</v>
      </c>
      <c r="M2309" s="3">
        <v>0.62585751700000003</v>
      </c>
      <c r="N2309" s="1" t="s">
        <v>36</v>
      </c>
      <c r="O2309" s="1">
        <v>0.98848810399999998</v>
      </c>
      <c r="P2309" s="1">
        <v>54.2</v>
      </c>
      <c r="Q2309" s="1">
        <v>130.30000000000001</v>
      </c>
      <c r="R2309" s="1">
        <v>0.58634461866666665</v>
      </c>
      <c r="S2309" s="1">
        <v>0.12323928308078719</v>
      </c>
      <c r="T2309" t="s">
        <v>2456</v>
      </c>
      <c r="U2309" s="1">
        <v>639</v>
      </c>
      <c r="V2309">
        <f t="shared" si="144"/>
        <v>0.31172231757315561</v>
      </c>
      <c r="W2309" s="1">
        <f t="shared" si="145"/>
        <v>31.200000000000003</v>
      </c>
      <c r="X2309">
        <f t="shared" si="146"/>
        <v>0.33590213999999996</v>
      </c>
      <c r="Y2309">
        <f t="shared" si="147"/>
        <v>89.300000000000011</v>
      </c>
      <c r="Z2309" s="1">
        <v>0</v>
      </c>
      <c r="AA2309">
        <v>100</v>
      </c>
      <c r="AB2309">
        <v>0</v>
      </c>
      <c r="AC2309">
        <v>0</v>
      </c>
      <c r="AD2309">
        <v>106</v>
      </c>
      <c r="AE2309">
        <v>0</v>
      </c>
      <c r="AF2309" t="s">
        <v>2591</v>
      </c>
      <c r="AG2309" t="s">
        <v>2589</v>
      </c>
    </row>
    <row r="2310" spans="1:33">
      <c r="A2310" s="2" t="s">
        <v>41</v>
      </c>
      <c r="B2310" s="2" t="s">
        <v>37</v>
      </c>
      <c r="C2310" s="1">
        <v>0.60402244999999999</v>
      </c>
      <c r="D2310">
        <v>0.669189213</v>
      </c>
      <c r="E2310">
        <v>0.69821693799999995</v>
      </c>
      <c r="F2310" s="1" t="s">
        <v>42</v>
      </c>
      <c r="G2310" s="1">
        <v>1.3243902439999999</v>
      </c>
      <c r="H2310" s="1">
        <v>23</v>
      </c>
      <c r="I2310" s="1">
        <v>41</v>
      </c>
      <c r="J2310" s="1">
        <v>0.65714286700000002</v>
      </c>
      <c r="K2310" s="1">
        <v>0.50856695500000004</v>
      </c>
      <c r="L2310" s="1">
        <v>0.654733224</v>
      </c>
      <c r="M2310" s="3">
        <v>0.61418267199999999</v>
      </c>
      <c r="N2310" s="1" t="s">
        <v>38</v>
      </c>
      <c r="O2310" s="1">
        <v>0.64065708399999999</v>
      </c>
      <c r="P2310" s="1">
        <v>41.9</v>
      </c>
      <c r="Q2310" s="1">
        <v>146.1</v>
      </c>
      <c r="R2310" s="1">
        <v>0.59249428366666679</v>
      </c>
      <c r="S2310" s="1">
        <v>0.1279940819171804</v>
      </c>
      <c r="T2310" t="s">
        <v>2457</v>
      </c>
      <c r="U2310" s="1">
        <v>975</v>
      </c>
      <c r="V2310">
        <f t="shared" si="144"/>
        <v>0.33211162396650412</v>
      </c>
      <c r="W2310" s="1">
        <f t="shared" si="145"/>
        <v>18.899999999999999</v>
      </c>
      <c r="X2310">
        <f t="shared" si="146"/>
        <v>0.68373315999999995</v>
      </c>
      <c r="Y2310">
        <f t="shared" si="147"/>
        <v>105.1</v>
      </c>
      <c r="Z2310" s="1">
        <v>0</v>
      </c>
      <c r="AA2310">
        <v>100</v>
      </c>
      <c r="AB2310">
        <v>0</v>
      </c>
      <c r="AC2310">
        <v>0</v>
      </c>
      <c r="AD2310">
        <v>105</v>
      </c>
      <c r="AE2310">
        <v>0</v>
      </c>
      <c r="AF2310" t="s">
        <v>2591</v>
      </c>
      <c r="AG2310" t="s">
        <v>2590</v>
      </c>
    </row>
    <row r="2311" spans="1:33">
      <c r="A2311" s="2" t="s">
        <v>41</v>
      </c>
      <c r="B2311" s="2" t="s">
        <v>39</v>
      </c>
      <c r="C2311" s="1">
        <v>0.60402244999999999</v>
      </c>
      <c r="D2311">
        <v>0.669189213</v>
      </c>
      <c r="E2311">
        <v>0.69821693799999995</v>
      </c>
      <c r="F2311" s="1" t="s">
        <v>42</v>
      </c>
      <c r="G2311" s="1">
        <v>1.3243902439999999</v>
      </c>
      <c r="H2311" s="1">
        <v>23</v>
      </c>
      <c r="I2311" s="1">
        <v>41</v>
      </c>
      <c r="J2311" s="1">
        <v>0.65714286700000002</v>
      </c>
      <c r="K2311" s="1">
        <v>0.60811616199999996</v>
      </c>
      <c r="L2311" s="1">
        <v>0.721105683</v>
      </c>
      <c r="M2311" s="3">
        <v>0.741016169</v>
      </c>
      <c r="N2311" s="1" t="s">
        <v>40</v>
      </c>
      <c r="O2311" s="1">
        <v>1.0601915180000001</v>
      </c>
      <c r="P2311" s="1">
        <v>34</v>
      </c>
      <c r="Q2311" s="1">
        <v>73.099999999999994</v>
      </c>
      <c r="R2311" s="1">
        <v>0.69007933799999999</v>
      </c>
      <c r="S2311" s="1">
        <v>6.7408104181850476E-2</v>
      </c>
      <c r="T2311" t="s">
        <v>2458</v>
      </c>
      <c r="U2311" s="1">
        <v>651</v>
      </c>
      <c r="V2311">
        <f t="shared" si="144"/>
        <v>0.31262010984091027</v>
      </c>
      <c r="W2311" s="1">
        <f t="shared" si="145"/>
        <v>11</v>
      </c>
      <c r="X2311">
        <f t="shared" si="146"/>
        <v>0.26419872599999983</v>
      </c>
      <c r="Y2311">
        <f t="shared" si="147"/>
        <v>32.099999999999994</v>
      </c>
      <c r="Z2311" s="1">
        <v>1</v>
      </c>
      <c r="AA2311">
        <v>99</v>
      </c>
      <c r="AB2311">
        <v>1.01E-2</v>
      </c>
      <c r="AC2311">
        <v>1</v>
      </c>
      <c r="AD2311">
        <v>107</v>
      </c>
      <c r="AE2311">
        <v>9.2999999999999992E-3</v>
      </c>
      <c r="AF2311" t="s">
        <v>2591</v>
      </c>
      <c r="AG2311" t="s">
        <v>2589</v>
      </c>
    </row>
    <row r="2312" spans="1:33">
      <c r="A2312" s="2" t="s">
        <v>39</v>
      </c>
      <c r="B2312" s="2" t="s">
        <v>10</v>
      </c>
      <c r="C2312" s="1">
        <v>0.60811616199999996</v>
      </c>
      <c r="D2312">
        <v>0.721105683</v>
      </c>
      <c r="E2312">
        <v>0.741016169</v>
      </c>
      <c r="F2312" s="1" t="s">
        <v>40</v>
      </c>
      <c r="G2312" s="1">
        <v>1.0601915180000001</v>
      </c>
      <c r="H2312" s="1">
        <v>34</v>
      </c>
      <c r="I2312" s="1">
        <v>73.099999999999994</v>
      </c>
      <c r="J2312" s="1">
        <v>0.69007933799999999</v>
      </c>
      <c r="K2312" s="1">
        <v>0.52456325500000001</v>
      </c>
      <c r="L2312" s="1">
        <v>0.61925627999999999</v>
      </c>
      <c r="M2312" s="3">
        <v>0.72111139899999999</v>
      </c>
      <c r="N2312" s="1" t="s">
        <v>12</v>
      </c>
      <c r="O2312" s="1">
        <v>0.61690647499999995</v>
      </c>
      <c r="P2312" s="1">
        <v>30</v>
      </c>
      <c r="Q2312" s="1">
        <v>111.2</v>
      </c>
      <c r="R2312" s="1">
        <v>0.62164364466666666</v>
      </c>
      <c r="S2312" s="1">
        <v>0.13323133651044694</v>
      </c>
      <c r="T2312" t="s">
        <v>2459</v>
      </c>
      <c r="U2312" s="1">
        <v>250</v>
      </c>
      <c r="V2312">
        <f t="shared" si="144"/>
        <v>0.26643777874133751</v>
      </c>
      <c r="W2312" s="1">
        <f t="shared" si="145"/>
        <v>4</v>
      </c>
      <c r="X2312">
        <f t="shared" si="146"/>
        <v>0.44328504300000016</v>
      </c>
      <c r="Y2312">
        <f t="shared" si="147"/>
        <v>38.100000000000009</v>
      </c>
      <c r="Z2312" s="1">
        <v>1</v>
      </c>
      <c r="AA2312">
        <v>99</v>
      </c>
      <c r="AB2312">
        <v>1.01E-2</v>
      </c>
      <c r="AC2312">
        <v>2</v>
      </c>
      <c r="AD2312">
        <v>152</v>
      </c>
      <c r="AE2312">
        <v>1.32E-2</v>
      </c>
      <c r="AF2312" t="s">
        <v>2589</v>
      </c>
      <c r="AG2312" t="s">
        <v>2588</v>
      </c>
    </row>
    <row r="2313" spans="1:33">
      <c r="A2313" s="2" t="s">
        <v>39</v>
      </c>
      <c r="B2313" s="2" t="s">
        <v>13</v>
      </c>
      <c r="C2313" s="1">
        <v>0.60811616199999996</v>
      </c>
      <c r="D2313">
        <v>0.721105683</v>
      </c>
      <c r="E2313">
        <v>0.741016169</v>
      </c>
      <c r="F2313" s="1" t="s">
        <v>40</v>
      </c>
      <c r="G2313" s="1">
        <v>1.0601915180000001</v>
      </c>
      <c r="H2313" s="1">
        <v>34</v>
      </c>
      <c r="I2313" s="1">
        <v>73.099999999999994</v>
      </c>
      <c r="J2313" s="1">
        <v>0.69007933799999999</v>
      </c>
      <c r="K2313" s="1">
        <v>0.48695497399999998</v>
      </c>
      <c r="L2313" s="1">
        <v>0.54991327199999995</v>
      </c>
      <c r="M2313" s="3">
        <v>0.67282609299999996</v>
      </c>
      <c r="N2313" s="1" t="s">
        <v>14</v>
      </c>
      <c r="O2313" s="1">
        <v>1.6052009460000001</v>
      </c>
      <c r="P2313" s="1">
        <v>26.6</v>
      </c>
      <c r="Q2313" s="1">
        <v>42.3</v>
      </c>
      <c r="R2313" s="1">
        <v>0.56989811299999993</v>
      </c>
      <c r="S2313" s="1">
        <v>0.2205374379248341</v>
      </c>
      <c r="T2313" t="s">
        <v>2460</v>
      </c>
      <c r="U2313" s="1">
        <v>365</v>
      </c>
      <c r="V2313">
        <f t="shared" si="144"/>
        <v>0.2846992071618305</v>
      </c>
      <c r="W2313" s="1">
        <f t="shared" si="145"/>
        <v>7.3999999999999986</v>
      </c>
      <c r="X2313">
        <f t="shared" si="146"/>
        <v>0.54500942799999996</v>
      </c>
      <c r="Y2313">
        <f t="shared" si="147"/>
        <v>30.799999999999997</v>
      </c>
      <c r="Z2313" s="1">
        <v>2</v>
      </c>
      <c r="AA2313">
        <v>98</v>
      </c>
      <c r="AB2313">
        <v>2.0400000000000001E-2</v>
      </c>
      <c r="AC2313">
        <v>3</v>
      </c>
      <c r="AD2313">
        <v>98</v>
      </c>
      <c r="AE2313">
        <v>3.0599999999999999E-2</v>
      </c>
      <c r="AF2313" t="s">
        <v>2589</v>
      </c>
      <c r="AG2313" t="s">
        <v>2590</v>
      </c>
    </row>
    <row r="2314" spans="1:33">
      <c r="A2314" s="2" t="s">
        <v>39</v>
      </c>
      <c r="B2314" s="2" t="s">
        <v>15</v>
      </c>
      <c r="C2314" s="1">
        <v>0.60811616199999996</v>
      </c>
      <c r="D2314">
        <v>0.721105683</v>
      </c>
      <c r="E2314">
        <v>0.741016169</v>
      </c>
      <c r="F2314" s="1" t="s">
        <v>40</v>
      </c>
      <c r="G2314" s="1">
        <v>1.0601915180000001</v>
      </c>
      <c r="H2314" s="1">
        <v>34</v>
      </c>
      <c r="I2314" s="1">
        <v>73.099999999999994</v>
      </c>
      <c r="J2314" s="1">
        <v>0.69007933799999999</v>
      </c>
      <c r="K2314" s="1">
        <v>0.54560998800000005</v>
      </c>
      <c r="L2314" s="1">
        <v>0.66721428400000005</v>
      </c>
      <c r="M2314" s="3">
        <v>0.72650398400000005</v>
      </c>
      <c r="N2314" s="1" t="s">
        <v>16</v>
      </c>
      <c r="O2314" s="1">
        <v>5.1392405060000002</v>
      </c>
      <c r="P2314" s="1">
        <v>35.9</v>
      </c>
      <c r="Q2314" s="1">
        <v>15.8</v>
      </c>
      <c r="R2314" s="1">
        <v>0.64644275200000012</v>
      </c>
      <c r="S2314" s="1">
        <v>8.3796826835923113E-2</v>
      </c>
      <c r="T2314" t="s">
        <v>2461</v>
      </c>
      <c r="U2314" s="1">
        <v>382</v>
      </c>
      <c r="V2314">
        <f t="shared" si="144"/>
        <v>0.28689592921241208</v>
      </c>
      <c r="W2314" s="1">
        <f t="shared" si="145"/>
        <v>1.8999999999999986</v>
      </c>
      <c r="X2314">
        <f t="shared" si="146"/>
        <v>4.0790489880000003</v>
      </c>
      <c r="Y2314">
        <f t="shared" si="147"/>
        <v>57.3</v>
      </c>
      <c r="Z2314" s="1">
        <v>2</v>
      </c>
      <c r="AA2314">
        <v>98</v>
      </c>
      <c r="AB2314">
        <v>2.0400000000000001E-2</v>
      </c>
      <c r="AC2314">
        <v>2</v>
      </c>
      <c r="AD2314">
        <v>95</v>
      </c>
      <c r="AE2314">
        <v>2.1100000000000001E-2</v>
      </c>
      <c r="AF2314" t="s">
        <v>2589</v>
      </c>
      <c r="AG2314" t="s">
        <v>2591</v>
      </c>
    </row>
    <row r="2315" spans="1:33">
      <c r="A2315" s="2" t="s">
        <v>39</v>
      </c>
      <c r="B2315" s="2" t="s">
        <v>17</v>
      </c>
      <c r="C2315" s="1">
        <v>0.60811616199999996</v>
      </c>
      <c r="D2315">
        <v>0.721105683</v>
      </c>
      <c r="E2315">
        <v>0.741016169</v>
      </c>
      <c r="F2315" s="1" t="s">
        <v>40</v>
      </c>
      <c r="G2315" s="1">
        <v>1.0601915180000001</v>
      </c>
      <c r="H2315" s="1">
        <v>34</v>
      </c>
      <c r="I2315" s="1">
        <v>73.099999999999994</v>
      </c>
      <c r="J2315" s="1">
        <v>0.69007933799999999</v>
      </c>
      <c r="K2315" s="1">
        <v>0.659112378</v>
      </c>
      <c r="L2315" s="1">
        <v>0.68333493499999998</v>
      </c>
      <c r="M2315" s="3">
        <v>0.70345495199999997</v>
      </c>
      <c r="N2315" s="1" t="s">
        <v>18</v>
      </c>
      <c r="O2315" s="1">
        <v>1.9463955639999999</v>
      </c>
      <c r="P2315" s="1">
        <v>46.3</v>
      </c>
      <c r="Q2315" s="1">
        <v>54.1</v>
      </c>
      <c r="R2315" s="1">
        <v>0.68196742166666668</v>
      </c>
      <c r="S2315" s="1">
        <v>7.3743396133614955E-2</v>
      </c>
      <c r="T2315" t="s">
        <v>2462</v>
      </c>
      <c r="U2315" s="1">
        <v>736</v>
      </c>
      <c r="V2315">
        <f t="shared" si="144"/>
        <v>0.31854197937083323</v>
      </c>
      <c r="W2315" s="1">
        <f t="shared" si="145"/>
        <v>12.299999999999997</v>
      </c>
      <c r="X2315">
        <f t="shared" si="146"/>
        <v>0.8862040459999998</v>
      </c>
      <c r="Y2315">
        <f t="shared" si="147"/>
        <v>18.999999999999993</v>
      </c>
      <c r="Z2315" s="1">
        <v>1</v>
      </c>
      <c r="AA2315">
        <v>99</v>
      </c>
      <c r="AB2315">
        <v>1.01E-2</v>
      </c>
      <c r="AC2315">
        <v>1</v>
      </c>
      <c r="AD2315">
        <v>110</v>
      </c>
      <c r="AE2315">
        <v>9.1000000000000004E-3</v>
      </c>
      <c r="AF2315" t="s">
        <v>2589</v>
      </c>
      <c r="AG2315" t="s">
        <v>2591</v>
      </c>
    </row>
    <row r="2316" spans="1:33">
      <c r="A2316" s="2" t="s">
        <v>39</v>
      </c>
      <c r="B2316" s="2" t="s">
        <v>19</v>
      </c>
      <c r="C2316" s="1">
        <v>0.60811616199999996</v>
      </c>
      <c r="D2316">
        <v>0.721105683</v>
      </c>
      <c r="E2316">
        <v>0.741016169</v>
      </c>
      <c r="F2316" s="1" t="s">
        <v>40</v>
      </c>
      <c r="G2316" s="1">
        <v>1.0601915180000001</v>
      </c>
      <c r="H2316" s="1">
        <v>34</v>
      </c>
      <c r="I2316" s="1">
        <v>73.099999999999994</v>
      </c>
      <c r="J2316" s="1">
        <v>0.69007933799999999</v>
      </c>
      <c r="K2316" s="1">
        <v>0.49391595300000002</v>
      </c>
      <c r="L2316" s="1">
        <v>0.603599314</v>
      </c>
      <c r="M2316" s="3">
        <v>0.63481471599999995</v>
      </c>
      <c r="N2316" s="1" t="s">
        <v>20</v>
      </c>
      <c r="O2316" s="1">
        <v>1.2140902870000001</v>
      </c>
      <c r="P2316" s="1">
        <v>64.900000000000006</v>
      </c>
      <c r="Q2316" s="1">
        <v>146.19999999999999</v>
      </c>
      <c r="R2316" s="1">
        <v>0.57744332766666662</v>
      </c>
      <c r="S2316" s="1">
        <v>0.19526439283832331</v>
      </c>
      <c r="T2316" t="s">
        <v>2463</v>
      </c>
      <c r="U2316" s="1">
        <v>2017</v>
      </c>
      <c r="V2316">
        <f t="shared" si="144"/>
        <v>0.36718954424586281</v>
      </c>
      <c r="W2316" s="1">
        <f t="shared" si="145"/>
        <v>30.900000000000006</v>
      </c>
      <c r="X2316">
        <f t="shared" si="146"/>
        <v>0.15389876899999999</v>
      </c>
      <c r="Y2316">
        <f t="shared" si="147"/>
        <v>73.099999999999994</v>
      </c>
      <c r="Z2316" s="1">
        <v>4</v>
      </c>
      <c r="AA2316">
        <v>96</v>
      </c>
      <c r="AB2316">
        <v>4.1700000000000001E-2</v>
      </c>
      <c r="AC2316">
        <v>6</v>
      </c>
      <c r="AD2316">
        <v>85</v>
      </c>
      <c r="AE2316">
        <v>7.0599999999999996E-2</v>
      </c>
      <c r="AF2316" t="s">
        <v>2589</v>
      </c>
      <c r="AG2316" t="s">
        <v>2593</v>
      </c>
    </row>
    <row r="2317" spans="1:33">
      <c r="A2317" s="2" t="s">
        <v>39</v>
      </c>
      <c r="B2317" s="2" t="s">
        <v>21</v>
      </c>
      <c r="C2317" s="1">
        <v>0.60811616199999996</v>
      </c>
      <c r="D2317">
        <v>0.721105683</v>
      </c>
      <c r="E2317">
        <v>0.741016169</v>
      </c>
      <c r="F2317" s="1" t="s">
        <v>40</v>
      </c>
      <c r="G2317" s="1">
        <v>1.0601915180000001</v>
      </c>
      <c r="H2317" s="1">
        <v>34</v>
      </c>
      <c r="I2317" s="1">
        <v>73.099999999999994</v>
      </c>
      <c r="J2317" s="1">
        <v>0.69007933799999999</v>
      </c>
      <c r="K2317" s="1">
        <v>0.53276376800000003</v>
      </c>
      <c r="L2317" s="1">
        <v>0.65428149899999999</v>
      </c>
      <c r="M2317" s="3">
        <v>0.70160154799999996</v>
      </c>
      <c r="N2317" s="1" t="s">
        <v>22</v>
      </c>
      <c r="O2317" s="1">
        <v>1.2440604749999999</v>
      </c>
      <c r="P2317" s="1">
        <v>24.6</v>
      </c>
      <c r="Q2317" s="1">
        <v>46.3</v>
      </c>
      <c r="R2317" s="1">
        <v>0.62954893833333336</v>
      </c>
      <c r="S2317" s="1">
        <v>0.10815251822020015</v>
      </c>
      <c r="T2317" t="s">
        <v>2464</v>
      </c>
      <c r="U2317" s="1">
        <v>7827</v>
      </c>
      <c r="V2317">
        <f t="shared" si="144"/>
        <v>0.43262170375776482</v>
      </c>
      <c r="W2317" s="1">
        <f t="shared" si="145"/>
        <v>9.3999999999999986</v>
      </c>
      <c r="X2317">
        <f t="shared" si="146"/>
        <v>0.18386895699999983</v>
      </c>
      <c r="Y2317">
        <f t="shared" si="147"/>
        <v>26.799999999999997</v>
      </c>
      <c r="Z2317" s="1">
        <v>3</v>
      </c>
      <c r="AA2317">
        <v>97</v>
      </c>
      <c r="AB2317">
        <v>3.09E-2</v>
      </c>
      <c r="AC2317">
        <v>4</v>
      </c>
      <c r="AD2317">
        <v>93</v>
      </c>
      <c r="AE2317">
        <v>4.2999999999999997E-2</v>
      </c>
      <c r="AF2317" t="s">
        <v>2589</v>
      </c>
      <c r="AG2317" t="s">
        <v>2589</v>
      </c>
    </row>
    <row r="2318" spans="1:33">
      <c r="A2318" s="2" t="s">
        <v>39</v>
      </c>
      <c r="B2318" s="2" t="s">
        <v>23</v>
      </c>
      <c r="C2318" s="1">
        <v>0.60811616199999996</v>
      </c>
      <c r="D2318">
        <v>0.721105683</v>
      </c>
      <c r="E2318">
        <v>0.741016169</v>
      </c>
      <c r="F2318" s="1" t="s">
        <v>40</v>
      </c>
      <c r="G2318" s="1">
        <v>1.0601915180000001</v>
      </c>
      <c r="H2318" s="1">
        <v>34</v>
      </c>
      <c r="I2318" s="1">
        <v>73.099999999999994</v>
      </c>
      <c r="J2318" s="1">
        <v>0.69007933799999999</v>
      </c>
      <c r="K2318" s="1">
        <v>0.49415677200000002</v>
      </c>
      <c r="L2318" s="1">
        <v>0.62090818999999997</v>
      </c>
      <c r="M2318" s="3">
        <v>0.63381026900000004</v>
      </c>
      <c r="N2318" s="1" t="s">
        <v>24</v>
      </c>
      <c r="O2318" s="1">
        <v>1.141304348</v>
      </c>
      <c r="P2318" s="1">
        <v>44.4</v>
      </c>
      <c r="Q2318" s="1">
        <v>101.2</v>
      </c>
      <c r="R2318" s="1">
        <v>0.58295841033333329</v>
      </c>
      <c r="S2318" s="1">
        <v>0.18579393199851049</v>
      </c>
      <c r="T2318" t="s">
        <v>2465</v>
      </c>
      <c r="U2318" s="1">
        <v>303</v>
      </c>
      <c r="V2318">
        <f t="shared" si="144"/>
        <v>0.27571584761136719</v>
      </c>
      <c r="W2318" s="1">
        <f t="shared" si="145"/>
        <v>10.399999999999999</v>
      </c>
      <c r="X2318">
        <f t="shared" si="146"/>
        <v>8.1112829999999914E-2</v>
      </c>
      <c r="Y2318">
        <f t="shared" si="147"/>
        <v>28.100000000000009</v>
      </c>
      <c r="Z2318" s="1">
        <v>3</v>
      </c>
      <c r="AA2318">
        <v>97</v>
      </c>
      <c r="AB2318">
        <v>3.09E-2</v>
      </c>
      <c r="AC2318">
        <v>4</v>
      </c>
      <c r="AD2318">
        <v>89</v>
      </c>
      <c r="AE2318">
        <v>4.4900000000000002E-2</v>
      </c>
      <c r="AF2318" t="s">
        <v>2589</v>
      </c>
      <c r="AG2318" t="s">
        <v>2590</v>
      </c>
    </row>
    <row r="2319" spans="1:33">
      <c r="A2319" s="2" t="s">
        <v>39</v>
      </c>
      <c r="B2319" s="2" t="s">
        <v>25</v>
      </c>
      <c r="C2319" s="1">
        <v>0.60811616199999996</v>
      </c>
      <c r="D2319">
        <v>0.721105683</v>
      </c>
      <c r="E2319">
        <v>0.741016169</v>
      </c>
      <c r="F2319" s="1" t="s">
        <v>40</v>
      </c>
      <c r="G2319" s="1">
        <v>1.0601915180000001</v>
      </c>
      <c r="H2319" s="1">
        <v>34</v>
      </c>
      <c r="I2319" s="1">
        <v>73.099999999999994</v>
      </c>
      <c r="J2319" s="1">
        <v>0.69007933799999999</v>
      </c>
      <c r="K2319" s="1">
        <v>0.53959274199999996</v>
      </c>
      <c r="L2319" s="1">
        <v>0.64971567399999997</v>
      </c>
      <c r="M2319" s="3">
        <v>0.65028459999999999</v>
      </c>
      <c r="N2319" s="1" t="s">
        <v>26</v>
      </c>
      <c r="O2319" s="1">
        <v>1.623046875</v>
      </c>
      <c r="P2319" s="1">
        <v>34.700000000000003</v>
      </c>
      <c r="Q2319" s="1">
        <v>51.2</v>
      </c>
      <c r="R2319" s="1">
        <v>0.61319767199999997</v>
      </c>
      <c r="S2319" s="1">
        <v>0.13425427399795603</v>
      </c>
      <c r="T2319" t="s">
        <v>2466</v>
      </c>
      <c r="U2319" s="1">
        <v>2579</v>
      </c>
      <c r="V2319">
        <f t="shared" si="144"/>
        <v>0.37905014912643753</v>
      </c>
      <c r="W2319" s="1">
        <f t="shared" si="145"/>
        <v>0.70000000000000284</v>
      </c>
      <c r="X2319">
        <f t="shared" si="146"/>
        <v>0.56285535699999989</v>
      </c>
      <c r="Y2319">
        <f t="shared" si="147"/>
        <v>21.899999999999991</v>
      </c>
      <c r="Z2319" s="1">
        <v>0</v>
      </c>
      <c r="AA2319">
        <v>100</v>
      </c>
      <c r="AB2319">
        <v>0</v>
      </c>
      <c r="AC2319">
        <v>0</v>
      </c>
      <c r="AD2319">
        <v>95</v>
      </c>
      <c r="AE2319">
        <v>0</v>
      </c>
      <c r="AF2319" t="s">
        <v>2589</v>
      </c>
      <c r="AG2319" t="s">
        <v>2594</v>
      </c>
    </row>
    <row r="2320" spans="1:33">
      <c r="A2320" s="2" t="s">
        <v>39</v>
      </c>
      <c r="B2320" s="2" t="s">
        <v>27</v>
      </c>
      <c r="C2320" s="1">
        <v>0.60811616199999996</v>
      </c>
      <c r="D2320">
        <v>0.721105683</v>
      </c>
      <c r="E2320">
        <v>0.741016169</v>
      </c>
      <c r="F2320" s="1" t="s">
        <v>40</v>
      </c>
      <c r="G2320" s="1">
        <v>1.0601915180000001</v>
      </c>
      <c r="H2320" s="1">
        <v>34</v>
      </c>
      <c r="I2320" s="1">
        <v>73.099999999999994</v>
      </c>
      <c r="J2320" s="1">
        <v>0.69007933799999999</v>
      </c>
      <c r="K2320" s="1">
        <v>0.518608662</v>
      </c>
      <c r="L2320" s="1">
        <v>0.64320369700000002</v>
      </c>
      <c r="M2320" s="3">
        <v>0.62228994199999998</v>
      </c>
      <c r="N2320" s="1" t="s">
        <v>28</v>
      </c>
      <c r="O2320" s="1">
        <v>1.8717391299999999</v>
      </c>
      <c r="P2320" s="1">
        <v>33.700000000000003</v>
      </c>
      <c r="Q2320" s="1">
        <v>46</v>
      </c>
      <c r="R2320" s="1">
        <v>0.59470076699999996</v>
      </c>
      <c r="S2320" s="1">
        <v>0.1678577640642509</v>
      </c>
      <c r="T2320" t="s">
        <v>2467</v>
      </c>
      <c r="U2320" s="1">
        <v>232</v>
      </c>
      <c r="V2320">
        <f t="shared" si="144"/>
        <v>0.26283199832121107</v>
      </c>
      <c r="W2320" s="1">
        <f t="shared" si="145"/>
        <v>0.29999999999999716</v>
      </c>
      <c r="X2320">
        <f t="shared" si="146"/>
        <v>0.81154761199999981</v>
      </c>
      <c r="Y2320">
        <f t="shared" si="147"/>
        <v>27.099999999999994</v>
      </c>
      <c r="Z2320" s="1">
        <v>3</v>
      </c>
      <c r="AA2320">
        <v>97</v>
      </c>
      <c r="AB2320">
        <v>3.09E-2</v>
      </c>
      <c r="AC2320">
        <v>5</v>
      </c>
      <c r="AD2320">
        <v>97</v>
      </c>
      <c r="AE2320">
        <v>5.1499999999999997E-2</v>
      </c>
      <c r="AF2320" t="s">
        <v>2589</v>
      </c>
      <c r="AG2320" t="s">
        <v>2590</v>
      </c>
    </row>
    <row r="2321" spans="1:33">
      <c r="A2321" s="2" t="s">
        <v>39</v>
      </c>
      <c r="B2321" s="2" t="s">
        <v>29</v>
      </c>
      <c r="C2321" s="1">
        <v>0.60811616199999996</v>
      </c>
      <c r="D2321">
        <v>0.721105683</v>
      </c>
      <c r="E2321">
        <v>0.741016169</v>
      </c>
      <c r="F2321" s="1" t="s">
        <v>40</v>
      </c>
      <c r="G2321" s="1">
        <v>1.0601915180000001</v>
      </c>
      <c r="H2321" s="1">
        <v>34</v>
      </c>
      <c r="I2321" s="1">
        <v>73.099999999999994</v>
      </c>
      <c r="J2321" s="1">
        <v>0.69007933799999999</v>
      </c>
      <c r="K2321" s="1">
        <v>0.59351545100000003</v>
      </c>
      <c r="L2321" s="1">
        <v>0.68136602400000001</v>
      </c>
      <c r="M2321" s="3">
        <v>0.73518087600000004</v>
      </c>
      <c r="N2321" s="1" t="s">
        <v>30</v>
      </c>
      <c r="O2321" s="1">
        <v>2.849112426</v>
      </c>
      <c r="P2321" s="1">
        <v>37.9</v>
      </c>
      <c r="Q2321" s="1">
        <v>33.799999999999997</v>
      </c>
      <c r="R2321" s="1">
        <v>0.67002078366666673</v>
      </c>
      <c r="S2321" s="1">
        <v>4.2737242582291703E-2</v>
      </c>
      <c r="T2321" t="s">
        <v>2468</v>
      </c>
      <c r="U2321" s="1">
        <v>320</v>
      </c>
      <c r="V2321">
        <f t="shared" si="144"/>
        <v>0.27834999759110063</v>
      </c>
      <c r="W2321" s="1">
        <f t="shared" si="145"/>
        <v>3.8999999999999986</v>
      </c>
      <c r="X2321">
        <f t="shared" si="146"/>
        <v>1.7889209079999999</v>
      </c>
      <c r="Y2321">
        <f t="shared" si="147"/>
        <v>39.299999999999997</v>
      </c>
      <c r="Z2321" s="1">
        <v>1</v>
      </c>
      <c r="AA2321">
        <v>99</v>
      </c>
      <c r="AB2321">
        <v>1.01E-2</v>
      </c>
      <c r="AC2321">
        <v>1</v>
      </c>
      <c r="AD2321">
        <v>90</v>
      </c>
      <c r="AE2321">
        <v>1.11E-2</v>
      </c>
      <c r="AF2321" t="s">
        <v>2589</v>
      </c>
      <c r="AG2321" t="s">
        <v>2593</v>
      </c>
    </row>
    <row r="2322" spans="1:33">
      <c r="A2322" s="2" t="s">
        <v>39</v>
      </c>
      <c r="B2322" s="2" t="s">
        <v>31</v>
      </c>
      <c r="C2322" s="1">
        <v>0.60811616199999996</v>
      </c>
      <c r="D2322">
        <v>0.721105683</v>
      </c>
      <c r="E2322">
        <v>0.741016169</v>
      </c>
      <c r="F2322" s="1" t="s">
        <v>40</v>
      </c>
      <c r="G2322" s="1">
        <v>1.0601915180000001</v>
      </c>
      <c r="H2322" s="1">
        <v>34</v>
      </c>
      <c r="I2322" s="1">
        <v>73.099999999999994</v>
      </c>
      <c r="J2322" s="1">
        <v>0.69007933799999999</v>
      </c>
      <c r="K2322" s="1">
        <v>0.47727961800000002</v>
      </c>
      <c r="L2322" s="1">
        <v>0.66941086400000005</v>
      </c>
      <c r="M2322" s="3">
        <v>0.69294815300000001</v>
      </c>
      <c r="N2322" s="1" t="s">
        <v>32</v>
      </c>
      <c r="O2322" s="1">
        <v>1.341891892</v>
      </c>
      <c r="P2322" s="1">
        <v>42.1</v>
      </c>
      <c r="Q2322" s="1">
        <v>74</v>
      </c>
      <c r="R2322" s="1">
        <v>0.61321287833333338</v>
      </c>
      <c r="S2322" s="1">
        <v>0.14866435255125196</v>
      </c>
      <c r="T2322" t="s">
        <v>2469</v>
      </c>
      <c r="U2322" s="1">
        <v>11664</v>
      </c>
      <c r="V2322">
        <f t="shared" si="144"/>
        <v>0.45187194566376665</v>
      </c>
      <c r="W2322" s="1">
        <f t="shared" si="145"/>
        <v>8.1000000000000014</v>
      </c>
      <c r="X2322">
        <f t="shared" si="146"/>
        <v>0.28170037399999992</v>
      </c>
      <c r="Y2322">
        <f t="shared" si="147"/>
        <v>0.90000000000000568</v>
      </c>
      <c r="Z2322" s="1">
        <v>3</v>
      </c>
      <c r="AA2322">
        <v>97</v>
      </c>
      <c r="AB2322">
        <v>3.09E-2</v>
      </c>
      <c r="AC2322">
        <v>5</v>
      </c>
      <c r="AD2322">
        <v>94</v>
      </c>
      <c r="AE2322">
        <v>5.3199999999999997E-2</v>
      </c>
      <c r="AF2322" t="s">
        <v>2589</v>
      </c>
      <c r="AG2322" t="s">
        <v>2589</v>
      </c>
    </row>
    <row r="2323" spans="1:33">
      <c r="A2323" s="2" t="s">
        <v>39</v>
      </c>
      <c r="B2323" s="2" t="s">
        <v>33</v>
      </c>
      <c r="C2323" s="1">
        <v>0.60811616199999996</v>
      </c>
      <c r="D2323">
        <v>0.721105683</v>
      </c>
      <c r="E2323">
        <v>0.741016169</v>
      </c>
      <c r="F2323" s="1" t="s">
        <v>40</v>
      </c>
      <c r="G2323" s="1">
        <v>1.0601915180000001</v>
      </c>
      <c r="H2323" s="1">
        <v>34</v>
      </c>
      <c r="I2323" s="1">
        <v>73.099999999999994</v>
      </c>
      <c r="J2323" s="1">
        <v>0.69007933799999999</v>
      </c>
      <c r="K2323" s="1">
        <v>0.51347926600000005</v>
      </c>
      <c r="L2323" s="1">
        <v>0.63144379399999995</v>
      </c>
      <c r="M2323" s="3">
        <v>0.64189093500000005</v>
      </c>
      <c r="N2323" s="1" t="s">
        <v>34</v>
      </c>
      <c r="O2323" s="1">
        <v>2.3123667380000001</v>
      </c>
      <c r="P2323" s="1">
        <v>79.099999999999994</v>
      </c>
      <c r="Q2323" s="1">
        <v>93.8</v>
      </c>
      <c r="R2323" s="1">
        <v>0.59560466500000009</v>
      </c>
      <c r="S2323" s="1">
        <v>0.16377181820788911</v>
      </c>
      <c r="T2323" t="s">
        <v>2470</v>
      </c>
      <c r="U2323" s="1">
        <v>1333</v>
      </c>
      <c r="V2323">
        <f t="shared" si="144"/>
        <v>0.34720334993487323</v>
      </c>
      <c r="W2323" s="1">
        <f t="shared" si="145"/>
        <v>45.099999999999994</v>
      </c>
      <c r="X2323">
        <f t="shared" si="146"/>
        <v>1.25217522</v>
      </c>
      <c r="Y2323">
        <f t="shared" si="147"/>
        <v>20.700000000000003</v>
      </c>
      <c r="Z2323" s="1">
        <v>5</v>
      </c>
      <c r="AA2323">
        <v>95</v>
      </c>
      <c r="AB2323">
        <v>5.2600000000000001E-2</v>
      </c>
      <c r="AC2323">
        <v>7</v>
      </c>
      <c r="AD2323">
        <v>86</v>
      </c>
      <c r="AE2323">
        <v>8.14E-2</v>
      </c>
      <c r="AF2323" t="s">
        <v>2589</v>
      </c>
      <c r="AG2323" t="s">
        <v>2590</v>
      </c>
    </row>
    <row r="2324" spans="1:33">
      <c r="A2324" s="2" t="s">
        <v>39</v>
      </c>
      <c r="B2324" s="2" t="s">
        <v>35</v>
      </c>
      <c r="C2324" s="1">
        <v>0.60811616199999996</v>
      </c>
      <c r="D2324">
        <v>0.721105683</v>
      </c>
      <c r="E2324">
        <v>0.741016169</v>
      </c>
      <c r="F2324" s="1" t="s">
        <v>40</v>
      </c>
      <c r="G2324" s="1">
        <v>1.0601915180000001</v>
      </c>
      <c r="H2324" s="1">
        <v>34</v>
      </c>
      <c r="I2324" s="1">
        <v>73.099999999999994</v>
      </c>
      <c r="J2324" s="1">
        <v>0.69007933799999999</v>
      </c>
      <c r="K2324" s="1">
        <v>0.52542897600000005</v>
      </c>
      <c r="L2324" s="1">
        <v>0.60774736299999998</v>
      </c>
      <c r="M2324" s="3">
        <v>0.62585751700000003</v>
      </c>
      <c r="N2324" s="1" t="s">
        <v>36</v>
      </c>
      <c r="O2324" s="1">
        <v>0.98848810399999998</v>
      </c>
      <c r="P2324" s="1">
        <v>54.2</v>
      </c>
      <c r="Q2324" s="1">
        <v>130.30000000000001</v>
      </c>
      <c r="R2324" s="1">
        <v>0.58634461866666665</v>
      </c>
      <c r="S2324" s="1">
        <v>0.18151802822936922</v>
      </c>
      <c r="T2324" t="s">
        <v>2471</v>
      </c>
      <c r="U2324" s="1">
        <v>13700</v>
      </c>
      <c r="V2324">
        <f t="shared" si="144"/>
        <v>0.45963561857293406</v>
      </c>
      <c r="W2324" s="1">
        <f t="shared" si="145"/>
        <v>20.200000000000003</v>
      </c>
      <c r="X2324">
        <f t="shared" si="146"/>
        <v>7.1703414000000132E-2</v>
      </c>
      <c r="Y2324">
        <f t="shared" si="147"/>
        <v>57.200000000000017</v>
      </c>
      <c r="Z2324" s="1">
        <v>3</v>
      </c>
      <c r="AA2324">
        <v>97</v>
      </c>
      <c r="AB2324">
        <v>3.09E-2</v>
      </c>
      <c r="AC2324">
        <v>5</v>
      </c>
      <c r="AD2324">
        <v>87</v>
      </c>
      <c r="AE2324">
        <v>5.7500000000000002E-2</v>
      </c>
      <c r="AF2324" t="s">
        <v>2589</v>
      </c>
      <c r="AG2324" t="s">
        <v>2589</v>
      </c>
    </row>
    <row r="2325" spans="1:33">
      <c r="A2325" s="2" t="s">
        <v>39</v>
      </c>
      <c r="B2325" s="2" t="s">
        <v>37</v>
      </c>
      <c r="C2325" s="1">
        <v>0.60811616199999996</v>
      </c>
      <c r="D2325">
        <v>0.721105683</v>
      </c>
      <c r="E2325">
        <v>0.741016169</v>
      </c>
      <c r="F2325" s="1" t="s">
        <v>40</v>
      </c>
      <c r="G2325" s="1">
        <v>1.0601915180000001</v>
      </c>
      <c r="H2325" s="1">
        <v>34</v>
      </c>
      <c r="I2325" s="1">
        <v>73.099999999999994</v>
      </c>
      <c r="J2325" s="1">
        <v>0.69007933799999999</v>
      </c>
      <c r="K2325" s="1">
        <v>0.50856695500000004</v>
      </c>
      <c r="L2325" s="1">
        <v>0.654733224</v>
      </c>
      <c r="M2325" s="3">
        <v>0.61418267199999999</v>
      </c>
      <c r="N2325" s="1" t="s">
        <v>38</v>
      </c>
      <c r="O2325" s="1">
        <v>0.64065708399999999</v>
      </c>
      <c r="P2325" s="1">
        <v>41.9</v>
      </c>
      <c r="Q2325" s="1">
        <v>146.1</v>
      </c>
      <c r="R2325" s="1">
        <v>0.59249428366666679</v>
      </c>
      <c r="S2325" s="1">
        <v>0.17436193360158783</v>
      </c>
      <c r="T2325" t="s">
        <v>2472</v>
      </c>
      <c r="U2325" s="1">
        <v>1898</v>
      </c>
      <c r="V2325">
        <f t="shared" si="144"/>
        <v>0.36425513423236372</v>
      </c>
      <c r="W2325" s="1">
        <f t="shared" si="145"/>
        <v>7.8999999999999986</v>
      </c>
      <c r="X2325">
        <f t="shared" si="146"/>
        <v>0.41953443400000012</v>
      </c>
      <c r="Y2325">
        <f t="shared" si="147"/>
        <v>73</v>
      </c>
      <c r="Z2325" s="1">
        <v>3</v>
      </c>
      <c r="AA2325">
        <v>97</v>
      </c>
      <c r="AB2325">
        <v>3.09E-2</v>
      </c>
      <c r="AC2325">
        <v>5</v>
      </c>
      <c r="AD2325">
        <v>86</v>
      </c>
      <c r="AE2325">
        <v>5.8099999999999999E-2</v>
      </c>
      <c r="AF2325" t="s">
        <v>2589</v>
      </c>
      <c r="AG2325" t="s">
        <v>2590</v>
      </c>
    </row>
    <row r="2326" spans="1:33">
      <c r="A2326" s="2" t="s">
        <v>37</v>
      </c>
      <c r="B2326" s="2" t="s">
        <v>10</v>
      </c>
      <c r="C2326" s="1">
        <v>0.50856695500000004</v>
      </c>
      <c r="D2326">
        <v>0.654733224</v>
      </c>
      <c r="E2326">
        <v>0.61418267199999999</v>
      </c>
      <c r="F2326" s="1" t="s">
        <v>38</v>
      </c>
      <c r="G2326" s="1">
        <v>0.64065708399999999</v>
      </c>
      <c r="H2326" s="1">
        <v>41.9</v>
      </c>
      <c r="I2326" s="1">
        <v>146.1</v>
      </c>
      <c r="J2326" s="1">
        <v>0.59249428366666679</v>
      </c>
      <c r="K2326" s="1">
        <v>0.52456325500000001</v>
      </c>
      <c r="L2326" s="1">
        <v>0.61925627999999999</v>
      </c>
      <c r="M2326" s="3">
        <v>0.72111139899999999</v>
      </c>
      <c r="N2326" s="1" t="s">
        <v>12</v>
      </c>
      <c r="O2326" s="1">
        <v>0.61690647499999995</v>
      </c>
      <c r="P2326" s="1">
        <v>30</v>
      </c>
      <c r="Q2326" s="1">
        <v>111.2</v>
      </c>
      <c r="R2326" s="1">
        <v>0.62164364466666666</v>
      </c>
      <c r="S2326" s="1">
        <v>0.11379036790128444</v>
      </c>
      <c r="T2326" t="s">
        <v>2473</v>
      </c>
      <c r="U2326" s="1">
        <v>4194</v>
      </c>
      <c r="V2326">
        <f t="shared" si="144"/>
        <v>0.40251426956992498</v>
      </c>
      <c r="W2326" s="1">
        <f t="shared" si="145"/>
        <v>11.899999999999999</v>
      </c>
      <c r="X2326">
        <f t="shared" si="146"/>
        <v>2.3750609000000034E-2</v>
      </c>
      <c r="Y2326">
        <f t="shared" si="147"/>
        <v>34.899999999999991</v>
      </c>
      <c r="Z2326" s="1">
        <v>5</v>
      </c>
      <c r="AA2326">
        <v>95</v>
      </c>
      <c r="AB2326">
        <v>5.2600000000000001E-2</v>
      </c>
      <c r="AC2326">
        <v>7</v>
      </c>
      <c r="AD2326">
        <v>144</v>
      </c>
      <c r="AE2326">
        <v>4.8599999999999997E-2</v>
      </c>
      <c r="AF2326" t="s">
        <v>2590</v>
      </c>
      <c r="AG2326" t="s">
        <v>2588</v>
      </c>
    </row>
    <row r="2327" spans="1:33">
      <c r="A2327" s="2" t="s">
        <v>37</v>
      </c>
      <c r="B2327" s="2" t="s">
        <v>13</v>
      </c>
      <c r="C2327" s="1">
        <v>0.50856695500000004</v>
      </c>
      <c r="D2327">
        <v>0.654733224</v>
      </c>
      <c r="E2327">
        <v>0.61418267199999999</v>
      </c>
      <c r="F2327" s="1" t="s">
        <v>38</v>
      </c>
      <c r="G2327" s="1">
        <v>0.64065708399999999</v>
      </c>
      <c r="H2327" s="1">
        <v>41.9</v>
      </c>
      <c r="I2327" s="1">
        <v>146.1</v>
      </c>
      <c r="J2327" s="1">
        <v>0.59249428366666679</v>
      </c>
      <c r="K2327" s="1">
        <v>0.48695497399999998</v>
      </c>
      <c r="L2327" s="1">
        <v>0.54991327199999995</v>
      </c>
      <c r="M2327" s="3">
        <v>0.67282609299999996</v>
      </c>
      <c r="N2327" s="1" t="s">
        <v>14</v>
      </c>
      <c r="O2327" s="1">
        <v>1.6052009460000001</v>
      </c>
      <c r="P2327" s="1">
        <v>26.6</v>
      </c>
      <c r="Q2327" s="1">
        <v>42.3</v>
      </c>
      <c r="R2327" s="1">
        <v>0.56989811299999993</v>
      </c>
      <c r="S2327" s="1">
        <v>0.12203831728850541</v>
      </c>
      <c r="T2327" t="s">
        <v>2474</v>
      </c>
      <c r="U2327" s="1">
        <v>551</v>
      </c>
      <c r="V2327">
        <f t="shared" si="144"/>
        <v>0.30457239987242057</v>
      </c>
      <c r="W2327" s="1">
        <f t="shared" si="145"/>
        <v>15.299999999999997</v>
      </c>
      <c r="X2327">
        <f t="shared" si="146"/>
        <v>0.96454386200000009</v>
      </c>
      <c r="Y2327">
        <f t="shared" si="147"/>
        <v>103.8</v>
      </c>
      <c r="Z2327" s="1">
        <v>2</v>
      </c>
      <c r="AA2327">
        <v>98</v>
      </c>
      <c r="AB2327">
        <v>2.0400000000000001E-2</v>
      </c>
      <c r="AC2327">
        <v>3</v>
      </c>
      <c r="AD2327">
        <v>95</v>
      </c>
      <c r="AE2327">
        <v>3.1600000000000003E-2</v>
      </c>
      <c r="AF2327" t="s">
        <v>2590</v>
      </c>
      <c r="AG2327" t="s">
        <v>2590</v>
      </c>
    </row>
    <row r="2328" spans="1:33">
      <c r="A2328" s="2" t="s">
        <v>37</v>
      </c>
      <c r="B2328" s="2" t="s">
        <v>15</v>
      </c>
      <c r="C2328" s="1">
        <v>0.50856695500000004</v>
      </c>
      <c r="D2328">
        <v>0.654733224</v>
      </c>
      <c r="E2328">
        <v>0.61418267199999999</v>
      </c>
      <c r="F2328" s="1" t="s">
        <v>38</v>
      </c>
      <c r="G2328" s="1">
        <v>0.64065708399999999</v>
      </c>
      <c r="H2328" s="1">
        <v>41.9</v>
      </c>
      <c r="I2328" s="1">
        <v>146.1</v>
      </c>
      <c r="J2328" s="1">
        <v>0.59249428366666679</v>
      </c>
      <c r="K2328" s="1">
        <v>0.54560998800000005</v>
      </c>
      <c r="L2328" s="1">
        <v>0.66721428400000005</v>
      </c>
      <c r="M2328" s="3">
        <v>0.72650398400000005</v>
      </c>
      <c r="N2328" s="1" t="s">
        <v>16</v>
      </c>
      <c r="O2328" s="1">
        <v>5.1392405060000002</v>
      </c>
      <c r="P2328" s="1">
        <v>35.9</v>
      </c>
      <c r="Q2328" s="1">
        <v>15.8</v>
      </c>
      <c r="R2328" s="1">
        <v>0.64644275200000012</v>
      </c>
      <c r="S2328" s="1">
        <v>0.11892871933206062</v>
      </c>
      <c r="T2328" t="s">
        <v>2475</v>
      </c>
      <c r="U2328" s="1">
        <v>883</v>
      </c>
      <c r="V2328">
        <f t="shared" si="144"/>
        <v>0.3273289670641743</v>
      </c>
      <c r="W2328" s="1">
        <f t="shared" si="145"/>
        <v>6</v>
      </c>
      <c r="X2328">
        <f t="shared" si="146"/>
        <v>4.4985834220000003</v>
      </c>
      <c r="Y2328">
        <f t="shared" si="147"/>
        <v>130.29999999999998</v>
      </c>
      <c r="Z2328" s="1">
        <v>0</v>
      </c>
      <c r="AA2328">
        <v>100</v>
      </c>
      <c r="AB2328">
        <v>0</v>
      </c>
      <c r="AC2328">
        <v>0</v>
      </c>
      <c r="AD2328">
        <v>94</v>
      </c>
      <c r="AE2328">
        <v>0</v>
      </c>
      <c r="AF2328" t="s">
        <v>2590</v>
      </c>
      <c r="AG2328" t="s">
        <v>2591</v>
      </c>
    </row>
    <row r="2329" spans="1:33">
      <c r="A2329" s="2" t="s">
        <v>37</v>
      </c>
      <c r="B2329" s="2" t="s">
        <v>17</v>
      </c>
      <c r="C2329" s="1">
        <v>0.50856695500000004</v>
      </c>
      <c r="D2329">
        <v>0.654733224</v>
      </c>
      <c r="E2329">
        <v>0.61418267199999999</v>
      </c>
      <c r="F2329" s="1" t="s">
        <v>38</v>
      </c>
      <c r="G2329" s="1">
        <v>0.64065708399999999</v>
      </c>
      <c r="H2329" s="1">
        <v>41.9</v>
      </c>
      <c r="I2329" s="1">
        <v>146.1</v>
      </c>
      <c r="J2329" s="1">
        <v>0.59249428366666679</v>
      </c>
      <c r="K2329" s="1">
        <v>0.659112378</v>
      </c>
      <c r="L2329" s="1">
        <v>0.68333493499999998</v>
      </c>
      <c r="M2329" s="3">
        <v>0.70345495199999997</v>
      </c>
      <c r="N2329" s="1" t="s">
        <v>18</v>
      </c>
      <c r="O2329" s="1">
        <v>1.9463955639999999</v>
      </c>
      <c r="P2329" s="1">
        <v>46.3</v>
      </c>
      <c r="Q2329" s="1">
        <v>54.1</v>
      </c>
      <c r="R2329" s="1">
        <v>0.68196742166666668</v>
      </c>
      <c r="S2329" s="1">
        <v>0.17734577027596354</v>
      </c>
      <c r="T2329" t="s">
        <v>2476</v>
      </c>
      <c r="U2329" s="1">
        <v>379</v>
      </c>
      <c r="V2329">
        <f t="shared" si="144"/>
        <v>0.28651546777423026</v>
      </c>
      <c r="W2329" s="1">
        <f t="shared" si="145"/>
        <v>4.3999999999999986</v>
      </c>
      <c r="X2329">
        <f t="shared" si="146"/>
        <v>1.30573848</v>
      </c>
      <c r="Y2329">
        <f t="shared" si="147"/>
        <v>92</v>
      </c>
      <c r="Z2329" s="1">
        <v>0</v>
      </c>
      <c r="AA2329">
        <v>100</v>
      </c>
      <c r="AB2329">
        <v>0</v>
      </c>
      <c r="AC2329">
        <v>0</v>
      </c>
      <c r="AD2329">
        <v>108</v>
      </c>
      <c r="AE2329">
        <v>0</v>
      </c>
      <c r="AF2329" t="s">
        <v>2590</v>
      </c>
      <c r="AG2329" t="s">
        <v>2591</v>
      </c>
    </row>
    <row r="2330" spans="1:33">
      <c r="A2330" s="2" t="s">
        <v>37</v>
      </c>
      <c r="B2330" s="2" t="s">
        <v>19</v>
      </c>
      <c r="C2330" s="1">
        <v>0.50856695500000004</v>
      </c>
      <c r="D2330">
        <v>0.654733224</v>
      </c>
      <c r="E2330">
        <v>0.61418267199999999</v>
      </c>
      <c r="F2330" s="1" t="s">
        <v>38</v>
      </c>
      <c r="G2330" s="1">
        <v>0.64065708399999999</v>
      </c>
      <c r="H2330" s="1">
        <v>41.9</v>
      </c>
      <c r="I2330" s="1">
        <v>146.1</v>
      </c>
      <c r="J2330" s="1">
        <v>0.59249428366666679</v>
      </c>
      <c r="K2330" s="1">
        <v>0.49391595300000002</v>
      </c>
      <c r="L2330" s="1">
        <v>0.603599314</v>
      </c>
      <c r="M2330" s="3">
        <v>0.63481471599999995</v>
      </c>
      <c r="N2330" s="1" t="s">
        <v>20</v>
      </c>
      <c r="O2330" s="1">
        <v>1.2140902870000001</v>
      </c>
      <c r="P2330" s="1">
        <v>64.900000000000006</v>
      </c>
      <c r="Q2330" s="1">
        <v>146.19999999999999</v>
      </c>
      <c r="R2330" s="1">
        <v>0.57744332766666662</v>
      </c>
      <c r="S2330" s="1">
        <v>5.7052693635884007E-2</v>
      </c>
      <c r="T2330" t="s">
        <v>2477</v>
      </c>
      <c r="U2330" s="1">
        <v>1968</v>
      </c>
      <c r="V2330">
        <f t="shared" si="144"/>
        <v>0.36600278823281363</v>
      </c>
      <c r="W2330" s="1">
        <f t="shared" si="145"/>
        <v>23.000000000000007</v>
      </c>
      <c r="X2330">
        <f t="shared" si="146"/>
        <v>0.57343320300000011</v>
      </c>
      <c r="Y2330">
        <f t="shared" si="147"/>
        <v>9.9999999999994316E-2</v>
      </c>
      <c r="Z2330" s="1">
        <v>16</v>
      </c>
      <c r="AA2330">
        <v>84</v>
      </c>
      <c r="AB2330">
        <v>0.1905</v>
      </c>
      <c r="AC2330">
        <v>16</v>
      </c>
      <c r="AD2330">
        <v>72</v>
      </c>
      <c r="AE2330">
        <v>0.22220000000000001</v>
      </c>
      <c r="AF2330" t="s">
        <v>2590</v>
      </c>
      <c r="AG2330" t="s">
        <v>2593</v>
      </c>
    </row>
    <row r="2331" spans="1:33">
      <c r="A2331" s="2" t="s">
        <v>37</v>
      </c>
      <c r="B2331" s="2" t="s">
        <v>21</v>
      </c>
      <c r="C2331" s="1">
        <v>0.50856695500000004</v>
      </c>
      <c r="D2331">
        <v>0.654733224</v>
      </c>
      <c r="E2331">
        <v>0.61418267199999999</v>
      </c>
      <c r="F2331" s="1" t="s">
        <v>38</v>
      </c>
      <c r="G2331" s="1">
        <v>0.64065708399999999</v>
      </c>
      <c r="H2331" s="1">
        <v>41.9</v>
      </c>
      <c r="I2331" s="1">
        <v>146.1</v>
      </c>
      <c r="J2331" s="1">
        <v>0.59249428366666679</v>
      </c>
      <c r="K2331" s="1">
        <v>0.53276376800000003</v>
      </c>
      <c r="L2331" s="1">
        <v>0.65428149899999999</v>
      </c>
      <c r="M2331" s="3">
        <v>0.70160154799999996</v>
      </c>
      <c r="N2331" s="1" t="s">
        <v>22</v>
      </c>
      <c r="O2331" s="1">
        <v>1.2440604749999999</v>
      </c>
      <c r="P2331" s="1">
        <v>24.6</v>
      </c>
      <c r="Q2331" s="1">
        <v>46.3</v>
      </c>
      <c r="R2331" s="1">
        <v>0.62954893833333336</v>
      </c>
      <c r="S2331" s="1">
        <v>9.0706944033717526E-2</v>
      </c>
      <c r="T2331" t="s">
        <v>2478</v>
      </c>
      <c r="U2331" s="1">
        <v>1262</v>
      </c>
      <c r="V2331">
        <f t="shared" si="144"/>
        <v>0.34456215054534617</v>
      </c>
      <c r="W2331" s="1">
        <f t="shared" si="145"/>
        <v>17.299999999999997</v>
      </c>
      <c r="X2331">
        <f t="shared" si="146"/>
        <v>0.60340339099999996</v>
      </c>
      <c r="Y2331">
        <f t="shared" si="147"/>
        <v>99.8</v>
      </c>
      <c r="Z2331" s="1">
        <v>7</v>
      </c>
      <c r="AA2331">
        <v>93</v>
      </c>
      <c r="AB2331">
        <v>7.5300000000000006E-2</v>
      </c>
      <c r="AC2331">
        <v>9</v>
      </c>
      <c r="AD2331">
        <v>85</v>
      </c>
      <c r="AE2331">
        <v>0.10589999999999999</v>
      </c>
      <c r="AF2331" t="s">
        <v>2590</v>
      </c>
      <c r="AG2331" t="s">
        <v>2589</v>
      </c>
    </row>
    <row r="2332" spans="1:33">
      <c r="A2332" s="2" t="s">
        <v>37</v>
      </c>
      <c r="B2332" s="2" t="s">
        <v>23</v>
      </c>
      <c r="C2332" s="1">
        <v>0.50856695500000004</v>
      </c>
      <c r="D2332">
        <v>0.654733224</v>
      </c>
      <c r="E2332">
        <v>0.61418267199999999</v>
      </c>
      <c r="F2332" s="1" t="s">
        <v>38</v>
      </c>
      <c r="G2332" s="1">
        <v>0.64065708399999999</v>
      </c>
      <c r="H2332" s="1">
        <v>41.9</v>
      </c>
      <c r="I2332" s="1">
        <v>146.1</v>
      </c>
      <c r="J2332" s="1">
        <v>0.59249428366666679</v>
      </c>
      <c r="K2332" s="1">
        <v>0.49415677200000002</v>
      </c>
      <c r="L2332" s="1">
        <v>0.62090818999999997</v>
      </c>
      <c r="M2332" s="3">
        <v>0.63381026900000004</v>
      </c>
      <c r="N2332" s="1" t="s">
        <v>24</v>
      </c>
      <c r="O2332" s="1">
        <v>1.141304348</v>
      </c>
      <c r="P2332" s="1">
        <v>44.4</v>
      </c>
      <c r="Q2332" s="1">
        <v>101.2</v>
      </c>
      <c r="R2332" s="1">
        <v>0.58295841033333329</v>
      </c>
      <c r="S2332" s="1">
        <v>4.1677678236545987E-2</v>
      </c>
      <c r="T2332" t="s">
        <v>2479</v>
      </c>
      <c r="U2332" s="1">
        <v>1728</v>
      </c>
      <c r="V2332">
        <f t="shared" si="144"/>
        <v>0.35972708201587494</v>
      </c>
      <c r="W2332" s="1">
        <f t="shared" si="145"/>
        <v>2.5</v>
      </c>
      <c r="X2332">
        <f t="shared" si="146"/>
        <v>0.50064726400000004</v>
      </c>
      <c r="Y2332">
        <f t="shared" si="147"/>
        <v>44.899999999999991</v>
      </c>
      <c r="Z2332" s="1">
        <v>5</v>
      </c>
      <c r="AA2332">
        <v>95</v>
      </c>
      <c r="AB2332">
        <v>5.2600000000000001E-2</v>
      </c>
      <c r="AC2332">
        <v>7</v>
      </c>
      <c r="AD2332">
        <v>83</v>
      </c>
      <c r="AE2332">
        <v>8.43E-2</v>
      </c>
      <c r="AF2332" t="s">
        <v>2590</v>
      </c>
      <c r="AG2332" t="s">
        <v>2590</v>
      </c>
    </row>
    <row r="2333" spans="1:33">
      <c r="A2333" s="2" t="s">
        <v>37</v>
      </c>
      <c r="B2333" s="2" t="s">
        <v>25</v>
      </c>
      <c r="C2333" s="1">
        <v>0.50856695500000004</v>
      </c>
      <c r="D2333">
        <v>0.654733224</v>
      </c>
      <c r="E2333">
        <v>0.61418267199999999</v>
      </c>
      <c r="F2333" s="1" t="s">
        <v>38</v>
      </c>
      <c r="G2333" s="1">
        <v>0.64065708399999999</v>
      </c>
      <c r="H2333" s="1">
        <v>41.9</v>
      </c>
      <c r="I2333" s="1">
        <v>146.1</v>
      </c>
      <c r="J2333" s="1">
        <v>0.59249428366666679</v>
      </c>
      <c r="K2333" s="1">
        <v>0.53959274199999996</v>
      </c>
      <c r="L2333" s="1">
        <v>0.64971567399999997</v>
      </c>
      <c r="M2333" s="3">
        <v>0.65028459999999999</v>
      </c>
      <c r="N2333" s="1" t="s">
        <v>26</v>
      </c>
      <c r="O2333" s="1">
        <v>1.623046875</v>
      </c>
      <c r="P2333" s="1">
        <v>34.700000000000003</v>
      </c>
      <c r="Q2333" s="1">
        <v>51.2</v>
      </c>
      <c r="R2333" s="1">
        <v>0.61319767199999997</v>
      </c>
      <c r="S2333" s="1">
        <v>4.786569201723765E-2</v>
      </c>
      <c r="T2333" t="s">
        <v>2480</v>
      </c>
      <c r="U2333" s="1">
        <v>5521</v>
      </c>
      <c r="V2333">
        <f t="shared" si="144"/>
        <v>0.41577974968223758</v>
      </c>
      <c r="W2333" s="1">
        <f t="shared" si="145"/>
        <v>7.1999999999999957</v>
      </c>
      <c r="X2333">
        <f t="shared" si="146"/>
        <v>0.98238979100000001</v>
      </c>
      <c r="Y2333">
        <f t="shared" si="147"/>
        <v>94.899999999999991</v>
      </c>
      <c r="Z2333" s="1">
        <v>1</v>
      </c>
      <c r="AA2333">
        <v>99</v>
      </c>
      <c r="AB2333">
        <v>1.01E-2</v>
      </c>
      <c r="AC2333">
        <v>2</v>
      </c>
      <c r="AD2333">
        <v>90</v>
      </c>
      <c r="AE2333">
        <v>2.2200000000000001E-2</v>
      </c>
      <c r="AF2333" t="s">
        <v>2590</v>
      </c>
      <c r="AG2333" t="s">
        <v>2594</v>
      </c>
    </row>
    <row r="2334" spans="1:33">
      <c r="A2334" s="2" t="s">
        <v>37</v>
      </c>
      <c r="B2334" s="2" t="s">
        <v>27</v>
      </c>
      <c r="C2334" s="1">
        <v>0.50856695500000004</v>
      </c>
      <c r="D2334">
        <v>0.654733224</v>
      </c>
      <c r="E2334">
        <v>0.61418267199999999</v>
      </c>
      <c r="F2334" s="1" t="s">
        <v>38</v>
      </c>
      <c r="G2334" s="1">
        <v>0.64065708399999999</v>
      </c>
      <c r="H2334" s="1">
        <v>41.9</v>
      </c>
      <c r="I2334" s="1">
        <v>146.1</v>
      </c>
      <c r="J2334" s="1">
        <v>0.59249428366666679</v>
      </c>
      <c r="K2334" s="1">
        <v>0.518608662</v>
      </c>
      <c r="L2334" s="1">
        <v>0.64320369700000002</v>
      </c>
      <c r="M2334" s="3">
        <v>0.62228994199999998</v>
      </c>
      <c r="N2334" s="1" t="s">
        <v>28</v>
      </c>
      <c r="O2334" s="1">
        <v>1.8717391299999999</v>
      </c>
      <c r="P2334" s="1">
        <v>33.700000000000003</v>
      </c>
      <c r="Q2334" s="1">
        <v>46</v>
      </c>
      <c r="R2334" s="1">
        <v>0.59470076699999996</v>
      </c>
      <c r="S2334" s="1">
        <v>1.7305886257874131E-2</v>
      </c>
      <c r="T2334" t="s">
        <v>2481</v>
      </c>
      <c r="U2334" s="1">
        <v>948</v>
      </c>
      <c r="V2334">
        <f t="shared" si="144"/>
        <v>0.3307564819264518</v>
      </c>
      <c r="W2334" s="1">
        <f t="shared" si="145"/>
        <v>8.1999999999999957</v>
      </c>
      <c r="X2334">
        <f t="shared" si="146"/>
        <v>1.231082046</v>
      </c>
      <c r="Y2334">
        <f t="shared" si="147"/>
        <v>100.1</v>
      </c>
      <c r="Z2334" s="1">
        <v>4</v>
      </c>
      <c r="AA2334">
        <v>96</v>
      </c>
      <c r="AB2334">
        <v>4.1700000000000001E-2</v>
      </c>
      <c r="AC2334">
        <v>6</v>
      </c>
      <c r="AD2334">
        <v>93</v>
      </c>
      <c r="AE2334">
        <v>6.4500000000000002E-2</v>
      </c>
      <c r="AF2334" t="s">
        <v>2590</v>
      </c>
      <c r="AG2334" t="s">
        <v>2590</v>
      </c>
    </row>
    <row r="2335" spans="1:33">
      <c r="A2335" s="2" t="s">
        <v>37</v>
      </c>
      <c r="B2335" s="2" t="s">
        <v>29</v>
      </c>
      <c r="C2335" s="1">
        <v>0.50856695500000004</v>
      </c>
      <c r="D2335">
        <v>0.654733224</v>
      </c>
      <c r="E2335">
        <v>0.61418267199999999</v>
      </c>
      <c r="F2335" s="1" t="s">
        <v>38</v>
      </c>
      <c r="G2335" s="1">
        <v>0.64065708399999999</v>
      </c>
      <c r="H2335" s="1">
        <v>41.9</v>
      </c>
      <c r="I2335" s="1">
        <v>146.1</v>
      </c>
      <c r="J2335" s="1">
        <v>0.59249428366666679</v>
      </c>
      <c r="K2335" s="1">
        <v>0.59351545100000003</v>
      </c>
      <c r="L2335" s="1">
        <v>0.68136602400000001</v>
      </c>
      <c r="M2335" s="3">
        <v>0.73518087600000004</v>
      </c>
      <c r="N2335" s="1" t="s">
        <v>30</v>
      </c>
      <c r="O2335" s="1">
        <v>2.849112426</v>
      </c>
      <c r="P2335" s="1">
        <v>37.9</v>
      </c>
      <c r="Q2335" s="1">
        <v>33.799999999999997</v>
      </c>
      <c r="R2335" s="1">
        <v>0.67002078366666673</v>
      </c>
      <c r="S2335" s="1">
        <v>0.15022023292395614</v>
      </c>
      <c r="T2335" t="s">
        <v>2482</v>
      </c>
      <c r="U2335" s="1">
        <v>569</v>
      </c>
      <c r="V2335">
        <f t="shared" si="144"/>
        <v>0.30612358515500793</v>
      </c>
      <c r="W2335" s="1">
        <f t="shared" si="145"/>
        <v>4</v>
      </c>
      <c r="X2335">
        <f t="shared" si="146"/>
        <v>2.2084553420000002</v>
      </c>
      <c r="Y2335">
        <f t="shared" si="147"/>
        <v>112.3</v>
      </c>
      <c r="Z2335" s="1">
        <v>0</v>
      </c>
      <c r="AA2335">
        <v>100</v>
      </c>
      <c r="AB2335">
        <v>0</v>
      </c>
      <c r="AC2335">
        <v>0</v>
      </c>
      <c r="AD2335">
        <v>88</v>
      </c>
      <c r="AE2335">
        <v>0</v>
      </c>
      <c r="AF2335" t="s">
        <v>2590</v>
      </c>
      <c r="AG2335" t="s">
        <v>2593</v>
      </c>
    </row>
    <row r="2336" spans="1:33">
      <c r="A2336" s="2" t="s">
        <v>37</v>
      </c>
      <c r="B2336" s="2" t="s">
        <v>31</v>
      </c>
      <c r="C2336" s="1">
        <v>0.50856695500000004</v>
      </c>
      <c r="D2336">
        <v>0.654733224</v>
      </c>
      <c r="E2336">
        <v>0.61418267199999999</v>
      </c>
      <c r="F2336" s="1" t="s">
        <v>38</v>
      </c>
      <c r="G2336" s="1">
        <v>0.64065708399999999</v>
      </c>
      <c r="H2336" s="1">
        <v>41.9</v>
      </c>
      <c r="I2336" s="1">
        <v>146.1</v>
      </c>
      <c r="J2336" s="1">
        <v>0.59249428366666679</v>
      </c>
      <c r="K2336" s="1">
        <v>0.47727961800000002</v>
      </c>
      <c r="L2336" s="1">
        <v>0.66941086400000005</v>
      </c>
      <c r="M2336" s="3">
        <v>0.69294815300000001</v>
      </c>
      <c r="N2336" s="1" t="s">
        <v>32</v>
      </c>
      <c r="O2336" s="1">
        <v>1.341891892</v>
      </c>
      <c r="P2336" s="1">
        <v>42.1</v>
      </c>
      <c r="Q2336" s="1">
        <v>74</v>
      </c>
      <c r="R2336" s="1">
        <v>0.61321287833333338</v>
      </c>
      <c r="S2336" s="1">
        <v>8.6013554569512693E-2</v>
      </c>
      <c r="T2336" t="s">
        <v>2483</v>
      </c>
      <c r="U2336" s="1">
        <v>647</v>
      </c>
      <c r="V2336">
        <f t="shared" si="144"/>
        <v>0.31232269785207784</v>
      </c>
      <c r="W2336" s="1">
        <f t="shared" si="145"/>
        <v>0.20000000000000284</v>
      </c>
      <c r="X2336">
        <f t="shared" si="146"/>
        <v>0.70123480800000004</v>
      </c>
      <c r="Y2336">
        <f t="shared" si="147"/>
        <v>72.099999999999994</v>
      </c>
      <c r="Z2336" s="1">
        <v>6</v>
      </c>
      <c r="AA2336">
        <v>94</v>
      </c>
      <c r="AB2336">
        <v>6.3799999999999996E-2</v>
      </c>
      <c r="AC2336">
        <v>7</v>
      </c>
      <c r="AD2336">
        <v>89</v>
      </c>
      <c r="AE2336">
        <v>7.8700000000000006E-2</v>
      </c>
      <c r="AF2336" t="s">
        <v>2590</v>
      </c>
      <c r="AG2336" t="s">
        <v>2589</v>
      </c>
    </row>
    <row r="2337" spans="1:33">
      <c r="A2337" s="2" t="s">
        <v>37</v>
      </c>
      <c r="B2337" s="2" t="s">
        <v>33</v>
      </c>
      <c r="C2337" s="1">
        <v>0.50856695500000004</v>
      </c>
      <c r="D2337">
        <v>0.654733224</v>
      </c>
      <c r="E2337">
        <v>0.61418267199999999</v>
      </c>
      <c r="F2337" s="1" t="s">
        <v>38</v>
      </c>
      <c r="G2337" s="1">
        <v>0.64065708399999999</v>
      </c>
      <c r="H2337" s="1">
        <v>41.9</v>
      </c>
      <c r="I2337" s="1">
        <v>146.1</v>
      </c>
      <c r="J2337" s="1">
        <v>0.59249428366666679</v>
      </c>
      <c r="K2337" s="1">
        <v>0.51347926600000005</v>
      </c>
      <c r="L2337" s="1">
        <v>0.63144379399999995</v>
      </c>
      <c r="M2337" s="3">
        <v>0.64189093500000005</v>
      </c>
      <c r="N2337" s="1" t="s">
        <v>34</v>
      </c>
      <c r="O2337" s="1">
        <v>2.3123667380000001</v>
      </c>
      <c r="P2337" s="1">
        <v>79.099999999999994</v>
      </c>
      <c r="Q2337" s="1">
        <v>93.8</v>
      </c>
      <c r="R2337" s="1">
        <v>0.59560466500000009</v>
      </c>
      <c r="S2337" s="1">
        <v>3.6527745448669512E-2</v>
      </c>
      <c r="T2337" t="s">
        <v>2484</v>
      </c>
      <c r="U2337" s="1">
        <v>40525</v>
      </c>
      <c r="V2337">
        <f t="shared" si="144"/>
        <v>0.51196922483561691</v>
      </c>
      <c r="W2337" s="1">
        <f t="shared" si="145"/>
        <v>37.199999999999996</v>
      </c>
      <c r="X2337">
        <f t="shared" si="146"/>
        <v>1.6717096540000003</v>
      </c>
      <c r="Y2337">
        <f t="shared" si="147"/>
        <v>52.3</v>
      </c>
      <c r="Z2337" s="1">
        <v>15</v>
      </c>
      <c r="AA2337">
        <v>85</v>
      </c>
      <c r="AB2337">
        <v>0.17649999999999999</v>
      </c>
      <c r="AC2337">
        <v>16</v>
      </c>
      <c r="AD2337">
        <v>74</v>
      </c>
      <c r="AE2337">
        <v>0.2162</v>
      </c>
      <c r="AF2337" t="s">
        <v>2590</v>
      </c>
      <c r="AG2337" t="s">
        <v>2590</v>
      </c>
    </row>
    <row r="2338" spans="1:33">
      <c r="A2338" s="2" t="s">
        <v>37</v>
      </c>
      <c r="B2338" s="2" t="s">
        <v>35</v>
      </c>
      <c r="C2338" s="1">
        <v>0.50856695500000004</v>
      </c>
      <c r="D2338">
        <v>0.654733224</v>
      </c>
      <c r="E2338">
        <v>0.61418267199999999</v>
      </c>
      <c r="F2338" s="1" t="s">
        <v>38</v>
      </c>
      <c r="G2338" s="1">
        <v>0.64065708399999999</v>
      </c>
      <c r="H2338" s="1">
        <v>41.9</v>
      </c>
      <c r="I2338" s="1">
        <v>146.1</v>
      </c>
      <c r="J2338" s="1">
        <v>0.59249428366666679</v>
      </c>
      <c r="K2338" s="1">
        <v>0.52542897600000005</v>
      </c>
      <c r="L2338" s="1">
        <v>0.60774736299999998</v>
      </c>
      <c r="M2338" s="3">
        <v>0.62585751700000003</v>
      </c>
      <c r="N2338" s="1" t="s">
        <v>36</v>
      </c>
      <c r="O2338" s="1">
        <v>0.98848810399999998</v>
      </c>
      <c r="P2338" s="1">
        <v>54.2</v>
      </c>
      <c r="Q2338" s="1">
        <v>130.30000000000001</v>
      </c>
      <c r="R2338" s="1">
        <v>0.58634461866666665</v>
      </c>
      <c r="S2338" s="1">
        <v>5.1266957115570937E-2</v>
      </c>
      <c r="T2338" t="s">
        <v>2485</v>
      </c>
      <c r="U2338" s="1">
        <v>4203</v>
      </c>
      <c r="V2338">
        <f t="shared" si="144"/>
        <v>0.40261771000060409</v>
      </c>
      <c r="W2338" s="1">
        <f t="shared" si="145"/>
        <v>12.300000000000004</v>
      </c>
      <c r="X2338">
        <f t="shared" si="146"/>
        <v>0.34783101999999999</v>
      </c>
      <c r="Y2338">
        <f t="shared" si="147"/>
        <v>15.799999999999983</v>
      </c>
      <c r="Z2338" s="1">
        <v>6</v>
      </c>
      <c r="AA2338">
        <v>94</v>
      </c>
      <c r="AB2338">
        <v>6.3799999999999996E-2</v>
      </c>
      <c r="AC2338">
        <v>8</v>
      </c>
      <c r="AD2338">
        <v>81</v>
      </c>
      <c r="AE2338">
        <v>9.8799999999999999E-2</v>
      </c>
      <c r="AF2338" t="s">
        <v>2590</v>
      </c>
      <c r="AG2338" t="s">
        <v>2589</v>
      </c>
    </row>
    <row r="2339" spans="1:33">
      <c r="A2339" s="2" t="s">
        <v>35</v>
      </c>
      <c r="B2339" s="2" t="s">
        <v>10</v>
      </c>
      <c r="C2339" s="1">
        <v>0.52542897600000005</v>
      </c>
      <c r="D2339">
        <v>0.60774736299999998</v>
      </c>
      <c r="E2339">
        <v>0.62585751700000003</v>
      </c>
      <c r="F2339" s="1" t="s">
        <v>36</v>
      </c>
      <c r="G2339" s="1">
        <v>0.98848810399999998</v>
      </c>
      <c r="H2339" s="1">
        <v>54.2</v>
      </c>
      <c r="I2339" s="1">
        <v>130.30000000000001</v>
      </c>
      <c r="J2339" s="1">
        <v>0.58634461866666665</v>
      </c>
      <c r="K2339" s="1">
        <v>0.52456325500000001</v>
      </c>
      <c r="L2339" s="1">
        <v>0.61925627999999999</v>
      </c>
      <c r="M2339" s="3">
        <v>0.72111139899999999</v>
      </c>
      <c r="N2339" s="1" t="s">
        <v>12</v>
      </c>
      <c r="O2339" s="1">
        <v>0.61690647499999995</v>
      </c>
      <c r="P2339" s="1">
        <v>30</v>
      </c>
      <c r="Q2339" s="1">
        <v>111.2</v>
      </c>
      <c r="R2339" s="1">
        <v>0.62164364466666666</v>
      </c>
      <c r="S2339" s="1">
        <v>9.5950542882427964E-2</v>
      </c>
      <c r="T2339" t="s">
        <v>2486</v>
      </c>
      <c r="U2339" s="1">
        <v>1303</v>
      </c>
      <c r="V2339">
        <f t="shared" si="144"/>
        <v>0.34610493507917606</v>
      </c>
      <c r="W2339" s="1">
        <f t="shared" si="145"/>
        <v>24.200000000000003</v>
      </c>
      <c r="X2339">
        <f t="shared" si="146"/>
        <v>0.37158162900000002</v>
      </c>
      <c r="Y2339">
        <f t="shared" si="147"/>
        <v>19.100000000000009</v>
      </c>
      <c r="Z2339" s="1">
        <v>4</v>
      </c>
      <c r="AA2339">
        <v>96</v>
      </c>
      <c r="AB2339">
        <v>4.1700000000000001E-2</v>
      </c>
      <c r="AC2339">
        <v>5</v>
      </c>
      <c r="AD2339">
        <v>147</v>
      </c>
      <c r="AE2339">
        <v>3.4000000000000002E-2</v>
      </c>
      <c r="AF2339" t="s">
        <v>2589</v>
      </c>
      <c r="AG2339" t="s">
        <v>2588</v>
      </c>
    </row>
    <row r="2340" spans="1:33">
      <c r="A2340" s="2" t="s">
        <v>35</v>
      </c>
      <c r="B2340" s="2" t="s">
        <v>13</v>
      </c>
      <c r="C2340" s="1">
        <v>0.52542897600000005</v>
      </c>
      <c r="D2340">
        <v>0.60774736299999998</v>
      </c>
      <c r="E2340">
        <v>0.62585751700000003</v>
      </c>
      <c r="F2340" s="1" t="s">
        <v>36</v>
      </c>
      <c r="G2340" s="1">
        <v>0.98848810399999998</v>
      </c>
      <c r="H2340" s="1">
        <v>54.2</v>
      </c>
      <c r="I2340" s="1">
        <v>130.30000000000001</v>
      </c>
      <c r="J2340" s="1">
        <v>0.58634461866666665</v>
      </c>
      <c r="K2340" s="1">
        <v>0.48695497399999998</v>
      </c>
      <c r="L2340" s="1">
        <v>0.54991327199999995</v>
      </c>
      <c r="M2340" s="3">
        <v>0.67282609299999996</v>
      </c>
      <c r="N2340" s="1" t="s">
        <v>14</v>
      </c>
      <c r="O2340" s="1">
        <v>1.6052009460000001</v>
      </c>
      <c r="P2340" s="1">
        <v>26.6</v>
      </c>
      <c r="Q2340" s="1">
        <v>42.3</v>
      </c>
      <c r="R2340" s="1">
        <v>0.56989811299999993</v>
      </c>
      <c r="S2340" s="1">
        <v>8.3851523797484229E-2</v>
      </c>
      <c r="T2340" t="s">
        <v>2487</v>
      </c>
      <c r="U2340" s="1">
        <v>1075</v>
      </c>
      <c r="V2340">
        <f t="shared" si="144"/>
        <v>0.33682316269462492</v>
      </c>
      <c r="W2340" s="1">
        <f t="shared" si="145"/>
        <v>27.6</v>
      </c>
      <c r="X2340">
        <f t="shared" si="146"/>
        <v>0.61671284200000009</v>
      </c>
      <c r="Y2340">
        <f t="shared" si="147"/>
        <v>88.000000000000014</v>
      </c>
      <c r="Z2340" s="1">
        <v>1</v>
      </c>
      <c r="AA2340">
        <v>99</v>
      </c>
      <c r="AB2340">
        <v>1.01E-2</v>
      </c>
      <c r="AC2340">
        <v>2</v>
      </c>
      <c r="AD2340">
        <v>97</v>
      </c>
      <c r="AE2340">
        <v>2.06E-2</v>
      </c>
      <c r="AF2340" t="s">
        <v>2589</v>
      </c>
      <c r="AG2340" t="s">
        <v>2590</v>
      </c>
    </row>
    <row r="2341" spans="1:33">
      <c r="A2341" s="2" t="s">
        <v>35</v>
      </c>
      <c r="B2341" s="2" t="s">
        <v>15</v>
      </c>
      <c r="C2341" s="1">
        <v>0.52542897600000005</v>
      </c>
      <c r="D2341">
        <v>0.60774736299999998</v>
      </c>
      <c r="E2341">
        <v>0.62585751700000003</v>
      </c>
      <c r="F2341" s="1" t="s">
        <v>36</v>
      </c>
      <c r="G2341" s="1">
        <v>0.98848810399999998</v>
      </c>
      <c r="H2341" s="1">
        <v>54.2</v>
      </c>
      <c r="I2341" s="1">
        <v>130.30000000000001</v>
      </c>
      <c r="J2341" s="1">
        <v>0.58634461866666665</v>
      </c>
      <c r="K2341" s="1">
        <v>0.54560998800000005</v>
      </c>
      <c r="L2341" s="1">
        <v>0.66721428400000005</v>
      </c>
      <c r="M2341" s="3">
        <v>0.72650398400000005</v>
      </c>
      <c r="N2341" s="1" t="s">
        <v>16</v>
      </c>
      <c r="O2341" s="1">
        <v>5.1392405060000002</v>
      </c>
      <c r="P2341" s="1">
        <v>35.9</v>
      </c>
      <c r="Q2341" s="1">
        <v>15.8</v>
      </c>
      <c r="R2341" s="1">
        <v>0.64644275200000012</v>
      </c>
      <c r="S2341" s="1">
        <v>0.11863093718818243</v>
      </c>
      <c r="T2341" t="s">
        <v>2488</v>
      </c>
      <c r="U2341" s="1">
        <v>627</v>
      </c>
      <c r="V2341">
        <f t="shared" si="144"/>
        <v>0.31080750453674627</v>
      </c>
      <c r="W2341" s="1">
        <f t="shared" si="145"/>
        <v>18.300000000000004</v>
      </c>
      <c r="X2341">
        <f t="shared" si="146"/>
        <v>4.1507524020000002</v>
      </c>
      <c r="Y2341">
        <f t="shared" si="147"/>
        <v>114.50000000000001</v>
      </c>
      <c r="Z2341" s="1">
        <v>0</v>
      </c>
      <c r="AA2341">
        <v>100</v>
      </c>
      <c r="AB2341">
        <v>0</v>
      </c>
      <c r="AC2341">
        <v>0</v>
      </c>
      <c r="AD2341">
        <v>95</v>
      </c>
      <c r="AE2341">
        <v>0</v>
      </c>
      <c r="AF2341" t="s">
        <v>2589</v>
      </c>
      <c r="AG2341" t="s">
        <v>2591</v>
      </c>
    </row>
    <row r="2342" spans="1:33">
      <c r="A2342" s="2" t="s">
        <v>35</v>
      </c>
      <c r="B2342" s="2" t="s">
        <v>17</v>
      </c>
      <c r="C2342" s="1">
        <v>0.52542897600000005</v>
      </c>
      <c r="D2342">
        <v>0.60774736299999998</v>
      </c>
      <c r="E2342">
        <v>0.62585751700000003</v>
      </c>
      <c r="F2342" s="1" t="s">
        <v>36</v>
      </c>
      <c r="G2342" s="1">
        <v>0.98848810399999998</v>
      </c>
      <c r="H2342" s="1">
        <v>54.2</v>
      </c>
      <c r="I2342" s="1">
        <v>130.30000000000001</v>
      </c>
      <c r="J2342" s="1">
        <v>0.58634461866666665</v>
      </c>
      <c r="K2342" s="1">
        <v>0.659112378</v>
      </c>
      <c r="L2342" s="1">
        <v>0.68333493499999998</v>
      </c>
      <c r="M2342" s="3">
        <v>0.70345495199999997</v>
      </c>
      <c r="N2342" s="1" t="s">
        <v>18</v>
      </c>
      <c r="O2342" s="1">
        <v>1.9463955639999999</v>
      </c>
      <c r="P2342" s="1">
        <v>46.3</v>
      </c>
      <c r="Q2342" s="1">
        <v>54.1</v>
      </c>
      <c r="R2342" s="1">
        <v>0.68196742166666668</v>
      </c>
      <c r="S2342" s="1">
        <v>0.17206421745885456</v>
      </c>
      <c r="T2342" t="s">
        <v>2489</v>
      </c>
      <c r="U2342" s="1">
        <v>2871</v>
      </c>
      <c r="V2342">
        <f t="shared" si="144"/>
        <v>0.38422591027738956</v>
      </c>
      <c r="W2342" s="1">
        <f t="shared" si="145"/>
        <v>7.9000000000000057</v>
      </c>
      <c r="X2342">
        <f t="shared" si="146"/>
        <v>0.95790745999999993</v>
      </c>
      <c r="Y2342">
        <f t="shared" si="147"/>
        <v>76.200000000000017</v>
      </c>
      <c r="Z2342" s="1">
        <v>0</v>
      </c>
      <c r="AA2342">
        <v>100</v>
      </c>
      <c r="AB2342">
        <v>0</v>
      </c>
      <c r="AC2342">
        <v>0</v>
      </c>
      <c r="AD2342">
        <v>109</v>
      </c>
      <c r="AE2342">
        <v>0</v>
      </c>
      <c r="AF2342" t="s">
        <v>2589</v>
      </c>
      <c r="AG2342" t="s">
        <v>2591</v>
      </c>
    </row>
    <row r="2343" spans="1:33">
      <c r="A2343" s="2" t="s">
        <v>35</v>
      </c>
      <c r="B2343" s="2" t="s">
        <v>19</v>
      </c>
      <c r="C2343" s="1">
        <v>0.52542897600000005</v>
      </c>
      <c r="D2343">
        <v>0.60774736299999998</v>
      </c>
      <c r="E2343">
        <v>0.62585751700000003</v>
      </c>
      <c r="F2343" s="1" t="s">
        <v>36</v>
      </c>
      <c r="G2343" s="1">
        <v>0.98848810399999998</v>
      </c>
      <c r="H2343" s="1">
        <v>54.2</v>
      </c>
      <c r="I2343" s="1">
        <v>130.30000000000001</v>
      </c>
      <c r="J2343" s="1">
        <v>0.58634461866666665</v>
      </c>
      <c r="K2343" s="1">
        <v>0.49391595300000002</v>
      </c>
      <c r="L2343" s="1">
        <v>0.603599314</v>
      </c>
      <c r="M2343" s="3">
        <v>0.63481471599999995</v>
      </c>
      <c r="N2343" s="1" t="s">
        <v>20</v>
      </c>
      <c r="O2343" s="1">
        <v>1.2140902870000001</v>
      </c>
      <c r="P2343" s="1">
        <v>64.900000000000006</v>
      </c>
      <c r="Q2343" s="1">
        <v>146.19999999999999</v>
      </c>
      <c r="R2343" s="1">
        <v>0.57744332766666662</v>
      </c>
      <c r="S2343" s="1">
        <v>3.302284577425954E-2</v>
      </c>
      <c r="T2343" t="s">
        <v>2490</v>
      </c>
      <c r="U2343" s="1">
        <v>4713</v>
      </c>
      <c r="V2343">
        <f t="shared" si="144"/>
        <v>0.40814415997329284</v>
      </c>
      <c r="W2343" s="1">
        <f t="shared" si="145"/>
        <v>10.700000000000003</v>
      </c>
      <c r="X2343">
        <f t="shared" si="146"/>
        <v>0.22560218300000012</v>
      </c>
      <c r="Y2343">
        <f t="shared" si="147"/>
        <v>15.899999999999977</v>
      </c>
      <c r="Z2343" s="1">
        <v>11</v>
      </c>
      <c r="AA2343">
        <v>89</v>
      </c>
      <c r="AB2343">
        <v>0.1236</v>
      </c>
      <c r="AC2343">
        <v>13</v>
      </c>
      <c r="AD2343">
        <v>76</v>
      </c>
      <c r="AE2343">
        <v>0.1711</v>
      </c>
      <c r="AF2343" t="s">
        <v>2589</v>
      </c>
      <c r="AG2343" t="s">
        <v>2593</v>
      </c>
    </row>
    <row r="2344" spans="1:33">
      <c r="A2344" s="2" t="s">
        <v>35</v>
      </c>
      <c r="B2344" s="2" t="s">
        <v>21</v>
      </c>
      <c r="C2344" s="1">
        <v>0.52542897600000005</v>
      </c>
      <c r="D2344">
        <v>0.60774736299999998</v>
      </c>
      <c r="E2344">
        <v>0.62585751700000003</v>
      </c>
      <c r="F2344" s="1" t="s">
        <v>36</v>
      </c>
      <c r="G2344" s="1">
        <v>0.98848810399999998</v>
      </c>
      <c r="H2344" s="1">
        <v>54.2</v>
      </c>
      <c r="I2344" s="1">
        <v>130.30000000000001</v>
      </c>
      <c r="J2344" s="1">
        <v>0.58634461866666665</v>
      </c>
      <c r="K2344" s="1">
        <v>0.53276376800000003</v>
      </c>
      <c r="L2344" s="1">
        <v>0.65428149899999999</v>
      </c>
      <c r="M2344" s="3">
        <v>0.70160154799999996</v>
      </c>
      <c r="N2344" s="1" t="s">
        <v>22</v>
      </c>
      <c r="O2344" s="1">
        <v>1.2440604749999999</v>
      </c>
      <c r="P2344" s="1">
        <v>24.6</v>
      </c>
      <c r="Q2344" s="1">
        <v>46.3</v>
      </c>
      <c r="R2344" s="1">
        <v>0.62954893833333336</v>
      </c>
      <c r="S2344" s="1">
        <v>8.9198560633446944E-2</v>
      </c>
      <c r="T2344" t="s">
        <v>2491</v>
      </c>
      <c r="U2344" s="1">
        <v>11114</v>
      </c>
      <c r="V2344">
        <f t="shared" si="144"/>
        <v>0.44954115471659556</v>
      </c>
      <c r="W2344" s="1">
        <f t="shared" si="145"/>
        <v>29.6</v>
      </c>
      <c r="X2344">
        <f t="shared" si="146"/>
        <v>0.25557237099999996</v>
      </c>
      <c r="Y2344">
        <f t="shared" si="147"/>
        <v>84.000000000000014</v>
      </c>
      <c r="Z2344" s="1">
        <v>4</v>
      </c>
      <c r="AA2344">
        <v>96</v>
      </c>
      <c r="AB2344">
        <v>4.1700000000000001E-2</v>
      </c>
      <c r="AC2344">
        <v>4</v>
      </c>
      <c r="AD2344">
        <v>91</v>
      </c>
      <c r="AE2344">
        <v>4.3999999999999997E-2</v>
      </c>
      <c r="AF2344" t="s">
        <v>2589</v>
      </c>
      <c r="AG2344" t="s">
        <v>2589</v>
      </c>
    </row>
    <row r="2345" spans="1:33">
      <c r="A2345" s="2" t="s">
        <v>35</v>
      </c>
      <c r="B2345" s="2" t="s">
        <v>23</v>
      </c>
      <c r="C2345" s="1">
        <v>0.52542897600000005</v>
      </c>
      <c r="D2345">
        <v>0.60774736299999998</v>
      </c>
      <c r="E2345">
        <v>0.62585751700000003</v>
      </c>
      <c r="F2345" s="1" t="s">
        <v>36</v>
      </c>
      <c r="G2345" s="1">
        <v>0.98848810399999998</v>
      </c>
      <c r="H2345" s="1">
        <v>54.2</v>
      </c>
      <c r="I2345" s="1">
        <v>130.30000000000001</v>
      </c>
      <c r="J2345" s="1">
        <v>0.58634461866666665</v>
      </c>
      <c r="K2345" s="1">
        <v>0.49415677200000002</v>
      </c>
      <c r="L2345" s="1">
        <v>0.62090818999999997</v>
      </c>
      <c r="M2345" s="3">
        <v>0.63381026900000004</v>
      </c>
      <c r="N2345" s="1" t="s">
        <v>24</v>
      </c>
      <c r="O2345" s="1">
        <v>1.141304348</v>
      </c>
      <c r="P2345" s="1">
        <v>44.4</v>
      </c>
      <c r="Q2345" s="1">
        <v>101.2</v>
      </c>
      <c r="R2345" s="1">
        <v>0.58295841033333329</v>
      </c>
      <c r="S2345" s="1">
        <v>3.4848305191430048E-2</v>
      </c>
      <c r="T2345" t="s">
        <v>2492</v>
      </c>
      <c r="U2345" s="1">
        <v>1060</v>
      </c>
      <c r="V2345">
        <f t="shared" si="144"/>
        <v>0.33614509614053006</v>
      </c>
      <c r="W2345" s="1">
        <f t="shared" si="145"/>
        <v>9.8000000000000043</v>
      </c>
      <c r="X2345">
        <f t="shared" si="146"/>
        <v>0.15281624400000005</v>
      </c>
      <c r="Y2345">
        <f t="shared" si="147"/>
        <v>29.100000000000009</v>
      </c>
      <c r="Z2345" s="1">
        <v>3</v>
      </c>
      <c r="AA2345">
        <v>97</v>
      </c>
      <c r="AB2345">
        <v>3.09E-2</v>
      </c>
      <c r="AC2345">
        <v>5</v>
      </c>
      <c r="AD2345">
        <v>86</v>
      </c>
      <c r="AE2345">
        <v>5.8099999999999999E-2</v>
      </c>
      <c r="AF2345" t="s">
        <v>2589</v>
      </c>
      <c r="AG2345" t="s">
        <v>2590</v>
      </c>
    </row>
    <row r="2346" spans="1:33">
      <c r="A2346" s="2" t="s">
        <v>35</v>
      </c>
      <c r="B2346" s="2" t="s">
        <v>25</v>
      </c>
      <c r="C2346" s="1">
        <v>0.52542897600000005</v>
      </c>
      <c r="D2346">
        <v>0.60774736299999998</v>
      </c>
      <c r="E2346">
        <v>0.62585751700000003</v>
      </c>
      <c r="F2346" s="1" t="s">
        <v>36</v>
      </c>
      <c r="G2346" s="1">
        <v>0.98848810399999998</v>
      </c>
      <c r="H2346" s="1">
        <v>54.2</v>
      </c>
      <c r="I2346" s="1">
        <v>130.30000000000001</v>
      </c>
      <c r="J2346" s="1">
        <v>0.58634461866666665</v>
      </c>
      <c r="K2346" s="1">
        <v>0.53959274199999996</v>
      </c>
      <c r="L2346" s="1">
        <v>0.64971567399999997</v>
      </c>
      <c r="M2346" s="3">
        <v>0.65028459999999999</v>
      </c>
      <c r="N2346" s="1" t="s">
        <v>26</v>
      </c>
      <c r="O2346" s="1">
        <v>1.623046875</v>
      </c>
      <c r="P2346" s="1">
        <v>34.700000000000003</v>
      </c>
      <c r="Q2346" s="1">
        <v>51.2</v>
      </c>
      <c r="R2346" s="1">
        <v>0.61319767199999997</v>
      </c>
      <c r="S2346" s="1">
        <v>5.0582939607978099E-2</v>
      </c>
      <c r="T2346" t="s">
        <v>2493</v>
      </c>
      <c r="U2346" s="1">
        <v>5863</v>
      </c>
      <c r="V2346">
        <f t="shared" si="144"/>
        <v>0.41867998824275526</v>
      </c>
      <c r="W2346" s="1">
        <f t="shared" si="145"/>
        <v>19.5</v>
      </c>
      <c r="X2346">
        <f t="shared" si="146"/>
        <v>0.63455877100000002</v>
      </c>
      <c r="Y2346">
        <f t="shared" si="147"/>
        <v>79.100000000000009</v>
      </c>
      <c r="Z2346" s="1">
        <v>0</v>
      </c>
      <c r="AA2346">
        <v>100</v>
      </c>
      <c r="AB2346">
        <v>0</v>
      </c>
      <c r="AC2346">
        <v>0</v>
      </c>
      <c r="AD2346">
        <v>93</v>
      </c>
      <c r="AE2346">
        <v>0</v>
      </c>
      <c r="AF2346" t="s">
        <v>2589</v>
      </c>
      <c r="AG2346" t="s">
        <v>2594</v>
      </c>
    </row>
    <row r="2347" spans="1:33">
      <c r="A2347" s="2" t="s">
        <v>35</v>
      </c>
      <c r="B2347" s="2" t="s">
        <v>27</v>
      </c>
      <c r="C2347" s="1">
        <v>0.52542897600000005</v>
      </c>
      <c r="D2347">
        <v>0.60774736299999998</v>
      </c>
      <c r="E2347">
        <v>0.62585751700000003</v>
      </c>
      <c r="F2347" s="1" t="s">
        <v>36</v>
      </c>
      <c r="G2347" s="1">
        <v>0.98848810399999998</v>
      </c>
      <c r="H2347" s="1">
        <v>54.2</v>
      </c>
      <c r="I2347" s="1">
        <v>130.30000000000001</v>
      </c>
      <c r="J2347" s="1">
        <v>0.58634461866666665</v>
      </c>
      <c r="K2347" s="1">
        <v>0.518608662</v>
      </c>
      <c r="L2347" s="1">
        <v>0.64320369700000002</v>
      </c>
      <c r="M2347" s="3">
        <v>0.62228994199999998</v>
      </c>
      <c r="N2347" s="1" t="s">
        <v>28</v>
      </c>
      <c r="O2347" s="1">
        <v>1.8717391299999999</v>
      </c>
      <c r="P2347" s="1">
        <v>33.700000000000003</v>
      </c>
      <c r="Q2347" s="1">
        <v>46</v>
      </c>
      <c r="R2347" s="1">
        <v>0.59470076699999996</v>
      </c>
      <c r="S2347" s="1">
        <v>3.6282170485774146E-2</v>
      </c>
      <c r="T2347" t="s">
        <v>2494</v>
      </c>
      <c r="U2347" s="1">
        <v>5237</v>
      </c>
      <c r="V2347">
        <f t="shared" si="144"/>
        <v>0.4132313971001651</v>
      </c>
      <c r="W2347" s="1">
        <f t="shared" si="145"/>
        <v>20.5</v>
      </c>
      <c r="X2347">
        <f t="shared" si="146"/>
        <v>0.88325102599999994</v>
      </c>
      <c r="Y2347">
        <f t="shared" si="147"/>
        <v>84.300000000000011</v>
      </c>
      <c r="Z2347" s="1">
        <v>2</v>
      </c>
      <c r="AA2347">
        <v>98</v>
      </c>
      <c r="AB2347">
        <v>2.0400000000000001E-2</v>
      </c>
      <c r="AC2347">
        <v>3</v>
      </c>
      <c r="AD2347">
        <v>97</v>
      </c>
      <c r="AE2347">
        <v>3.09E-2</v>
      </c>
      <c r="AF2347" t="s">
        <v>2589</v>
      </c>
      <c r="AG2347" t="s">
        <v>2590</v>
      </c>
    </row>
    <row r="2348" spans="1:33">
      <c r="A2348" s="2" t="s">
        <v>35</v>
      </c>
      <c r="B2348" s="2" t="s">
        <v>29</v>
      </c>
      <c r="C2348" s="1">
        <v>0.52542897600000005</v>
      </c>
      <c r="D2348">
        <v>0.60774736299999998</v>
      </c>
      <c r="E2348">
        <v>0.62585751700000003</v>
      </c>
      <c r="F2348" s="1" t="s">
        <v>36</v>
      </c>
      <c r="G2348" s="1">
        <v>0.98848810399999998</v>
      </c>
      <c r="H2348" s="1">
        <v>54.2</v>
      </c>
      <c r="I2348" s="1">
        <v>130.30000000000001</v>
      </c>
      <c r="J2348" s="1">
        <v>0.58634461866666665</v>
      </c>
      <c r="K2348" s="1">
        <v>0.59351545100000003</v>
      </c>
      <c r="L2348" s="1">
        <v>0.68136602400000001</v>
      </c>
      <c r="M2348" s="3">
        <v>0.73518087600000004</v>
      </c>
      <c r="N2348" s="1" t="s">
        <v>30</v>
      </c>
      <c r="O2348" s="1">
        <v>2.849112426</v>
      </c>
      <c r="P2348" s="1">
        <v>37.9</v>
      </c>
      <c r="Q2348" s="1">
        <v>33.799999999999997</v>
      </c>
      <c r="R2348" s="1">
        <v>0.67002078366666673</v>
      </c>
      <c r="S2348" s="1">
        <v>0.14834780803369299</v>
      </c>
      <c r="T2348" t="s">
        <v>2495</v>
      </c>
      <c r="U2348" s="1">
        <v>2069</v>
      </c>
      <c r="V2348">
        <f t="shared" si="144"/>
        <v>0.36841783229619274</v>
      </c>
      <c r="W2348" s="1">
        <f t="shared" si="145"/>
        <v>16.300000000000004</v>
      </c>
      <c r="X2348">
        <f t="shared" si="146"/>
        <v>1.8606243220000001</v>
      </c>
      <c r="Y2348">
        <f t="shared" si="147"/>
        <v>96.500000000000014</v>
      </c>
      <c r="Z2348" s="1">
        <v>0</v>
      </c>
      <c r="AA2348">
        <v>100</v>
      </c>
      <c r="AB2348">
        <v>0</v>
      </c>
      <c r="AC2348">
        <v>0</v>
      </c>
      <c r="AD2348">
        <v>89</v>
      </c>
      <c r="AE2348">
        <v>0</v>
      </c>
      <c r="AF2348" t="s">
        <v>2589</v>
      </c>
      <c r="AG2348" t="s">
        <v>2593</v>
      </c>
    </row>
    <row r="2349" spans="1:33">
      <c r="A2349" s="2" t="s">
        <v>35</v>
      </c>
      <c r="B2349" s="2" t="s">
        <v>31</v>
      </c>
      <c r="C2349" s="1">
        <v>0.52542897600000005</v>
      </c>
      <c r="D2349">
        <v>0.60774736299999998</v>
      </c>
      <c r="E2349">
        <v>0.62585751700000003</v>
      </c>
      <c r="F2349" s="1" t="s">
        <v>36</v>
      </c>
      <c r="G2349" s="1">
        <v>0.98848810399999998</v>
      </c>
      <c r="H2349" s="1">
        <v>54.2</v>
      </c>
      <c r="I2349" s="1">
        <v>130.30000000000001</v>
      </c>
      <c r="J2349" s="1">
        <v>0.58634461866666665</v>
      </c>
      <c r="K2349" s="1">
        <v>0.47727961800000002</v>
      </c>
      <c r="L2349" s="1">
        <v>0.66941086400000005</v>
      </c>
      <c r="M2349" s="3">
        <v>0.69294815300000001</v>
      </c>
      <c r="N2349" s="1" t="s">
        <v>32</v>
      </c>
      <c r="O2349" s="1">
        <v>1.341891892</v>
      </c>
      <c r="P2349" s="1">
        <v>42.1</v>
      </c>
      <c r="Q2349" s="1">
        <v>74</v>
      </c>
      <c r="R2349" s="1">
        <v>0.61321287833333338</v>
      </c>
      <c r="S2349" s="1">
        <v>0.1030626094676128</v>
      </c>
      <c r="T2349" t="s">
        <v>2496</v>
      </c>
      <c r="U2349" s="1">
        <v>5027</v>
      </c>
      <c r="V2349">
        <f t="shared" si="144"/>
        <v>0.41125654280311946</v>
      </c>
      <c r="W2349" s="1">
        <f t="shared" si="145"/>
        <v>12.100000000000001</v>
      </c>
      <c r="X2349">
        <f t="shared" si="146"/>
        <v>0.35340378800000005</v>
      </c>
      <c r="Y2349">
        <f t="shared" si="147"/>
        <v>56.300000000000011</v>
      </c>
      <c r="Z2349" s="1">
        <v>11</v>
      </c>
      <c r="AA2349">
        <v>89</v>
      </c>
      <c r="AB2349">
        <v>0.1236</v>
      </c>
      <c r="AC2349">
        <v>12</v>
      </c>
      <c r="AD2349">
        <v>85</v>
      </c>
      <c r="AE2349">
        <v>0.14119999999999999</v>
      </c>
      <c r="AF2349" t="s">
        <v>2589</v>
      </c>
      <c r="AG2349" t="s">
        <v>2589</v>
      </c>
    </row>
    <row r="2350" spans="1:33">
      <c r="A2350" s="2" t="s">
        <v>35</v>
      </c>
      <c r="B2350" s="2" t="s">
        <v>33</v>
      </c>
      <c r="C2350" s="1">
        <v>0.52542897600000005</v>
      </c>
      <c r="D2350">
        <v>0.60774736299999998</v>
      </c>
      <c r="E2350">
        <v>0.62585751700000003</v>
      </c>
      <c r="F2350" s="1" t="s">
        <v>36</v>
      </c>
      <c r="G2350" s="1">
        <v>0.98848810399999998</v>
      </c>
      <c r="H2350" s="1">
        <v>54.2</v>
      </c>
      <c r="I2350" s="1">
        <v>130.30000000000001</v>
      </c>
      <c r="J2350" s="1">
        <v>0.58634461866666665</v>
      </c>
      <c r="K2350" s="1">
        <v>0.51347926600000005</v>
      </c>
      <c r="L2350" s="1">
        <v>0.63144379399999995</v>
      </c>
      <c r="M2350" s="3">
        <v>0.64189093500000005</v>
      </c>
      <c r="N2350" s="1" t="s">
        <v>34</v>
      </c>
      <c r="O2350" s="1">
        <v>2.3123667380000001</v>
      </c>
      <c r="P2350" s="1">
        <v>79.099999999999994</v>
      </c>
      <c r="Q2350" s="1">
        <v>93.8</v>
      </c>
      <c r="R2350" s="1">
        <v>0.59560466500000009</v>
      </c>
      <c r="S2350" s="1">
        <v>3.1006239758870856E-2</v>
      </c>
      <c r="T2350" t="s">
        <v>2497</v>
      </c>
      <c r="U2350" s="1">
        <v>5814</v>
      </c>
      <c r="V2350">
        <f t="shared" si="144"/>
        <v>0.41827500304826765</v>
      </c>
      <c r="W2350" s="1">
        <f t="shared" si="145"/>
        <v>24.899999999999991</v>
      </c>
      <c r="X2350">
        <f t="shared" si="146"/>
        <v>1.3238786340000002</v>
      </c>
      <c r="Y2350">
        <f t="shared" si="147"/>
        <v>36.500000000000014</v>
      </c>
      <c r="Z2350" s="1">
        <v>7</v>
      </c>
      <c r="AA2350">
        <v>93</v>
      </c>
      <c r="AB2350">
        <v>7.5300000000000006E-2</v>
      </c>
      <c r="AC2350">
        <v>9</v>
      </c>
      <c r="AD2350">
        <v>82</v>
      </c>
      <c r="AE2350">
        <v>0.10979999999999999</v>
      </c>
      <c r="AF2350" t="s">
        <v>2589</v>
      </c>
      <c r="AG2350" t="s">
        <v>2590</v>
      </c>
    </row>
    <row r="2351" spans="1:33">
      <c r="A2351" s="2" t="s">
        <v>33</v>
      </c>
      <c r="B2351" s="2" t="s">
        <v>10</v>
      </c>
      <c r="C2351" s="1">
        <v>0.51347926600000005</v>
      </c>
      <c r="D2351">
        <v>0.63144379399999995</v>
      </c>
      <c r="E2351">
        <v>0.64189093500000005</v>
      </c>
      <c r="F2351" s="1" t="s">
        <v>34</v>
      </c>
      <c r="G2351" s="1">
        <v>2.3123667380000001</v>
      </c>
      <c r="H2351" s="1">
        <v>79.099999999999994</v>
      </c>
      <c r="I2351" s="1">
        <v>93.8</v>
      </c>
      <c r="J2351" s="1">
        <v>0.59560466500000009</v>
      </c>
      <c r="K2351" s="1">
        <v>0.52456325500000001</v>
      </c>
      <c r="L2351" s="1">
        <v>0.61925627999999999</v>
      </c>
      <c r="M2351" s="3">
        <v>0.72111139899999999</v>
      </c>
      <c r="N2351" s="1" t="s">
        <v>12</v>
      </c>
      <c r="O2351" s="1">
        <v>0.61690647499999995</v>
      </c>
      <c r="P2351" s="1">
        <v>30</v>
      </c>
      <c r="Q2351" s="1">
        <v>111.2</v>
      </c>
      <c r="R2351" s="1">
        <v>0.62164364466666666</v>
      </c>
      <c r="S2351" s="1">
        <v>8.0915216282400185E-2</v>
      </c>
      <c r="T2351" t="s">
        <v>2498</v>
      </c>
      <c r="U2351" s="1">
        <v>1070</v>
      </c>
      <c r="V2351">
        <f t="shared" si="144"/>
        <v>0.33659819752057885</v>
      </c>
      <c r="W2351" s="1">
        <f t="shared" si="145"/>
        <v>49.099999999999994</v>
      </c>
      <c r="X2351">
        <f t="shared" si="146"/>
        <v>1.6954602630000002</v>
      </c>
      <c r="Y2351">
        <f t="shared" si="147"/>
        <v>17.400000000000006</v>
      </c>
      <c r="Z2351" s="1">
        <v>6</v>
      </c>
      <c r="AA2351">
        <v>94</v>
      </c>
      <c r="AB2351">
        <v>6.3799999999999996E-2</v>
      </c>
      <c r="AC2351">
        <v>8</v>
      </c>
      <c r="AD2351">
        <v>145</v>
      </c>
      <c r="AE2351">
        <v>5.5199999999999999E-2</v>
      </c>
      <c r="AF2351" t="s">
        <v>2590</v>
      </c>
      <c r="AG2351" t="s">
        <v>2588</v>
      </c>
    </row>
    <row r="2352" spans="1:33">
      <c r="A2352" s="2" t="s">
        <v>33</v>
      </c>
      <c r="B2352" s="2" t="s">
        <v>13</v>
      </c>
      <c r="C2352" s="1">
        <v>0.51347926600000005</v>
      </c>
      <c r="D2352">
        <v>0.63144379399999995</v>
      </c>
      <c r="E2352">
        <v>0.64189093500000005</v>
      </c>
      <c r="F2352" s="1" t="s">
        <v>34</v>
      </c>
      <c r="G2352" s="1">
        <v>2.3123667380000001</v>
      </c>
      <c r="H2352" s="1">
        <v>79.099999999999994</v>
      </c>
      <c r="I2352" s="1">
        <v>93.8</v>
      </c>
      <c r="J2352" s="1">
        <v>0.59560466500000009</v>
      </c>
      <c r="K2352" s="1">
        <v>0.48695497399999998</v>
      </c>
      <c r="L2352" s="1">
        <v>0.54991327199999995</v>
      </c>
      <c r="M2352" s="3">
        <v>0.67282609299999996</v>
      </c>
      <c r="N2352" s="1" t="s">
        <v>14</v>
      </c>
      <c r="O2352" s="1">
        <v>1.6052009460000001</v>
      </c>
      <c r="P2352" s="1">
        <v>26.6</v>
      </c>
      <c r="Q2352" s="1">
        <v>42.3</v>
      </c>
      <c r="R2352" s="1">
        <v>0.56989811299999993</v>
      </c>
      <c r="S2352" s="1">
        <v>9.1146849008502256E-2</v>
      </c>
      <c r="T2352" t="s">
        <v>2499</v>
      </c>
      <c r="U2352" s="1">
        <v>10123</v>
      </c>
      <c r="V2352">
        <f t="shared" si="144"/>
        <v>0.44503435964983518</v>
      </c>
      <c r="W2352" s="1">
        <f t="shared" si="145"/>
        <v>52.499999999999993</v>
      </c>
      <c r="X2352">
        <f t="shared" si="146"/>
        <v>0.70716579200000007</v>
      </c>
      <c r="Y2352">
        <f t="shared" si="147"/>
        <v>51.5</v>
      </c>
      <c r="Z2352" s="1">
        <v>8</v>
      </c>
      <c r="AA2352">
        <v>92</v>
      </c>
      <c r="AB2352">
        <v>8.6999999999999994E-2</v>
      </c>
      <c r="AC2352">
        <v>8</v>
      </c>
      <c r="AD2352">
        <v>92</v>
      </c>
      <c r="AE2352">
        <v>8.6999999999999994E-2</v>
      </c>
      <c r="AF2352" t="s">
        <v>2590</v>
      </c>
      <c r="AG2352" t="s">
        <v>2590</v>
      </c>
    </row>
    <row r="2353" spans="1:33">
      <c r="A2353" s="2" t="s">
        <v>33</v>
      </c>
      <c r="B2353" s="2" t="s">
        <v>15</v>
      </c>
      <c r="C2353" s="1">
        <v>0.51347926600000005</v>
      </c>
      <c r="D2353">
        <v>0.63144379399999995</v>
      </c>
      <c r="E2353">
        <v>0.64189093500000005</v>
      </c>
      <c r="F2353" s="1" t="s">
        <v>34</v>
      </c>
      <c r="G2353" s="1">
        <v>2.3123667380000001</v>
      </c>
      <c r="H2353" s="1">
        <v>79.099999999999994</v>
      </c>
      <c r="I2353" s="1">
        <v>93.8</v>
      </c>
      <c r="J2353" s="1">
        <v>0.59560466500000009</v>
      </c>
      <c r="K2353" s="1">
        <v>0.54560998800000005</v>
      </c>
      <c r="L2353" s="1">
        <v>0.66721428400000005</v>
      </c>
      <c r="M2353" s="3">
        <v>0.72650398400000005</v>
      </c>
      <c r="N2353" s="1" t="s">
        <v>16</v>
      </c>
      <c r="O2353" s="1">
        <v>5.1392405060000002</v>
      </c>
      <c r="P2353" s="1">
        <v>35.9</v>
      </c>
      <c r="Q2353" s="1">
        <v>15.8</v>
      </c>
      <c r="R2353" s="1">
        <v>0.64644275200000012</v>
      </c>
      <c r="S2353" s="1">
        <v>9.7320497903359449E-2</v>
      </c>
      <c r="T2353" t="s">
        <v>2500</v>
      </c>
      <c r="U2353" s="1">
        <v>280</v>
      </c>
      <c r="V2353">
        <f t="shared" si="144"/>
        <v>0.27190644792691326</v>
      </c>
      <c r="W2353" s="1">
        <f t="shared" si="145"/>
        <v>43.199999999999996</v>
      </c>
      <c r="X2353">
        <f t="shared" si="146"/>
        <v>2.826873768</v>
      </c>
      <c r="Y2353">
        <f t="shared" si="147"/>
        <v>78</v>
      </c>
      <c r="Z2353" s="1">
        <v>3</v>
      </c>
      <c r="AA2353">
        <v>97</v>
      </c>
      <c r="AB2353">
        <v>3.09E-2</v>
      </c>
      <c r="AC2353">
        <v>3</v>
      </c>
      <c r="AD2353">
        <v>93</v>
      </c>
      <c r="AE2353">
        <v>3.2300000000000002E-2</v>
      </c>
      <c r="AF2353" t="s">
        <v>2590</v>
      </c>
      <c r="AG2353" t="s">
        <v>2591</v>
      </c>
    </row>
    <row r="2354" spans="1:33">
      <c r="A2354" s="2" t="s">
        <v>33</v>
      </c>
      <c r="B2354" s="2" t="s">
        <v>17</v>
      </c>
      <c r="C2354" s="1">
        <v>0.51347926600000005</v>
      </c>
      <c r="D2354">
        <v>0.63144379399999995</v>
      </c>
      <c r="E2354">
        <v>0.64189093500000005</v>
      </c>
      <c r="F2354" s="1" t="s">
        <v>34</v>
      </c>
      <c r="G2354" s="1">
        <v>2.3123667380000001</v>
      </c>
      <c r="H2354" s="1">
        <v>79.099999999999994</v>
      </c>
      <c r="I2354" s="1">
        <v>93.8</v>
      </c>
      <c r="J2354" s="1">
        <v>0.59560466500000009</v>
      </c>
      <c r="K2354" s="1">
        <v>0.659112378</v>
      </c>
      <c r="L2354" s="1">
        <v>0.68333493499999998</v>
      </c>
      <c r="M2354" s="3">
        <v>0.70345495199999997</v>
      </c>
      <c r="N2354" s="1" t="s">
        <v>18</v>
      </c>
      <c r="O2354" s="1">
        <v>1.9463955639999999</v>
      </c>
      <c r="P2354" s="1">
        <v>46.3</v>
      </c>
      <c r="Q2354" s="1">
        <v>54.1</v>
      </c>
      <c r="R2354" s="1">
        <v>0.68196742166666668</v>
      </c>
      <c r="S2354" s="1">
        <v>0.16640859958025817</v>
      </c>
      <c r="T2354" t="s">
        <v>2501</v>
      </c>
      <c r="U2354" s="1">
        <v>545</v>
      </c>
      <c r="V2354">
        <f t="shared" si="144"/>
        <v>0.30404405580851585</v>
      </c>
      <c r="W2354" s="1">
        <f t="shared" si="145"/>
        <v>32.799999999999997</v>
      </c>
      <c r="X2354">
        <f t="shared" si="146"/>
        <v>0.36597117400000023</v>
      </c>
      <c r="Y2354">
        <f t="shared" si="147"/>
        <v>39.699999999999996</v>
      </c>
      <c r="Z2354" s="1">
        <v>1</v>
      </c>
      <c r="AA2354">
        <v>99</v>
      </c>
      <c r="AB2354">
        <v>1.01E-2</v>
      </c>
      <c r="AC2354">
        <v>1</v>
      </c>
      <c r="AD2354">
        <v>109</v>
      </c>
      <c r="AE2354">
        <v>9.1999999999999998E-3</v>
      </c>
      <c r="AF2354" t="s">
        <v>2590</v>
      </c>
      <c r="AG2354" t="s">
        <v>2591</v>
      </c>
    </row>
    <row r="2355" spans="1:33">
      <c r="A2355" s="2" t="s">
        <v>33</v>
      </c>
      <c r="B2355" s="2" t="s">
        <v>19</v>
      </c>
      <c r="C2355" s="1">
        <v>0.51347926600000005</v>
      </c>
      <c r="D2355">
        <v>0.63144379399999995</v>
      </c>
      <c r="E2355">
        <v>0.64189093500000005</v>
      </c>
      <c r="F2355" s="1" t="s">
        <v>34</v>
      </c>
      <c r="G2355" s="1">
        <v>2.3123667380000001</v>
      </c>
      <c r="H2355" s="1">
        <v>79.099999999999994</v>
      </c>
      <c r="I2355" s="1">
        <v>93.8</v>
      </c>
      <c r="J2355" s="1">
        <v>0.59560466500000009</v>
      </c>
      <c r="K2355" s="1">
        <v>0.49391595300000002</v>
      </c>
      <c r="L2355" s="1">
        <v>0.603599314</v>
      </c>
      <c r="M2355" s="3">
        <v>0.63481471599999995</v>
      </c>
      <c r="N2355" s="1" t="s">
        <v>20</v>
      </c>
      <c r="O2355" s="1">
        <v>1.2140902870000001</v>
      </c>
      <c r="P2355" s="1">
        <v>64.900000000000006</v>
      </c>
      <c r="Q2355" s="1">
        <v>146.19999999999999</v>
      </c>
      <c r="R2355" s="1">
        <v>0.57744332766666662</v>
      </c>
      <c r="S2355" s="1">
        <v>3.4757893453751333E-2</v>
      </c>
      <c r="T2355" t="s">
        <v>2502</v>
      </c>
      <c r="U2355" s="1">
        <v>6249</v>
      </c>
      <c r="V2355">
        <f t="shared" si="144"/>
        <v>0.42175672496304534</v>
      </c>
      <c r="W2355" s="1">
        <f t="shared" si="145"/>
        <v>14.199999999999989</v>
      </c>
      <c r="X2355">
        <f t="shared" si="146"/>
        <v>1.098276451</v>
      </c>
      <c r="Y2355">
        <f t="shared" si="147"/>
        <v>52.399999999999991</v>
      </c>
      <c r="Z2355" s="1">
        <v>20</v>
      </c>
      <c r="AA2355">
        <v>80</v>
      </c>
      <c r="AB2355">
        <v>0.25</v>
      </c>
      <c r="AC2355">
        <v>19</v>
      </c>
      <c r="AD2355">
        <v>71</v>
      </c>
      <c r="AE2355">
        <v>0.2676</v>
      </c>
      <c r="AF2355" t="s">
        <v>2590</v>
      </c>
      <c r="AG2355" t="s">
        <v>2593</v>
      </c>
    </row>
    <row r="2356" spans="1:33">
      <c r="A2356" s="2" t="s">
        <v>33</v>
      </c>
      <c r="B2356" s="2" t="s">
        <v>21</v>
      </c>
      <c r="C2356" s="1">
        <v>0.51347926600000005</v>
      </c>
      <c r="D2356">
        <v>0.63144379399999995</v>
      </c>
      <c r="E2356">
        <v>0.64189093500000005</v>
      </c>
      <c r="F2356" s="1" t="s">
        <v>34</v>
      </c>
      <c r="G2356" s="1">
        <v>2.3123667380000001</v>
      </c>
      <c r="H2356" s="1">
        <v>79.099999999999994</v>
      </c>
      <c r="I2356" s="1">
        <v>93.8</v>
      </c>
      <c r="J2356" s="1">
        <v>0.59560466500000009</v>
      </c>
      <c r="K2356" s="1">
        <v>0.53276376800000003</v>
      </c>
      <c r="L2356" s="1">
        <v>0.65428149899999999</v>
      </c>
      <c r="M2356" s="3">
        <v>0.70160154799999996</v>
      </c>
      <c r="N2356" s="1" t="s">
        <v>22</v>
      </c>
      <c r="O2356" s="1">
        <v>1.2440604749999999</v>
      </c>
      <c r="P2356" s="1">
        <v>24.6</v>
      </c>
      <c r="Q2356" s="1">
        <v>46.3</v>
      </c>
      <c r="R2356" s="1">
        <v>0.62954893833333336</v>
      </c>
      <c r="S2356" s="1">
        <v>6.6774322099822092E-2</v>
      </c>
      <c r="T2356" t="s">
        <v>2503</v>
      </c>
      <c r="U2356" s="1">
        <v>571</v>
      </c>
      <c r="V2356">
        <f t="shared" si="144"/>
        <v>0.30629290091620537</v>
      </c>
      <c r="W2356" s="1">
        <f t="shared" si="145"/>
        <v>54.499999999999993</v>
      </c>
      <c r="X2356">
        <f t="shared" si="146"/>
        <v>1.0683062630000002</v>
      </c>
      <c r="Y2356">
        <f t="shared" si="147"/>
        <v>47.5</v>
      </c>
      <c r="Z2356" s="1">
        <v>3</v>
      </c>
      <c r="AA2356">
        <v>97</v>
      </c>
      <c r="AB2356">
        <v>3.09E-2</v>
      </c>
      <c r="AC2356">
        <v>5</v>
      </c>
      <c r="AD2356">
        <v>91</v>
      </c>
      <c r="AE2356">
        <v>5.4899999999999997E-2</v>
      </c>
      <c r="AF2356" t="s">
        <v>2590</v>
      </c>
      <c r="AG2356" t="s">
        <v>2589</v>
      </c>
    </row>
    <row r="2357" spans="1:33">
      <c r="A2357" s="2" t="s">
        <v>33</v>
      </c>
      <c r="B2357" s="2" t="s">
        <v>23</v>
      </c>
      <c r="C2357" s="1">
        <v>0.51347926600000005</v>
      </c>
      <c r="D2357">
        <v>0.63144379399999995</v>
      </c>
      <c r="E2357">
        <v>0.64189093500000005</v>
      </c>
      <c r="F2357" s="1" t="s">
        <v>34</v>
      </c>
      <c r="G2357" s="1">
        <v>2.3123667380000001</v>
      </c>
      <c r="H2357" s="1">
        <v>79.099999999999994</v>
      </c>
      <c r="I2357" s="1">
        <v>93.8</v>
      </c>
      <c r="J2357" s="1">
        <v>0.59560466500000009</v>
      </c>
      <c r="K2357" s="1">
        <v>0.49415677200000002</v>
      </c>
      <c r="L2357" s="1">
        <v>0.62090818999999997</v>
      </c>
      <c r="M2357" s="3">
        <v>0.63381026900000004</v>
      </c>
      <c r="N2357" s="1" t="s">
        <v>24</v>
      </c>
      <c r="O2357" s="1">
        <v>1.141304348</v>
      </c>
      <c r="P2357" s="1">
        <v>44.4</v>
      </c>
      <c r="Q2357" s="1">
        <v>101.2</v>
      </c>
      <c r="R2357" s="1">
        <v>0.58295841033333329</v>
      </c>
      <c r="S2357" s="1">
        <v>2.3444719853911854E-2</v>
      </c>
      <c r="T2357" t="s">
        <v>2504</v>
      </c>
      <c r="U2357" s="1">
        <v>41297</v>
      </c>
      <c r="V2357">
        <f t="shared" si="144"/>
        <v>0.51287983374399015</v>
      </c>
      <c r="W2357" s="1">
        <f t="shared" si="145"/>
        <v>34.699999999999996</v>
      </c>
      <c r="X2357">
        <f t="shared" si="146"/>
        <v>1.1710623900000001</v>
      </c>
      <c r="Y2357">
        <f t="shared" si="147"/>
        <v>7.4000000000000057</v>
      </c>
      <c r="Z2357" s="1">
        <v>24</v>
      </c>
      <c r="AA2357">
        <v>76</v>
      </c>
      <c r="AB2357">
        <v>0.31580000000000003</v>
      </c>
      <c r="AC2357">
        <v>23</v>
      </c>
      <c r="AD2357">
        <v>69</v>
      </c>
      <c r="AE2357">
        <v>0.33329999999999999</v>
      </c>
      <c r="AF2357" t="s">
        <v>2590</v>
      </c>
      <c r="AG2357" t="s">
        <v>2590</v>
      </c>
    </row>
    <row r="2358" spans="1:33">
      <c r="A2358" s="2" t="s">
        <v>33</v>
      </c>
      <c r="B2358" s="2" t="s">
        <v>25</v>
      </c>
      <c r="C2358" s="1">
        <v>0.51347926600000005</v>
      </c>
      <c r="D2358">
        <v>0.63144379399999995</v>
      </c>
      <c r="E2358">
        <v>0.64189093500000005</v>
      </c>
      <c r="F2358" s="1" t="s">
        <v>34</v>
      </c>
      <c r="G2358" s="1">
        <v>2.3123667380000001</v>
      </c>
      <c r="H2358" s="1">
        <v>79.099999999999994</v>
      </c>
      <c r="I2358" s="1">
        <v>93.8</v>
      </c>
      <c r="J2358" s="1">
        <v>0.59560466500000009</v>
      </c>
      <c r="K2358" s="1">
        <v>0.53959274199999996</v>
      </c>
      <c r="L2358" s="1">
        <v>0.64971567399999997</v>
      </c>
      <c r="M2358" s="3">
        <v>0.65028459999999999</v>
      </c>
      <c r="N2358" s="1" t="s">
        <v>26</v>
      </c>
      <c r="O2358" s="1">
        <v>1.623046875</v>
      </c>
      <c r="P2358" s="1">
        <v>34.700000000000003</v>
      </c>
      <c r="Q2358" s="1">
        <v>51.2</v>
      </c>
      <c r="R2358" s="1">
        <v>0.61319767199999997</v>
      </c>
      <c r="S2358" s="1">
        <v>3.2957985977137561E-2</v>
      </c>
      <c r="T2358" t="s">
        <v>2505</v>
      </c>
      <c r="U2358" s="1">
        <v>793</v>
      </c>
      <c r="V2358">
        <f t="shared" si="144"/>
        <v>0.32214146525751153</v>
      </c>
      <c r="W2358" s="1">
        <f t="shared" si="145"/>
        <v>44.399999999999991</v>
      </c>
      <c r="X2358">
        <f t="shared" si="146"/>
        <v>0.68931986300000014</v>
      </c>
      <c r="Y2358">
        <f t="shared" si="147"/>
        <v>42.599999999999994</v>
      </c>
      <c r="Z2358" s="1">
        <v>0</v>
      </c>
      <c r="AA2358">
        <v>100</v>
      </c>
      <c r="AB2358">
        <v>0</v>
      </c>
      <c r="AC2358">
        <v>0</v>
      </c>
      <c r="AD2358">
        <v>94</v>
      </c>
      <c r="AE2358">
        <v>0</v>
      </c>
      <c r="AF2358" t="s">
        <v>2590</v>
      </c>
      <c r="AG2358" t="s">
        <v>2594</v>
      </c>
    </row>
    <row r="2359" spans="1:33">
      <c r="A2359" s="2" t="s">
        <v>33</v>
      </c>
      <c r="B2359" s="2" t="s">
        <v>27</v>
      </c>
      <c r="C2359" s="1">
        <v>0.51347926600000005</v>
      </c>
      <c r="D2359">
        <v>0.63144379399999995</v>
      </c>
      <c r="E2359">
        <v>0.64189093500000005</v>
      </c>
      <c r="F2359" s="1" t="s">
        <v>34</v>
      </c>
      <c r="G2359" s="1">
        <v>2.3123667380000001</v>
      </c>
      <c r="H2359" s="1">
        <v>79.099999999999994</v>
      </c>
      <c r="I2359" s="1">
        <v>93.8</v>
      </c>
      <c r="J2359" s="1">
        <v>0.59560466500000009</v>
      </c>
      <c r="K2359" s="1">
        <v>0.518608662</v>
      </c>
      <c r="L2359" s="1">
        <v>0.64320369700000002</v>
      </c>
      <c r="M2359" s="3">
        <v>0.62228994199999998</v>
      </c>
      <c r="N2359" s="1" t="s">
        <v>28</v>
      </c>
      <c r="O2359" s="1">
        <v>1.8717391299999999</v>
      </c>
      <c r="P2359" s="1">
        <v>33.700000000000003</v>
      </c>
      <c r="Q2359" s="1">
        <v>46</v>
      </c>
      <c r="R2359" s="1">
        <v>0.59470076699999996</v>
      </c>
      <c r="S2359" s="1">
        <v>2.3426586359951759E-2</v>
      </c>
      <c r="T2359" t="s">
        <v>2506</v>
      </c>
      <c r="U2359" s="1">
        <v>21155</v>
      </c>
      <c r="V2359">
        <f t="shared" si="144"/>
        <v>0.48060144774081259</v>
      </c>
      <c r="W2359" s="1">
        <f t="shared" si="145"/>
        <v>45.399999999999991</v>
      </c>
      <c r="X2359">
        <f t="shared" si="146"/>
        <v>0.44062760800000023</v>
      </c>
      <c r="Y2359">
        <f t="shared" si="147"/>
        <v>47.8</v>
      </c>
      <c r="Z2359" s="1">
        <v>10</v>
      </c>
      <c r="AA2359">
        <v>90</v>
      </c>
      <c r="AB2359">
        <v>0.1111</v>
      </c>
      <c r="AC2359">
        <v>13</v>
      </c>
      <c r="AD2359">
        <v>88</v>
      </c>
      <c r="AE2359">
        <v>0.1477</v>
      </c>
      <c r="AF2359" t="s">
        <v>2590</v>
      </c>
      <c r="AG2359" t="s">
        <v>2590</v>
      </c>
    </row>
    <row r="2360" spans="1:33">
      <c r="A2360" s="2" t="s">
        <v>33</v>
      </c>
      <c r="B2360" s="2" t="s">
        <v>29</v>
      </c>
      <c r="C2360" s="1">
        <v>0.51347926600000005</v>
      </c>
      <c r="D2360">
        <v>0.63144379399999995</v>
      </c>
      <c r="E2360">
        <v>0.64189093500000005</v>
      </c>
      <c r="F2360" s="1" t="s">
        <v>34</v>
      </c>
      <c r="G2360" s="1">
        <v>2.3123667380000001</v>
      </c>
      <c r="H2360" s="1">
        <v>79.099999999999994</v>
      </c>
      <c r="I2360" s="1">
        <v>93.8</v>
      </c>
      <c r="J2360" s="1">
        <v>0.59560466500000009</v>
      </c>
      <c r="K2360" s="1">
        <v>0.59351545100000003</v>
      </c>
      <c r="L2360" s="1">
        <v>0.68136602400000001</v>
      </c>
      <c r="M2360" s="3">
        <v>0.73518087600000004</v>
      </c>
      <c r="N2360" s="1" t="s">
        <v>30</v>
      </c>
      <c r="O2360" s="1">
        <v>2.849112426</v>
      </c>
      <c r="P2360" s="1">
        <v>37.9</v>
      </c>
      <c r="Q2360" s="1">
        <v>33.799999999999997</v>
      </c>
      <c r="R2360" s="1">
        <v>0.67002078366666673</v>
      </c>
      <c r="S2360" s="1">
        <v>0.1326688850081684</v>
      </c>
      <c r="T2360" t="s">
        <v>2507</v>
      </c>
      <c r="U2360" s="1">
        <v>341</v>
      </c>
      <c r="V2360">
        <f t="shared" si="144"/>
        <v>0.28141715322138861</v>
      </c>
      <c r="W2360" s="1">
        <f t="shared" si="145"/>
        <v>41.199999999999996</v>
      </c>
      <c r="X2360">
        <f t="shared" si="146"/>
        <v>0.53674568799999989</v>
      </c>
      <c r="Y2360">
        <f t="shared" si="147"/>
        <v>60</v>
      </c>
      <c r="Z2360" s="1">
        <v>1</v>
      </c>
      <c r="AA2360">
        <v>99</v>
      </c>
      <c r="AB2360">
        <v>1.01E-2</v>
      </c>
      <c r="AC2360">
        <v>1</v>
      </c>
      <c r="AD2360">
        <v>89</v>
      </c>
      <c r="AE2360">
        <v>1.12E-2</v>
      </c>
      <c r="AF2360" t="s">
        <v>2590</v>
      </c>
      <c r="AG2360" t="s">
        <v>2593</v>
      </c>
    </row>
    <row r="2361" spans="1:33">
      <c r="A2361" s="2" t="s">
        <v>33</v>
      </c>
      <c r="B2361" s="2" t="s">
        <v>31</v>
      </c>
      <c r="C2361" s="1">
        <v>0.51347926600000005</v>
      </c>
      <c r="D2361">
        <v>0.63144379399999995</v>
      </c>
      <c r="E2361">
        <v>0.64189093500000005</v>
      </c>
      <c r="F2361" s="1" t="s">
        <v>34</v>
      </c>
      <c r="G2361" s="1">
        <v>2.3123667380000001</v>
      </c>
      <c r="H2361" s="1">
        <v>79.099999999999994</v>
      </c>
      <c r="I2361" s="1">
        <v>93.8</v>
      </c>
      <c r="J2361" s="1">
        <v>0.59560466500000009</v>
      </c>
      <c r="K2361" s="1">
        <v>0.47727961800000002</v>
      </c>
      <c r="L2361" s="1">
        <v>0.66941086400000005</v>
      </c>
      <c r="M2361" s="3">
        <v>0.69294815300000001</v>
      </c>
      <c r="N2361" s="1" t="s">
        <v>32</v>
      </c>
      <c r="O2361" s="1">
        <v>1.341891892</v>
      </c>
      <c r="P2361" s="1">
        <v>42.1</v>
      </c>
      <c r="Q2361" s="1">
        <v>74</v>
      </c>
      <c r="R2361" s="1">
        <v>0.61321287833333338</v>
      </c>
      <c r="S2361" s="1">
        <v>7.3203500118562179E-2</v>
      </c>
      <c r="T2361" t="s">
        <v>2508</v>
      </c>
      <c r="U2361" s="1">
        <v>1415</v>
      </c>
      <c r="V2361">
        <f t="shared" si="144"/>
        <v>0.35008404887336764</v>
      </c>
      <c r="W2361" s="1">
        <f t="shared" si="145"/>
        <v>36.999999999999993</v>
      </c>
      <c r="X2361">
        <f t="shared" si="146"/>
        <v>0.97047484600000011</v>
      </c>
      <c r="Y2361">
        <f t="shared" si="147"/>
        <v>19.799999999999997</v>
      </c>
      <c r="Z2361" s="1">
        <v>7</v>
      </c>
      <c r="AA2361">
        <v>93</v>
      </c>
      <c r="AB2361">
        <v>7.5300000000000006E-2</v>
      </c>
      <c r="AC2361">
        <v>8</v>
      </c>
      <c r="AD2361">
        <v>90</v>
      </c>
      <c r="AE2361">
        <v>8.8900000000000007E-2</v>
      </c>
      <c r="AF2361" t="s">
        <v>2590</v>
      </c>
      <c r="AG2361" t="s">
        <v>2589</v>
      </c>
    </row>
    <row r="2362" spans="1:33">
      <c r="A2362" s="2" t="s">
        <v>31</v>
      </c>
      <c r="B2362" s="2" t="s">
        <v>10</v>
      </c>
      <c r="C2362" s="1">
        <v>0.47727961800000002</v>
      </c>
      <c r="D2362">
        <v>0.66941086400000005</v>
      </c>
      <c r="E2362">
        <v>0.69294815300000001</v>
      </c>
      <c r="F2362" s="1" t="s">
        <v>32</v>
      </c>
      <c r="G2362" s="1">
        <v>1.341891892</v>
      </c>
      <c r="H2362" s="1">
        <v>42.1</v>
      </c>
      <c r="I2362" s="1">
        <v>74</v>
      </c>
      <c r="J2362" s="1">
        <v>0.61321287833333338</v>
      </c>
      <c r="K2362" s="1">
        <v>0.52456325500000001</v>
      </c>
      <c r="L2362" s="1">
        <v>0.61925627999999999</v>
      </c>
      <c r="M2362" s="3">
        <v>0.72111139899999999</v>
      </c>
      <c r="N2362" s="1" t="s">
        <v>12</v>
      </c>
      <c r="O2362" s="1">
        <v>0.61690647499999995</v>
      </c>
      <c r="P2362" s="1">
        <v>30</v>
      </c>
      <c r="Q2362" s="1">
        <v>111.2</v>
      </c>
      <c r="R2362" s="1">
        <v>0.62164364466666666</v>
      </c>
      <c r="S2362" s="1">
        <v>7.4460681231219905E-2</v>
      </c>
      <c r="T2362" t="s">
        <v>2509</v>
      </c>
      <c r="U2362" s="1">
        <v>252</v>
      </c>
      <c r="V2362">
        <f t="shared" si="144"/>
        <v>0.26682228230906047</v>
      </c>
      <c r="W2362" s="1">
        <f t="shared" si="145"/>
        <v>12.100000000000001</v>
      </c>
      <c r="X2362">
        <f t="shared" si="146"/>
        <v>0.72498541700000008</v>
      </c>
      <c r="Y2362">
        <f t="shared" si="147"/>
        <v>37.200000000000003</v>
      </c>
      <c r="Z2362" s="1">
        <v>4</v>
      </c>
      <c r="AA2362">
        <v>96</v>
      </c>
      <c r="AB2362">
        <v>4.1700000000000001E-2</v>
      </c>
      <c r="AC2362">
        <v>5</v>
      </c>
      <c r="AD2362">
        <v>154</v>
      </c>
      <c r="AE2362">
        <v>3.2500000000000001E-2</v>
      </c>
      <c r="AF2362" t="s">
        <v>2589</v>
      </c>
      <c r="AG2362" t="s">
        <v>2588</v>
      </c>
    </row>
    <row r="2363" spans="1:33">
      <c r="A2363" s="2" t="s">
        <v>31</v>
      </c>
      <c r="B2363" s="2" t="s">
        <v>13</v>
      </c>
      <c r="C2363" s="1">
        <v>0.47727961800000002</v>
      </c>
      <c r="D2363">
        <v>0.66941086400000005</v>
      </c>
      <c r="E2363">
        <v>0.69294815300000001</v>
      </c>
      <c r="F2363" s="1" t="s">
        <v>32</v>
      </c>
      <c r="G2363" s="1">
        <v>1.341891892</v>
      </c>
      <c r="H2363" s="1">
        <v>42.1</v>
      </c>
      <c r="I2363" s="1">
        <v>74</v>
      </c>
      <c r="J2363" s="1">
        <v>0.61321287833333338</v>
      </c>
      <c r="K2363" s="1">
        <v>0.48695497399999998</v>
      </c>
      <c r="L2363" s="1">
        <v>0.54991327199999995</v>
      </c>
      <c r="M2363" s="3">
        <v>0.67282609299999996</v>
      </c>
      <c r="N2363" s="1" t="s">
        <v>14</v>
      </c>
      <c r="O2363" s="1">
        <v>1.6052009460000001</v>
      </c>
      <c r="P2363" s="1">
        <v>26.6</v>
      </c>
      <c r="Q2363" s="1">
        <v>42.3</v>
      </c>
      <c r="R2363" s="1">
        <v>0.56989811299999993</v>
      </c>
      <c r="S2363" s="1">
        <v>0.12156555559108355</v>
      </c>
      <c r="T2363" t="s">
        <v>2510</v>
      </c>
      <c r="U2363" s="1">
        <v>2464</v>
      </c>
      <c r="V2363">
        <f t="shared" si="144"/>
        <v>0.37684896705470972</v>
      </c>
      <c r="W2363" s="1">
        <f t="shared" si="145"/>
        <v>15.5</v>
      </c>
      <c r="X2363">
        <f t="shared" si="146"/>
        <v>0.26330905400000004</v>
      </c>
      <c r="Y2363">
        <f t="shared" si="147"/>
        <v>31.700000000000003</v>
      </c>
      <c r="Z2363" s="1">
        <v>1</v>
      </c>
      <c r="AA2363">
        <v>99</v>
      </c>
      <c r="AB2363">
        <v>1.01E-2</v>
      </c>
      <c r="AC2363">
        <v>2</v>
      </c>
      <c r="AD2363">
        <v>104</v>
      </c>
      <c r="AE2363">
        <v>1.9199999999999998E-2</v>
      </c>
      <c r="AF2363" t="s">
        <v>2589</v>
      </c>
      <c r="AG2363" t="s">
        <v>2590</v>
      </c>
    </row>
    <row r="2364" spans="1:33">
      <c r="A2364" s="2" t="s">
        <v>31</v>
      </c>
      <c r="B2364" s="2" t="s">
        <v>15</v>
      </c>
      <c r="C2364" s="1">
        <v>0.47727961800000002</v>
      </c>
      <c r="D2364">
        <v>0.66941086400000005</v>
      </c>
      <c r="E2364">
        <v>0.69294815300000001</v>
      </c>
      <c r="F2364" s="1" t="s">
        <v>32</v>
      </c>
      <c r="G2364" s="1">
        <v>1.341891892</v>
      </c>
      <c r="H2364" s="1">
        <v>42.1</v>
      </c>
      <c r="I2364" s="1">
        <v>74</v>
      </c>
      <c r="J2364" s="1">
        <v>0.61321287833333338</v>
      </c>
      <c r="K2364" s="1">
        <v>0.54560998800000005</v>
      </c>
      <c r="L2364" s="1">
        <v>0.66721428400000005</v>
      </c>
      <c r="M2364" s="3">
        <v>0.72650398400000005</v>
      </c>
      <c r="N2364" s="1" t="s">
        <v>16</v>
      </c>
      <c r="O2364" s="1">
        <v>5.1392405060000002</v>
      </c>
      <c r="P2364" s="1">
        <v>35.9</v>
      </c>
      <c r="Q2364" s="1">
        <v>15.8</v>
      </c>
      <c r="R2364" s="1">
        <v>0.64644275200000012</v>
      </c>
      <c r="S2364" s="1">
        <v>7.6156800235657671E-2</v>
      </c>
      <c r="T2364" t="s">
        <v>2511</v>
      </c>
      <c r="U2364" s="1">
        <v>386</v>
      </c>
      <c r="V2364">
        <f t="shared" si="144"/>
        <v>0.2873985894079728</v>
      </c>
      <c r="W2364" s="1">
        <f t="shared" si="145"/>
        <v>6.2000000000000028</v>
      </c>
      <c r="X2364">
        <f t="shared" si="146"/>
        <v>3.7973486140000001</v>
      </c>
      <c r="Y2364">
        <f t="shared" si="147"/>
        <v>58.2</v>
      </c>
      <c r="Z2364" s="1">
        <v>0</v>
      </c>
      <c r="AA2364">
        <v>100</v>
      </c>
      <c r="AB2364">
        <v>0</v>
      </c>
      <c r="AC2364">
        <v>0</v>
      </c>
      <c r="AD2364">
        <v>102</v>
      </c>
      <c r="AE2364">
        <v>0</v>
      </c>
      <c r="AF2364" t="s">
        <v>2589</v>
      </c>
      <c r="AG2364" t="s">
        <v>2591</v>
      </c>
    </row>
    <row r="2365" spans="1:33">
      <c r="A2365" s="2" t="s">
        <v>31</v>
      </c>
      <c r="B2365" s="2" t="s">
        <v>17</v>
      </c>
      <c r="C2365" s="1">
        <v>0.47727961800000002</v>
      </c>
      <c r="D2365">
        <v>0.66941086400000005</v>
      </c>
      <c r="E2365">
        <v>0.69294815300000001</v>
      </c>
      <c r="F2365" s="1" t="s">
        <v>32</v>
      </c>
      <c r="G2365" s="1">
        <v>1.341891892</v>
      </c>
      <c r="H2365" s="1">
        <v>42.1</v>
      </c>
      <c r="I2365" s="1">
        <v>74</v>
      </c>
      <c r="J2365" s="1">
        <v>0.61321287833333338</v>
      </c>
      <c r="K2365" s="1">
        <v>0.659112378</v>
      </c>
      <c r="L2365" s="1">
        <v>0.68333493499999998</v>
      </c>
      <c r="M2365" s="3">
        <v>0.70345495199999997</v>
      </c>
      <c r="N2365" s="1" t="s">
        <v>18</v>
      </c>
      <c r="O2365" s="1">
        <v>1.9463955639999999</v>
      </c>
      <c r="P2365" s="1">
        <v>46.3</v>
      </c>
      <c r="Q2365" s="1">
        <v>54.1</v>
      </c>
      <c r="R2365" s="1">
        <v>0.68196742166666668</v>
      </c>
      <c r="S2365" s="1">
        <v>0.18266752636321826</v>
      </c>
      <c r="T2365" t="s">
        <v>2512</v>
      </c>
      <c r="U2365" s="1">
        <v>594</v>
      </c>
      <c r="V2365">
        <f t="shared" si="144"/>
        <v>0.30819849388679926</v>
      </c>
      <c r="W2365" s="1">
        <f t="shared" si="145"/>
        <v>4.1999999999999957</v>
      </c>
      <c r="X2365">
        <f t="shared" si="146"/>
        <v>0.60450367199999988</v>
      </c>
      <c r="Y2365">
        <f t="shared" si="147"/>
        <v>19.899999999999999</v>
      </c>
      <c r="Z2365" s="1">
        <v>0</v>
      </c>
      <c r="AA2365">
        <v>100</v>
      </c>
      <c r="AB2365">
        <v>0</v>
      </c>
      <c r="AC2365">
        <v>0</v>
      </c>
      <c r="AD2365">
        <v>116</v>
      </c>
      <c r="AE2365">
        <v>0</v>
      </c>
      <c r="AF2365" t="s">
        <v>2589</v>
      </c>
      <c r="AG2365" t="s">
        <v>2591</v>
      </c>
    </row>
    <row r="2366" spans="1:33">
      <c r="A2366" s="2" t="s">
        <v>31</v>
      </c>
      <c r="B2366" s="2" t="s">
        <v>19</v>
      </c>
      <c r="C2366" s="1">
        <v>0.47727961800000002</v>
      </c>
      <c r="D2366">
        <v>0.66941086400000005</v>
      </c>
      <c r="E2366">
        <v>0.69294815300000001</v>
      </c>
      <c r="F2366" s="1" t="s">
        <v>32</v>
      </c>
      <c r="G2366" s="1">
        <v>1.341891892</v>
      </c>
      <c r="H2366" s="1">
        <v>42.1</v>
      </c>
      <c r="I2366" s="1">
        <v>74</v>
      </c>
      <c r="J2366" s="1">
        <v>0.61321287833333338</v>
      </c>
      <c r="K2366" s="1">
        <v>0.49391595300000002</v>
      </c>
      <c r="L2366" s="1">
        <v>0.603599314</v>
      </c>
      <c r="M2366" s="3">
        <v>0.63481471599999995</v>
      </c>
      <c r="N2366" s="1" t="s">
        <v>20</v>
      </c>
      <c r="O2366" s="1">
        <v>1.2140902870000001</v>
      </c>
      <c r="P2366" s="1">
        <v>64.900000000000006</v>
      </c>
      <c r="Q2366" s="1">
        <v>146.19999999999999</v>
      </c>
      <c r="R2366" s="1">
        <v>0.57744332766666662</v>
      </c>
      <c r="S2366" s="1">
        <v>8.9372390888169201E-2</v>
      </c>
      <c r="T2366" t="s">
        <v>2513</v>
      </c>
      <c r="U2366" s="1">
        <v>1382</v>
      </c>
      <c r="V2366">
        <f t="shared" si="144"/>
        <v>0.34894533811535333</v>
      </c>
      <c r="W2366" s="1">
        <f t="shared" si="145"/>
        <v>22.800000000000004</v>
      </c>
      <c r="X2366">
        <f t="shared" si="146"/>
        <v>0.12780160499999993</v>
      </c>
      <c r="Y2366">
        <f t="shared" si="147"/>
        <v>72.199999999999989</v>
      </c>
      <c r="Z2366" s="1">
        <v>9</v>
      </c>
      <c r="AA2366">
        <v>91</v>
      </c>
      <c r="AB2366">
        <v>9.8900000000000002E-2</v>
      </c>
      <c r="AC2366">
        <v>11</v>
      </c>
      <c r="AD2366">
        <v>85</v>
      </c>
      <c r="AE2366">
        <v>0.12939999999999999</v>
      </c>
      <c r="AF2366" t="s">
        <v>2589</v>
      </c>
      <c r="AG2366" t="s">
        <v>2593</v>
      </c>
    </row>
    <row r="2367" spans="1:33">
      <c r="A2367" s="2" t="s">
        <v>31</v>
      </c>
      <c r="B2367" s="2" t="s">
        <v>21</v>
      </c>
      <c r="C2367" s="1">
        <v>0.47727961800000002</v>
      </c>
      <c r="D2367">
        <v>0.66941086400000005</v>
      </c>
      <c r="E2367">
        <v>0.69294815300000001</v>
      </c>
      <c r="F2367" s="1" t="s">
        <v>32</v>
      </c>
      <c r="G2367" s="1">
        <v>1.341891892</v>
      </c>
      <c r="H2367" s="1">
        <v>42.1</v>
      </c>
      <c r="I2367" s="1">
        <v>74</v>
      </c>
      <c r="J2367" s="1">
        <v>0.61321287833333338</v>
      </c>
      <c r="K2367" s="1">
        <v>0.53276376800000003</v>
      </c>
      <c r="L2367" s="1">
        <v>0.65428149899999999</v>
      </c>
      <c r="M2367" s="3">
        <v>0.70160154799999996</v>
      </c>
      <c r="N2367" s="1" t="s">
        <v>22</v>
      </c>
      <c r="O2367" s="1">
        <v>1.2440604749999999</v>
      </c>
      <c r="P2367" s="1">
        <v>24.6</v>
      </c>
      <c r="Q2367" s="1">
        <v>46.3</v>
      </c>
      <c r="R2367" s="1">
        <v>0.62954893833333336</v>
      </c>
      <c r="S2367" s="1">
        <v>5.8157285283545967E-2</v>
      </c>
      <c r="T2367" t="s">
        <v>2514</v>
      </c>
      <c r="U2367" s="1">
        <v>45446</v>
      </c>
      <c r="V2367">
        <f t="shared" si="144"/>
        <v>0.51749951823770912</v>
      </c>
      <c r="W2367" s="1">
        <f t="shared" si="145"/>
        <v>17.5</v>
      </c>
      <c r="X2367">
        <f t="shared" si="146"/>
        <v>9.7831417000000087E-2</v>
      </c>
      <c r="Y2367">
        <f t="shared" si="147"/>
        <v>27.700000000000003</v>
      </c>
      <c r="Z2367" s="1">
        <v>3</v>
      </c>
      <c r="AA2367">
        <v>97</v>
      </c>
      <c r="AB2367">
        <v>3.09E-2</v>
      </c>
      <c r="AC2367">
        <v>3</v>
      </c>
      <c r="AD2367">
        <v>99</v>
      </c>
      <c r="AE2367">
        <v>3.0300000000000001E-2</v>
      </c>
      <c r="AF2367" t="s">
        <v>2589</v>
      </c>
      <c r="AG2367" t="s">
        <v>2589</v>
      </c>
    </row>
    <row r="2368" spans="1:33">
      <c r="A2368" s="2" t="s">
        <v>31</v>
      </c>
      <c r="B2368" s="2" t="s">
        <v>23</v>
      </c>
      <c r="C2368" s="1">
        <v>0.47727961800000002</v>
      </c>
      <c r="D2368">
        <v>0.66941086400000005</v>
      </c>
      <c r="E2368">
        <v>0.69294815300000001</v>
      </c>
      <c r="F2368" s="1" t="s">
        <v>32</v>
      </c>
      <c r="G2368" s="1">
        <v>1.341891892</v>
      </c>
      <c r="H2368" s="1">
        <v>42.1</v>
      </c>
      <c r="I2368" s="1">
        <v>74</v>
      </c>
      <c r="J2368" s="1">
        <v>0.61321287833333338</v>
      </c>
      <c r="K2368" s="1">
        <v>0.49415677200000002</v>
      </c>
      <c r="L2368" s="1">
        <v>0.62090818999999997</v>
      </c>
      <c r="M2368" s="3">
        <v>0.63381026900000004</v>
      </c>
      <c r="N2368" s="1" t="s">
        <v>24</v>
      </c>
      <c r="O2368" s="1">
        <v>1.141304348</v>
      </c>
      <c r="P2368" s="1">
        <v>44.4</v>
      </c>
      <c r="Q2368" s="1">
        <v>101.2</v>
      </c>
      <c r="R2368" s="1">
        <v>0.58295841033333329</v>
      </c>
      <c r="S2368" s="1">
        <v>7.8323923779950219E-2</v>
      </c>
      <c r="T2368" t="s">
        <v>2515</v>
      </c>
      <c r="U2368" s="1">
        <v>980</v>
      </c>
      <c r="V2368">
        <f t="shared" si="144"/>
        <v>0.33235845285472165</v>
      </c>
      <c r="W2368" s="1">
        <f t="shared" si="145"/>
        <v>2.2999999999999972</v>
      </c>
      <c r="X2368">
        <f t="shared" si="146"/>
        <v>0.20058754400000001</v>
      </c>
      <c r="Y2368">
        <f t="shared" si="147"/>
        <v>27.200000000000003</v>
      </c>
      <c r="Z2368" s="1">
        <v>3</v>
      </c>
      <c r="AA2368">
        <v>97</v>
      </c>
      <c r="AB2368">
        <v>3.09E-2</v>
      </c>
      <c r="AC2368">
        <v>5</v>
      </c>
      <c r="AD2368">
        <v>93</v>
      </c>
      <c r="AE2368">
        <v>5.3800000000000001E-2</v>
      </c>
      <c r="AF2368" t="s">
        <v>2589</v>
      </c>
      <c r="AG2368" t="s">
        <v>2590</v>
      </c>
    </row>
    <row r="2369" spans="1:33">
      <c r="A2369" s="2" t="s">
        <v>31</v>
      </c>
      <c r="B2369" s="2" t="s">
        <v>25</v>
      </c>
      <c r="C2369" s="1">
        <v>0.47727961800000002</v>
      </c>
      <c r="D2369">
        <v>0.66941086400000005</v>
      </c>
      <c r="E2369">
        <v>0.69294815300000001</v>
      </c>
      <c r="F2369" s="1" t="s">
        <v>32</v>
      </c>
      <c r="G2369" s="1">
        <v>1.341891892</v>
      </c>
      <c r="H2369" s="1">
        <v>42.1</v>
      </c>
      <c r="I2369" s="1">
        <v>74</v>
      </c>
      <c r="J2369" s="1">
        <v>0.61321287833333338</v>
      </c>
      <c r="K2369" s="1">
        <v>0.53959274199999996</v>
      </c>
      <c r="L2369" s="1">
        <v>0.64971567399999997</v>
      </c>
      <c r="M2369" s="3">
        <v>0.65028459999999999</v>
      </c>
      <c r="N2369" s="1" t="s">
        <v>26</v>
      </c>
      <c r="O2369" s="1">
        <v>1.623046875</v>
      </c>
      <c r="P2369" s="1">
        <v>34.700000000000003</v>
      </c>
      <c r="Q2369" s="1">
        <v>51.2</v>
      </c>
      <c r="R2369" s="1">
        <v>0.61319767199999997</v>
      </c>
      <c r="S2369" s="1">
        <v>7.8044888918873359E-2</v>
      </c>
      <c r="T2369" t="s">
        <v>2516</v>
      </c>
      <c r="U2369" s="1">
        <v>984</v>
      </c>
      <c r="V2369">
        <f t="shared" si="144"/>
        <v>0.33255501093681572</v>
      </c>
      <c r="W2369" s="1">
        <f t="shared" si="145"/>
        <v>7.3999999999999986</v>
      </c>
      <c r="X2369">
        <f t="shared" si="146"/>
        <v>0.28115498299999997</v>
      </c>
      <c r="Y2369">
        <f t="shared" si="147"/>
        <v>22.799999999999997</v>
      </c>
      <c r="Z2369" s="1">
        <v>0</v>
      </c>
      <c r="AA2369">
        <v>100</v>
      </c>
      <c r="AB2369">
        <v>0</v>
      </c>
      <c r="AC2369">
        <v>0</v>
      </c>
      <c r="AD2369">
        <v>100</v>
      </c>
      <c r="AE2369">
        <v>0</v>
      </c>
      <c r="AF2369" t="s">
        <v>2589</v>
      </c>
      <c r="AG2369" t="s">
        <v>2594</v>
      </c>
    </row>
    <row r="2370" spans="1:33">
      <c r="A2370" s="2" t="s">
        <v>31</v>
      </c>
      <c r="B2370" s="2" t="s">
        <v>27</v>
      </c>
      <c r="C2370" s="1">
        <v>0.47727961800000002</v>
      </c>
      <c r="D2370">
        <v>0.66941086400000005</v>
      </c>
      <c r="E2370">
        <v>0.69294815300000001</v>
      </c>
      <c r="F2370" s="1" t="s">
        <v>32</v>
      </c>
      <c r="G2370" s="1">
        <v>1.341891892</v>
      </c>
      <c r="H2370" s="1">
        <v>42.1</v>
      </c>
      <c r="I2370" s="1">
        <v>74</v>
      </c>
      <c r="J2370" s="1">
        <v>0.61321287833333338</v>
      </c>
      <c r="K2370" s="1">
        <v>0.518608662</v>
      </c>
      <c r="L2370" s="1">
        <v>0.64320369700000002</v>
      </c>
      <c r="M2370" s="3">
        <v>0.62228994199999998</v>
      </c>
      <c r="N2370" s="1" t="s">
        <v>28</v>
      </c>
      <c r="O2370" s="1">
        <v>1.8717391299999999</v>
      </c>
      <c r="P2370" s="1">
        <v>33.700000000000003</v>
      </c>
      <c r="Q2370" s="1">
        <v>46</v>
      </c>
      <c r="R2370" s="1">
        <v>0.59470076699999996</v>
      </c>
      <c r="S2370" s="1">
        <v>8.5950498903964195E-2</v>
      </c>
      <c r="T2370" t="s">
        <v>2517</v>
      </c>
      <c r="U2370" s="1">
        <v>495</v>
      </c>
      <c r="V2370">
        <f t="shared" ref="V2370:V2416" si="148">LOG10(U2370) / 9</f>
        <v>0.29940057765928541</v>
      </c>
      <c r="W2370" s="1">
        <f t="shared" ref="W2370:W2416" si="149">ABS(H2370-P2370)</f>
        <v>8.3999999999999986</v>
      </c>
      <c r="X2370">
        <f t="shared" ref="X2370:X2416" si="150">ABS(G2370-O2370)</f>
        <v>0.52984723799999989</v>
      </c>
      <c r="Y2370">
        <f t="shared" ref="Y2370:Y2416" si="151">ABS(I2370-Q2370)</f>
        <v>28</v>
      </c>
      <c r="Z2370" s="1">
        <v>2</v>
      </c>
      <c r="AA2370">
        <v>98</v>
      </c>
      <c r="AB2370">
        <v>2.0400000000000001E-2</v>
      </c>
      <c r="AC2370">
        <v>3</v>
      </c>
      <c r="AD2370">
        <v>104</v>
      </c>
      <c r="AE2370">
        <v>2.8799999999999999E-2</v>
      </c>
      <c r="AF2370" t="s">
        <v>2589</v>
      </c>
      <c r="AG2370" t="s">
        <v>2590</v>
      </c>
    </row>
    <row r="2371" spans="1:33">
      <c r="A2371" s="2" t="s">
        <v>31</v>
      </c>
      <c r="B2371" s="2" t="s">
        <v>29</v>
      </c>
      <c r="C2371" s="1">
        <v>0.47727961800000002</v>
      </c>
      <c r="D2371">
        <v>0.66941086400000005</v>
      </c>
      <c r="E2371">
        <v>0.69294815300000001</v>
      </c>
      <c r="F2371" s="1" t="s">
        <v>32</v>
      </c>
      <c r="G2371" s="1">
        <v>1.341891892</v>
      </c>
      <c r="H2371" s="1">
        <v>42.1</v>
      </c>
      <c r="I2371" s="1">
        <v>74</v>
      </c>
      <c r="J2371" s="1">
        <v>0.61321287833333338</v>
      </c>
      <c r="K2371" s="1">
        <v>0.59351545100000003</v>
      </c>
      <c r="L2371" s="1">
        <v>0.68136602400000001</v>
      </c>
      <c r="M2371" s="3">
        <v>0.73518087600000004</v>
      </c>
      <c r="N2371" s="1" t="s">
        <v>30</v>
      </c>
      <c r="O2371" s="1">
        <v>2.849112426</v>
      </c>
      <c r="P2371" s="1">
        <v>37.9</v>
      </c>
      <c r="Q2371" s="1">
        <v>33.799999999999997</v>
      </c>
      <c r="R2371" s="1">
        <v>0.67002078366666673</v>
      </c>
      <c r="S2371" s="1">
        <v>0.12424692195714236</v>
      </c>
      <c r="T2371" t="s">
        <v>2518</v>
      </c>
      <c r="U2371" s="1">
        <v>231</v>
      </c>
      <c r="V2371">
        <f t="shared" si="148"/>
        <v>0.2626235533213494</v>
      </c>
      <c r="W2371" s="1">
        <f t="shared" si="149"/>
        <v>4.2000000000000028</v>
      </c>
      <c r="X2371">
        <f t="shared" si="150"/>
        <v>1.507220534</v>
      </c>
      <c r="Y2371">
        <f t="shared" si="151"/>
        <v>40.200000000000003</v>
      </c>
      <c r="Z2371" s="1">
        <v>0</v>
      </c>
      <c r="AA2371">
        <v>100</v>
      </c>
      <c r="AB2371">
        <v>0</v>
      </c>
      <c r="AC2371">
        <v>0</v>
      </c>
      <c r="AD2371">
        <v>96</v>
      </c>
      <c r="AE2371">
        <v>0</v>
      </c>
      <c r="AF2371" t="s">
        <v>2589</v>
      </c>
      <c r="AG2371" t="s">
        <v>2593</v>
      </c>
    </row>
    <row r="2372" spans="1:33">
      <c r="A2372" s="2" t="s">
        <v>29</v>
      </c>
      <c r="B2372" s="2" t="s">
        <v>10</v>
      </c>
      <c r="C2372" s="1">
        <v>0.59351545100000003</v>
      </c>
      <c r="D2372">
        <v>0.68136602400000001</v>
      </c>
      <c r="E2372">
        <v>0.73518087600000004</v>
      </c>
      <c r="F2372" s="1" t="s">
        <v>30</v>
      </c>
      <c r="G2372" s="1">
        <v>2.849112426</v>
      </c>
      <c r="H2372" s="1">
        <v>37.9</v>
      </c>
      <c r="I2372" s="1">
        <v>33.799999999999997</v>
      </c>
      <c r="J2372" s="1">
        <v>0.67002078366666673</v>
      </c>
      <c r="K2372" s="1">
        <v>0.52456325500000001</v>
      </c>
      <c r="L2372" s="1">
        <v>0.61925627999999999</v>
      </c>
      <c r="M2372" s="3">
        <v>0.72111139899999999</v>
      </c>
      <c r="N2372" s="1" t="s">
        <v>12</v>
      </c>
      <c r="O2372" s="1">
        <v>0.61690647499999995</v>
      </c>
      <c r="P2372" s="1">
        <v>30</v>
      </c>
      <c r="Q2372" s="1">
        <v>111.2</v>
      </c>
      <c r="R2372" s="1">
        <v>0.62164364466666666</v>
      </c>
      <c r="S2372" s="1">
        <v>9.3861471414108402E-2</v>
      </c>
      <c r="T2372" t="s">
        <v>2519</v>
      </c>
      <c r="U2372" s="1">
        <v>134</v>
      </c>
      <c r="V2372">
        <f t="shared" si="148"/>
        <v>0.23634497759608974</v>
      </c>
      <c r="W2372" s="1">
        <f t="shared" si="149"/>
        <v>7.8999999999999986</v>
      </c>
      <c r="X2372">
        <f t="shared" si="150"/>
        <v>2.2322059510000001</v>
      </c>
      <c r="Y2372">
        <f t="shared" si="151"/>
        <v>77.400000000000006</v>
      </c>
      <c r="Z2372" s="1">
        <v>0</v>
      </c>
      <c r="AA2372">
        <v>100</v>
      </c>
      <c r="AB2372">
        <v>0</v>
      </c>
      <c r="AC2372">
        <v>0</v>
      </c>
      <c r="AD2372">
        <v>151</v>
      </c>
      <c r="AE2372">
        <v>0</v>
      </c>
      <c r="AF2372" t="s">
        <v>2593</v>
      </c>
      <c r="AG2372" t="s">
        <v>2588</v>
      </c>
    </row>
    <row r="2373" spans="1:33">
      <c r="A2373" s="2" t="s">
        <v>29</v>
      </c>
      <c r="B2373" s="2" t="s">
        <v>13</v>
      </c>
      <c r="C2373" s="1">
        <v>0.59351545100000003</v>
      </c>
      <c r="D2373">
        <v>0.68136602400000001</v>
      </c>
      <c r="E2373">
        <v>0.73518087600000004</v>
      </c>
      <c r="F2373" s="1" t="s">
        <v>30</v>
      </c>
      <c r="G2373" s="1">
        <v>2.849112426</v>
      </c>
      <c r="H2373" s="1">
        <v>37.9</v>
      </c>
      <c r="I2373" s="1">
        <v>33.799999999999997</v>
      </c>
      <c r="J2373" s="1">
        <v>0.67002078366666673</v>
      </c>
      <c r="K2373" s="1">
        <v>0.48695497399999998</v>
      </c>
      <c r="L2373" s="1">
        <v>0.54991327199999995</v>
      </c>
      <c r="M2373" s="3">
        <v>0.67282609299999996</v>
      </c>
      <c r="N2373" s="1" t="s">
        <v>14</v>
      </c>
      <c r="O2373" s="1">
        <v>1.6052009460000001</v>
      </c>
      <c r="P2373" s="1">
        <v>26.6</v>
      </c>
      <c r="Q2373" s="1">
        <v>42.3</v>
      </c>
      <c r="R2373" s="1">
        <v>0.56989811299999993</v>
      </c>
      <c r="S2373" s="1">
        <v>0.18034156545238858</v>
      </c>
      <c r="T2373" t="s">
        <v>2520</v>
      </c>
      <c r="U2373" s="1">
        <v>123</v>
      </c>
      <c r="V2373">
        <f t="shared" si="148"/>
        <v>0.23221167904882201</v>
      </c>
      <c r="W2373" s="1">
        <f t="shared" si="149"/>
        <v>11.299999999999997</v>
      </c>
      <c r="X2373">
        <f t="shared" si="150"/>
        <v>1.24391148</v>
      </c>
      <c r="Y2373">
        <f t="shared" si="151"/>
        <v>8.5</v>
      </c>
      <c r="Z2373" s="1">
        <v>1</v>
      </c>
      <c r="AA2373">
        <v>99</v>
      </c>
      <c r="AB2373">
        <v>1.01E-2</v>
      </c>
      <c r="AC2373">
        <v>1</v>
      </c>
      <c r="AD2373">
        <v>97</v>
      </c>
      <c r="AE2373">
        <v>1.03E-2</v>
      </c>
      <c r="AF2373" t="s">
        <v>2593</v>
      </c>
      <c r="AG2373" t="s">
        <v>2590</v>
      </c>
    </row>
    <row r="2374" spans="1:33">
      <c r="A2374" s="2" t="s">
        <v>29</v>
      </c>
      <c r="B2374" s="2" t="s">
        <v>15</v>
      </c>
      <c r="C2374" s="1">
        <v>0.59351545100000003</v>
      </c>
      <c r="D2374">
        <v>0.68136602400000001</v>
      </c>
      <c r="E2374">
        <v>0.73518087600000004</v>
      </c>
      <c r="F2374" s="1" t="s">
        <v>30</v>
      </c>
      <c r="G2374" s="1">
        <v>2.849112426</v>
      </c>
      <c r="H2374" s="1">
        <v>37.9</v>
      </c>
      <c r="I2374" s="1">
        <v>33.799999999999997</v>
      </c>
      <c r="J2374" s="1">
        <v>0.67002078366666673</v>
      </c>
      <c r="K2374" s="1">
        <v>0.54560998800000005</v>
      </c>
      <c r="L2374" s="1">
        <v>0.66721428400000005</v>
      </c>
      <c r="M2374" s="3">
        <v>0.72650398400000005</v>
      </c>
      <c r="N2374" s="1" t="s">
        <v>16</v>
      </c>
      <c r="O2374" s="1">
        <v>5.1392405060000002</v>
      </c>
      <c r="P2374" s="1">
        <v>35.9</v>
      </c>
      <c r="Q2374" s="1">
        <v>15.8</v>
      </c>
      <c r="R2374" s="1">
        <v>0.64644275200000012</v>
      </c>
      <c r="S2374" s="1">
        <v>5.0700035355526432E-2</v>
      </c>
      <c r="T2374" t="s">
        <v>2521</v>
      </c>
      <c r="U2374" s="1">
        <v>11811</v>
      </c>
      <c r="V2374">
        <f t="shared" si="148"/>
        <v>0.45247629661221023</v>
      </c>
      <c r="W2374" s="1">
        <f t="shared" si="149"/>
        <v>2</v>
      </c>
      <c r="X2374">
        <f t="shared" si="150"/>
        <v>2.2901280800000001</v>
      </c>
      <c r="Y2374">
        <f t="shared" si="151"/>
        <v>17.999999999999996</v>
      </c>
      <c r="Z2374" s="1">
        <v>23</v>
      </c>
      <c r="AA2374">
        <v>77</v>
      </c>
      <c r="AB2374">
        <v>0.29870000000000002</v>
      </c>
      <c r="AC2374">
        <v>25</v>
      </c>
      <c r="AD2374">
        <v>69</v>
      </c>
      <c r="AE2374">
        <v>0.36230000000000001</v>
      </c>
      <c r="AF2374" t="s">
        <v>2593</v>
      </c>
      <c r="AG2374" t="s">
        <v>2591</v>
      </c>
    </row>
    <row r="2375" spans="1:33">
      <c r="A2375" s="2" t="s">
        <v>29</v>
      </c>
      <c r="B2375" s="2" t="s">
        <v>17</v>
      </c>
      <c r="C2375" s="1">
        <v>0.59351545100000003</v>
      </c>
      <c r="D2375">
        <v>0.68136602400000001</v>
      </c>
      <c r="E2375">
        <v>0.73518087600000004</v>
      </c>
      <c r="F2375" s="1" t="s">
        <v>30</v>
      </c>
      <c r="G2375" s="1">
        <v>2.849112426</v>
      </c>
      <c r="H2375" s="1">
        <v>37.9</v>
      </c>
      <c r="I2375" s="1">
        <v>33.799999999999997</v>
      </c>
      <c r="J2375" s="1">
        <v>0.67002078366666673</v>
      </c>
      <c r="K2375" s="1">
        <v>0.659112378</v>
      </c>
      <c r="L2375" s="1">
        <v>0.68333493499999998</v>
      </c>
      <c r="M2375" s="3">
        <v>0.70345495199999997</v>
      </c>
      <c r="N2375" s="1" t="s">
        <v>18</v>
      </c>
      <c r="O2375" s="1">
        <v>1.9463955639999999</v>
      </c>
      <c r="P2375" s="1">
        <v>46.3</v>
      </c>
      <c r="Q2375" s="1">
        <v>54.1</v>
      </c>
      <c r="R2375" s="1">
        <v>0.68196742166666668</v>
      </c>
      <c r="S2375" s="1">
        <v>7.2892850788146751E-2</v>
      </c>
      <c r="T2375" t="s">
        <v>2522</v>
      </c>
      <c r="U2375" s="1">
        <v>5287</v>
      </c>
      <c r="V2375">
        <f t="shared" si="148"/>
        <v>0.41368992337834576</v>
      </c>
      <c r="W2375" s="1">
        <f t="shared" si="149"/>
        <v>8.3999999999999986</v>
      </c>
      <c r="X2375">
        <f t="shared" si="150"/>
        <v>0.90271686200000012</v>
      </c>
      <c r="Y2375">
        <f t="shared" si="151"/>
        <v>20.300000000000004</v>
      </c>
      <c r="Z2375" s="1">
        <v>18</v>
      </c>
      <c r="AA2375">
        <v>82</v>
      </c>
      <c r="AB2375">
        <v>0.2195</v>
      </c>
      <c r="AC2375">
        <v>19</v>
      </c>
      <c r="AD2375">
        <v>89</v>
      </c>
      <c r="AE2375">
        <v>0.2135</v>
      </c>
      <c r="AF2375" t="s">
        <v>2593</v>
      </c>
      <c r="AG2375" t="s">
        <v>2591</v>
      </c>
    </row>
    <row r="2376" spans="1:33">
      <c r="A2376" s="2" t="s">
        <v>29</v>
      </c>
      <c r="B2376" s="2" t="s">
        <v>19</v>
      </c>
      <c r="C2376" s="1">
        <v>0.59351545100000003</v>
      </c>
      <c r="D2376">
        <v>0.68136602400000001</v>
      </c>
      <c r="E2376">
        <v>0.73518087600000004</v>
      </c>
      <c r="F2376" s="1" t="s">
        <v>30</v>
      </c>
      <c r="G2376" s="1">
        <v>2.849112426</v>
      </c>
      <c r="H2376" s="1">
        <v>37.9</v>
      </c>
      <c r="I2376" s="1">
        <v>33.799999999999997</v>
      </c>
      <c r="J2376" s="1">
        <v>0.67002078366666673</v>
      </c>
      <c r="K2376" s="1">
        <v>0.49391595300000002</v>
      </c>
      <c r="L2376" s="1">
        <v>0.603599314</v>
      </c>
      <c r="M2376" s="3">
        <v>0.63481471599999995</v>
      </c>
      <c r="N2376" s="1" t="s">
        <v>20</v>
      </c>
      <c r="O2376" s="1">
        <v>1.2140902870000001</v>
      </c>
      <c r="P2376" s="1">
        <v>64.900000000000006</v>
      </c>
      <c r="Q2376" s="1">
        <v>146.19999999999999</v>
      </c>
      <c r="R2376" s="1">
        <v>0.57744332766666662</v>
      </c>
      <c r="S2376" s="1">
        <v>0.16137251085368204</v>
      </c>
      <c r="T2376" t="s">
        <v>2523</v>
      </c>
      <c r="U2376" s="1">
        <v>43670</v>
      </c>
      <c r="V2376">
        <f t="shared" si="148"/>
        <v>0.51557591021348226</v>
      </c>
      <c r="W2376" s="1">
        <f t="shared" si="149"/>
        <v>27.000000000000007</v>
      </c>
      <c r="X2376">
        <f t="shared" si="150"/>
        <v>1.6350221389999999</v>
      </c>
      <c r="Y2376">
        <f t="shared" si="151"/>
        <v>112.39999999999999</v>
      </c>
      <c r="Z2376" s="1">
        <v>3</v>
      </c>
      <c r="AA2376">
        <v>97</v>
      </c>
      <c r="AB2376">
        <v>3.09E-2</v>
      </c>
      <c r="AC2376">
        <v>3</v>
      </c>
      <c r="AD2376">
        <v>85</v>
      </c>
      <c r="AE2376">
        <v>3.5299999999999998E-2</v>
      </c>
      <c r="AF2376" t="s">
        <v>2593</v>
      </c>
      <c r="AG2376" t="s">
        <v>2593</v>
      </c>
    </row>
    <row r="2377" spans="1:33">
      <c r="A2377" s="2" t="s">
        <v>29</v>
      </c>
      <c r="B2377" s="2" t="s">
        <v>21</v>
      </c>
      <c r="C2377" s="1">
        <v>0.59351545100000003</v>
      </c>
      <c r="D2377">
        <v>0.68136602400000001</v>
      </c>
      <c r="E2377">
        <v>0.73518087600000004</v>
      </c>
      <c r="F2377" s="1" t="s">
        <v>30</v>
      </c>
      <c r="G2377" s="1">
        <v>2.849112426</v>
      </c>
      <c r="H2377" s="1">
        <v>37.9</v>
      </c>
      <c r="I2377" s="1">
        <v>33.799999999999997</v>
      </c>
      <c r="J2377" s="1">
        <v>0.67002078366666673</v>
      </c>
      <c r="K2377" s="1">
        <v>0.53276376800000003</v>
      </c>
      <c r="L2377" s="1">
        <v>0.65428149899999999</v>
      </c>
      <c r="M2377" s="3">
        <v>0.70160154799999996</v>
      </c>
      <c r="N2377" s="1" t="s">
        <v>22</v>
      </c>
      <c r="O2377" s="1">
        <v>1.2440604749999999</v>
      </c>
      <c r="P2377" s="1">
        <v>24.6</v>
      </c>
      <c r="Q2377" s="1">
        <v>46.3</v>
      </c>
      <c r="R2377" s="1">
        <v>0.62954893833333336</v>
      </c>
      <c r="S2377" s="1">
        <v>7.4511138434060348E-2</v>
      </c>
      <c r="T2377" t="s">
        <v>2524</v>
      </c>
      <c r="U2377" s="1">
        <v>363</v>
      </c>
      <c r="V2377">
        <f t="shared" si="148"/>
        <v>0.28443406944845695</v>
      </c>
      <c r="W2377" s="1">
        <f t="shared" si="149"/>
        <v>13.299999999999997</v>
      </c>
      <c r="X2377">
        <f t="shared" si="150"/>
        <v>1.6050519510000001</v>
      </c>
      <c r="Y2377">
        <f t="shared" si="151"/>
        <v>12.5</v>
      </c>
      <c r="Z2377" s="1">
        <v>0</v>
      </c>
      <c r="AA2377">
        <v>100</v>
      </c>
      <c r="AB2377">
        <v>0</v>
      </c>
      <c r="AC2377">
        <v>0</v>
      </c>
      <c r="AD2377">
        <v>94</v>
      </c>
      <c r="AE2377">
        <v>0</v>
      </c>
      <c r="AF2377" t="s">
        <v>2593</v>
      </c>
      <c r="AG2377" t="s">
        <v>2589</v>
      </c>
    </row>
    <row r="2378" spans="1:33">
      <c r="A2378" s="2" t="s">
        <v>29</v>
      </c>
      <c r="B2378" s="2" t="s">
        <v>23</v>
      </c>
      <c r="C2378" s="1">
        <v>0.59351545100000003</v>
      </c>
      <c r="D2378">
        <v>0.68136602400000001</v>
      </c>
      <c r="E2378">
        <v>0.73518087600000004</v>
      </c>
      <c r="F2378" s="1" t="s">
        <v>30</v>
      </c>
      <c r="G2378" s="1">
        <v>2.849112426</v>
      </c>
      <c r="H2378" s="1">
        <v>37.9</v>
      </c>
      <c r="I2378" s="1">
        <v>33.799999999999997</v>
      </c>
      <c r="J2378" s="1">
        <v>0.67002078366666673</v>
      </c>
      <c r="K2378" s="1">
        <v>0.49415677200000002</v>
      </c>
      <c r="L2378" s="1">
        <v>0.62090818999999997</v>
      </c>
      <c r="M2378" s="3">
        <v>0.63381026900000004</v>
      </c>
      <c r="N2378" s="1" t="s">
        <v>24</v>
      </c>
      <c r="O2378" s="1">
        <v>1.141304348</v>
      </c>
      <c r="P2378" s="1">
        <v>44.4</v>
      </c>
      <c r="Q2378" s="1">
        <v>101.2</v>
      </c>
      <c r="R2378" s="1">
        <v>0.58295841033333329</v>
      </c>
      <c r="S2378" s="1">
        <v>0.15428317065754468</v>
      </c>
      <c r="T2378" t="s">
        <v>2525</v>
      </c>
      <c r="U2378" s="1">
        <v>226</v>
      </c>
      <c r="V2378">
        <f t="shared" si="148"/>
        <v>0.26156760434971121</v>
      </c>
      <c r="W2378" s="1">
        <f t="shared" si="149"/>
        <v>6.5</v>
      </c>
      <c r="X2378">
        <f t="shared" si="150"/>
        <v>1.707808078</v>
      </c>
      <c r="Y2378">
        <f t="shared" si="151"/>
        <v>67.400000000000006</v>
      </c>
      <c r="Z2378" s="1">
        <v>1</v>
      </c>
      <c r="AA2378">
        <v>99</v>
      </c>
      <c r="AB2378">
        <v>1.01E-2</v>
      </c>
      <c r="AC2378">
        <v>1</v>
      </c>
      <c r="AD2378">
        <v>89</v>
      </c>
      <c r="AE2378">
        <v>1.12E-2</v>
      </c>
      <c r="AF2378" t="s">
        <v>2593</v>
      </c>
      <c r="AG2378" t="s">
        <v>2590</v>
      </c>
    </row>
    <row r="2379" spans="1:33">
      <c r="A2379" s="2" t="s">
        <v>29</v>
      </c>
      <c r="B2379" s="2" t="s">
        <v>25</v>
      </c>
      <c r="C2379" s="1">
        <v>0.59351545100000003</v>
      </c>
      <c r="D2379">
        <v>0.68136602400000001</v>
      </c>
      <c r="E2379">
        <v>0.73518087600000004</v>
      </c>
      <c r="F2379" s="1" t="s">
        <v>30</v>
      </c>
      <c r="G2379" s="1">
        <v>2.849112426</v>
      </c>
      <c r="H2379" s="1">
        <v>37.9</v>
      </c>
      <c r="I2379" s="1">
        <v>33.799999999999997</v>
      </c>
      <c r="J2379" s="1">
        <v>0.67002078366666673</v>
      </c>
      <c r="K2379" s="1">
        <v>0.53959274199999996</v>
      </c>
      <c r="L2379" s="1">
        <v>0.64971567399999997</v>
      </c>
      <c r="M2379" s="3">
        <v>0.65028459999999999</v>
      </c>
      <c r="N2379" s="1" t="s">
        <v>26</v>
      </c>
      <c r="O2379" s="1">
        <v>1.623046875</v>
      </c>
      <c r="P2379" s="1">
        <v>34.700000000000003</v>
      </c>
      <c r="Q2379" s="1">
        <v>51.2</v>
      </c>
      <c r="R2379" s="1">
        <v>0.61319767199999997</v>
      </c>
      <c r="S2379" s="1">
        <v>0.10543614598271969</v>
      </c>
      <c r="T2379" t="s">
        <v>2526</v>
      </c>
      <c r="U2379" s="1">
        <v>159</v>
      </c>
      <c r="V2379">
        <f t="shared" si="148"/>
        <v>0.24459968048005015</v>
      </c>
      <c r="W2379" s="1">
        <f t="shared" si="149"/>
        <v>3.1999999999999957</v>
      </c>
      <c r="X2379">
        <f t="shared" si="150"/>
        <v>1.226065551</v>
      </c>
      <c r="Y2379">
        <f t="shared" si="151"/>
        <v>17.400000000000006</v>
      </c>
      <c r="Z2379" s="1">
        <v>0</v>
      </c>
      <c r="AA2379">
        <v>100</v>
      </c>
      <c r="AB2379">
        <v>0</v>
      </c>
      <c r="AC2379">
        <v>0</v>
      </c>
      <c r="AD2379">
        <v>92</v>
      </c>
      <c r="AE2379">
        <v>0</v>
      </c>
      <c r="AF2379" t="s">
        <v>2593</v>
      </c>
      <c r="AG2379" t="s">
        <v>2594</v>
      </c>
    </row>
    <row r="2380" spans="1:33">
      <c r="A2380" s="2" t="s">
        <v>29</v>
      </c>
      <c r="B2380" s="2" t="s">
        <v>27</v>
      </c>
      <c r="C2380" s="1">
        <v>0.59351545100000003</v>
      </c>
      <c r="D2380">
        <v>0.68136602400000001</v>
      </c>
      <c r="E2380">
        <v>0.73518087600000004</v>
      </c>
      <c r="F2380" s="1" t="s">
        <v>30</v>
      </c>
      <c r="G2380" s="1">
        <v>2.849112426</v>
      </c>
      <c r="H2380" s="1">
        <v>37.9</v>
      </c>
      <c r="I2380" s="1">
        <v>33.799999999999997</v>
      </c>
      <c r="J2380" s="1">
        <v>0.67002078366666673</v>
      </c>
      <c r="K2380" s="1">
        <v>0.518608662</v>
      </c>
      <c r="L2380" s="1">
        <v>0.64320369700000002</v>
      </c>
      <c r="M2380" s="3">
        <v>0.62228994199999998</v>
      </c>
      <c r="N2380" s="1" t="s">
        <v>28</v>
      </c>
      <c r="O2380" s="1">
        <v>1.8717391299999999</v>
      </c>
      <c r="P2380" s="1">
        <v>33.700000000000003</v>
      </c>
      <c r="Q2380" s="1">
        <v>46</v>
      </c>
      <c r="R2380" s="1">
        <v>0.59470076699999996</v>
      </c>
      <c r="S2380" s="1">
        <v>0.14075422984670061</v>
      </c>
      <c r="T2380" t="s">
        <v>2527</v>
      </c>
      <c r="U2380" s="1">
        <v>128</v>
      </c>
      <c r="V2380">
        <f t="shared" si="148"/>
        <v>0.23413444107198536</v>
      </c>
      <c r="W2380" s="1">
        <f t="shared" si="149"/>
        <v>4.1999999999999957</v>
      </c>
      <c r="X2380">
        <f t="shared" si="150"/>
        <v>0.97737329600000011</v>
      </c>
      <c r="Y2380">
        <f t="shared" si="151"/>
        <v>12.200000000000003</v>
      </c>
      <c r="Z2380" s="1">
        <v>1</v>
      </c>
      <c r="AA2380">
        <v>99</v>
      </c>
      <c r="AB2380">
        <v>1.01E-2</v>
      </c>
      <c r="AC2380">
        <v>1</v>
      </c>
      <c r="AD2380">
        <v>98</v>
      </c>
      <c r="AE2380">
        <v>1.0200000000000001E-2</v>
      </c>
      <c r="AF2380" t="s">
        <v>2593</v>
      </c>
      <c r="AG2380" t="s">
        <v>2590</v>
      </c>
    </row>
    <row r="2381" spans="1:33">
      <c r="A2381" s="2" t="s">
        <v>27</v>
      </c>
      <c r="B2381" s="2" t="s">
        <v>10</v>
      </c>
      <c r="C2381" s="1">
        <v>0.518608662</v>
      </c>
      <c r="D2381">
        <v>0.64320369700000002</v>
      </c>
      <c r="E2381">
        <v>0.62228994199999998</v>
      </c>
      <c r="F2381" s="1" t="s">
        <v>28</v>
      </c>
      <c r="G2381" s="1">
        <v>1.8717391299999999</v>
      </c>
      <c r="H2381" s="1">
        <v>33.700000000000003</v>
      </c>
      <c r="I2381" s="1">
        <v>46</v>
      </c>
      <c r="J2381" s="1">
        <v>0.59470076699999996</v>
      </c>
      <c r="K2381" s="1">
        <v>0.52456325500000001</v>
      </c>
      <c r="L2381" s="1">
        <v>0.61925627999999999</v>
      </c>
      <c r="M2381" s="3">
        <v>0.72111139899999999</v>
      </c>
      <c r="N2381" s="1" t="s">
        <v>12</v>
      </c>
      <c r="O2381" s="1">
        <v>0.61690647499999995</v>
      </c>
      <c r="P2381" s="1">
        <v>30</v>
      </c>
      <c r="Q2381" s="1">
        <v>111.2</v>
      </c>
      <c r="R2381" s="1">
        <v>0.62164364466666666</v>
      </c>
      <c r="S2381" s="1">
        <v>0.10185586052049429</v>
      </c>
      <c r="T2381" t="s">
        <v>2528</v>
      </c>
      <c r="U2381" s="1">
        <v>262</v>
      </c>
      <c r="V2381">
        <f t="shared" si="148"/>
        <v>0.26870014347997168</v>
      </c>
      <c r="W2381" s="1">
        <f t="shared" si="149"/>
        <v>3.7000000000000028</v>
      </c>
      <c r="X2381">
        <f t="shared" si="150"/>
        <v>1.254832655</v>
      </c>
      <c r="Y2381">
        <f t="shared" si="151"/>
        <v>65.2</v>
      </c>
      <c r="Z2381" s="1">
        <v>2</v>
      </c>
      <c r="AA2381">
        <v>98</v>
      </c>
      <c r="AB2381">
        <v>2.0400000000000001E-2</v>
      </c>
      <c r="AC2381">
        <v>3</v>
      </c>
      <c r="AD2381">
        <v>159</v>
      </c>
      <c r="AE2381">
        <v>1.89E-2</v>
      </c>
      <c r="AF2381" t="s">
        <v>2590</v>
      </c>
      <c r="AG2381" t="s">
        <v>2588</v>
      </c>
    </row>
    <row r="2382" spans="1:33">
      <c r="A2382" s="2" t="s">
        <v>27</v>
      </c>
      <c r="B2382" s="2" t="s">
        <v>13</v>
      </c>
      <c r="C2382" s="1">
        <v>0.518608662</v>
      </c>
      <c r="D2382">
        <v>0.64320369700000002</v>
      </c>
      <c r="E2382">
        <v>0.62228994199999998</v>
      </c>
      <c r="F2382" s="1" t="s">
        <v>28</v>
      </c>
      <c r="G2382" s="1">
        <v>1.8717391299999999</v>
      </c>
      <c r="H2382" s="1">
        <v>33.700000000000003</v>
      </c>
      <c r="I2382" s="1">
        <v>46</v>
      </c>
      <c r="J2382" s="1">
        <v>0.59470076699999996</v>
      </c>
      <c r="K2382" s="1">
        <v>0.48695497399999998</v>
      </c>
      <c r="L2382" s="1">
        <v>0.54991327199999995</v>
      </c>
      <c r="M2382" s="3">
        <v>0.67282609299999996</v>
      </c>
      <c r="N2382" s="1" t="s">
        <v>14</v>
      </c>
      <c r="O2382" s="1">
        <v>1.6052009460000001</v>
      </c>
      <c r="P2382" s="1">
        <v>26.6</v>
      </c>
      <c r="Q2382" s="1">
        <v>42.3</v>
      </c>
      <c r="R2382" s="1">
        <v>0.56989811299999993</v>
      </c>
      <c r="S2382" s="1">
        <v>0.11072019652519038</v>
      </c>
      <c r="T2382" t="s">
        <v>2529</v>
      </c>
      <c r="U2382" s="1">
        <v>1230</v>
      </c>
      <c r="V2382">
        <f t="shared" si="148"/>
        <v>0.34332279015993311</v>
      </c>
      <c r="W2382" s="1">
        <f t="shared" si="149"/>
        <v>7.1000000000000014</v>
      </c>
      <c r="X2382">
        <f t="shared" si="150"/>
        <v>0.26653818399999984</v>
      </c>
      <c r="Y2382">
        <f t="shared" si="151"/>
        <v>3.7000000000000028</v>
      </c>
      <c r="Z2382" s="1">
        <v>6</v>
      </c>
      <c r="AA2382">
        <v>94</v>
      </c>
      <c r="AB2382">
        <v>6.3799999999999996E-2</v>
      </c>
      <c r="AC2382">
        <v>9</v>
      </c>
      <c r="AD2382">
        <v>100</v>
      </c>
      <c r="AE2382">
        <v>0.09</v>
      </c>
      <c r="AF2382" t="s">
        <v>2590</v>
      </c>
      <c r="AG2382" t="s">
        <v>2590</v>
      </c>
    </row>
    <row r="2383" spans="1:33">
      <c r="A2383" s="2" t="s">
        <v>27</v>
      </c>
      <c r="B2383" s="2" t="s">
        <v>15</v>
      </c>
      <c r="C2383" s="1">
        <v>0.518608662</v>
      </c>
      <c r="D2383">
        <v>0.64320369700000002</v>
      </c>
      <c r="E2383">
        <v>0.62228994199999998</v>
      </c>
      <c r="F2383" s="1" t="s">
        <v>28</v>
      </c>
      <c r="G2383" s="1">
        <v>1.8717391299999999</v>
      </c>
      <c r="H2383" s="1">
        <v>33.700000000000003</v>
      </c>
      <c r="I2383" s="1">
        <v>46</v>
      </c>
      <c r="J2383" s="1">
        <v>0.59470076699999996</v>
      </c>
      <c r="K2383" s="1">
        <v>0.54560998800000005</v>
      </c>
      <c r="L2383" s="1">
        <v>0.66721428400000005</v>
      </c>
      <c r="M2383" s="3">
        <v>0.72650398400000005</v>
      </c>
      <c r="N2383" s="1" t="s">
        <v>16</v>
      </c>
      <c r="O2383" s="1">
        <v>5.1392405060000002</v>
      </c>
      <c r="P2383" s="1">
        <v>35.9</v>
      </c>
      <c r="Q2383" s="1">
        <v>15.8</v>
      </c>
      <c r="R2383" s="1">
        <v>0.64644275200000012</v>
      </c>
      <c r="S2383" s="1">
        <v>0.11030025586471059</v>
      </c>
      <c r="T2383" t="s">
        <v>2530</v>
      </c>
      <c r="U2383" s="1">
        <v>98</v>
      </c>
      <c r="V2383">
        <f t="shared" si="148"/>
        <v>0.22124734174361055</v>
      </c>
      <c r="W2383" s="1">
        <f t="shared" si="149"/>
        <v>2.1999999999999957</v>
      </c>
      <c r="X2383">
        <f t="shared" si="150"/>
        <v>3.2675013760000002</v>
      </c>
      <c r="Y2383">
        <f t="shared" si="151"/>
        <v>30.2</v>
      </c>
      <c r="Z2383" s="1">
        <v>3</v>
      </c>
      <c r="AA2383">
        <v>97</v>
      </c>
      <c r="AB2383">
        <v>3.09E-2</v>
      </c>
      <c r="AC2383">
        <v>3</v>
      </c>
      <c r="AD2383">
        <v>102</v>
      </c>
      <c r="AE2383">
        <v>2.9399999999999999E-2</v>
      </c>
      <c r="AF2383" t="s">
        <v>2590</v>
      </c>
      <c r="AG2383" t="s">
        <v>2591</v>
      </c>
    </row>
    <row r="2384" spans="1:33">
      <c r="A2384" s="2" t="s">
        <v>27</v>
      </c>
      <c r="B2384" s="2" t="s">
        <v>17</v>
      </c>
      <c r="C2384" s="1">
        <v>0.518608662</v>
      </c>
      <c r="D2384">
        <v>0.64320369700000002</v>
      </c>
      <c r="E2384">
        <v>0.62228994199999998</v>
      </c>
      <c r="F2384" s="1" t="s">
        <v>28</v>
      </c>
      <c r="G2384" s="1">
        <v>1.8717391299999999</v>
      </c>
      <c r="H2384" s="1">
        <v>33.700000000000003</v>
      </c>
      <c r="I2384" s="1">
        <v>46</v>
      </c>
      <c r="J2384" s="1">
        <v>0.59470076699999996</v>
      </c>
      <c r="K2384" s="1">
        <v>0.659112378</v>
      </c>
      <c r="L2384" s="1">
        <v>0.68333493499999998</v>
      </c>
      <c r="M2384" s="3">
        <v>0.70345495199999997</v>
      </c>
      <c r="N2384" s="1" t="s">
        <v>18</v>
      </c>
      <c r="O2384" s="1">
        <v>1.9463955639999999</v>
      </c>
      <c r="P2384" s="1">
        <v>46.3</v>
      </c>
      <c r="Q2384" s="1">
        <v>54.1</v>
      </c>
      <c r="R2384" s="1">
        <v>0.68196742166666668</v>
      </c>
      <c r="S2384" s="1">
        <v>0.16715133658311379</v>
      </c>
      <c r="T2384" t="s">
        <v>2531</v>
      </c>
      <c r="U2384" s="1">
        <v>119</v>
      </c>
      <c r="V2384">
        <f t="shared" si="148"/>
        <v>0.23061632904361451</v>
      </c>
      <c r="W2384" s="1">
        <f t="shared" si="149"/>
        <v>12.599999999999994</v>
      </c>
      <c r="X2384">
        <f t="shared" si="150"/>
        <v>7.4656433999999994E-2</v>
      </c>
      <c r="Y2384">
        <f t="shared" si="151"/>
        <v>8.1000000000000014</v>
      </c>
      <c r="Z2384" s="1">
        <v>1</v>
      </c>
      <c r="AA2384">
        <v>99</v>
      </c>
      <c r="AB2384">
        <v>1.01E-2</v>
      </c>
      <c r="AC2384">
        <v>1</v>
      </c>
      <c r="AD2384">
        <v>118</v>
      </c>
      <c r="AE2384">
        <v>8.5000000000000006E-3</v>
      </c>
      <c r="AF2384" t="s">
        <v>2590</v>
      </c>
      <c r="AG2384" t="s">
        <v>2591</v>
      </c>
    </row>
    <row r="2385" spans="1:33">
      <c r="A2385" s="2" t="s">
        <v>27</v>
      </c>
      <c r="B2385" s="2" t="s">
        <v>19</v>
      </c>
      <c r="C2385" s="1">
        <v>0.518608662</v>
      </c>
      <c r="D2385">
        <v>0.64320369700000002</v>
      </c>
      <c r="E2385">
        <v>0.62228994199999998</v>
      </c>
      <c r="F2385" s="1" t="s">
        <v>28</v>
      </c>
      <c r="G2385" s="1">
        <v>1.8717391299999999</v>
      </c>
      <c r="H2385" s="1">
        <v>33.700000000000003</v>
      </c>
      <c r="I2385" s="1">
        <v>46</v>
      </c>
      <c r="J2385" s="1">
        <v>0.59470076699999996</v>
      </c>
      <c r="K2385" s="1">
        <v>0.49391595300000002</v>
      </c>
      <c r="L2385" s="1">
        <v>0.603599314</v>
      </c>
      <c r="M2385" s="3">
        <v>0.63481471599999995</v>
      </c>
      <c r="N2385" s="1" t="s">
        <v>20</v>
      </c>
      <c r="O2385" s="1">
        <v>1.2140902870000001</v>
      </c>
      <c r="P2385" s="1">
        <v>64.900000000000006</v>
      </c>
      <c r="Q2385" s="1">
        <v>146.19999999999999</v>
      </c>
      <c r="R2385" s="1">
        <v>0.57744332766666662</v>
      </c>
      <c r="S2385" s="1">
        <v>4.8322944801827271E-2</v>
      </c>
      <c r="T2385" t="s">
        <v>2532</v>
      </c>
      <c r="U2385" s="1">
        <v>1237</v>
      </c>
      <c r="V2385">
        <f t="shared" si="148"/>
        <v>0.34359663329212453</v>
      </c>
      <c r="W2385" s="1">
        <f t="shared" si="149"/>
        <v>31.200000000000003</v>
      </c>
      <c r="X2385">
        <f t="shared" si="150"/>
        <v>0.65764884299999982</v>
      </c>
      <c r="Y2385">
        <f t="shared" si="151"/>
        <v>100.19999999999999</v>
      </c>
      <c r="Z2385" s="1">
        <v>2</v>
      </c>
      <c r="AA2385">
        <v>98</v>
      </c>
      <c r="AB2385">
        <v>2.0400000000000001E-2</v>
      </c>
      <c r="AC2385">
        <v>4</v>
      </c>
      <c r="AD2385">
        <v>95</v>
      </c>
      <c r="AE2385">
        <v>4.2099999999999999E-2</v>
      </c>
      <c r="AF2385" t="s">
        <v>2590</v>
      </c>
      <c r="AG2385" t="s">
        <v>2593</v>
      </c>
    </row>
    <row r="2386" spans="1:33">
      <c r="A2386" s="2" t="s">
        <v>27</v>
      </c>
      <c r="B2386" s="2" t="s">
        <v>21</v>
      </c>
      <c r="C2386" s="1">
        <v>0.518608662</v>
      </c>
      <c r="D2386">
        <v>0.64320369700000002</v>
      </c>
      <c r="E2386">
        <v>0.62228994199999998</v>
      </c>
      <c r="F2386" s="1" t="s">
        <v>28</v>
      </c>
      <c r="G2386" s="1">
        <v>1.8717391299999999</v>
      </c>
      <c r="H2386" s="1">
        <v>33.700000000000003</v>
      </c>
      <c r="I2386" s="1">
        <v>46</v>
      </c>
      <c r="J2386" s="1">
        <v>0.59470076699999996</v>
      </c>
      <c r="K2386" s="1">
        <v>0.53276376800000003</v>
      </c>
      <c r="L2386" s="1">
        <v>0.65428149899999999</v>
      </c>
      <c r="M2386" s="3">
        <v>0.70160154799999996</v>
      </c>
      <c r="N2386" s="1" t="s">
        <v>22</v>
      </c>
      <c r="O2386" s="1">
        <v>1.2440604749999999</v>
      </c>
      <c r="P2386" s="1">
        <v>24.6</v>
      </c>
      <c r="Q2386" s="1">
        <v>46.3</v>
      </c>
      <c r="R2386" s="1">
        <v>0.62954893833333336</v>
      </c>
      <c r="S2386" s="1">
        <v>8.1322909252692574E-2</v>
      </c>
      <c r="T2386" t="s">
        <v>2533</v>
      </c>
      <c r="U2386" s="1">
        <v>318</v>
      </c>
      <c r="V2386">
        <f t="shared" si="148"/>
        <v>0.27804745777604806</v>
      </c>
      <c r="W2386" s="1">
        <f t="shared" si="149"/>
        <v>9.1000000000000014</v>
      </c>
      <c r="X2386">
        <f t="shared" si="150"/>
        <v>0.62767865499999997</v>
      </c>
      <c r="Y2386">
        <f t="shared" si="151"/>
        <v>0.29999999999999716</v>
      </c>
      <c r="Z2386" s="1">
        <v>2</v>
      </c>
      <c r="AA2386">
        <v>98</v>
      </c>
      <c r="AB2386">
        <v>2.0400000000000001E-2</v>
      </c>
      <c r="AC2386">
        <v>3</v>
      </c>
      <c r="AD2386">
        <v>102</v>
      </c>
      <c r="AE2386">
        <v>2.9399999999999999E-2</v>
      </c>
      <c r="AF2386" t="s">
        <v>2590</v>
      </c>
      <c r="AG2386" t="s">
        <v>2589</v>
      </c>
    </row>
    <row r="2387" spans="1:33">
      <c r="A2387" s="2" t="s">
        <v>27</v>
      </c>
      <c r="B2387" s="2" t="s">
        <v>23</v>
      </c>
      <c r="C2387" s="1">
        <v>0.518608662</v>
      </c>
      <c r="D2387">
        <v>0.64320369700000002</v>
      </c>
      <c r="E2387">
        <v>0.62228994199999998</v>
      </c>
      <c r="F2387" s="1" t="s">
        <v>28</v>
      </c>
      <c r="G2387" s="1">
        <v>1.8717391299999999</v>
      </c>
      <c r="H2387" s="1">
        <v>33.700000000000003</v>
      </c>
      <c r="I2387" s="1">
        <v>46</v>
      </c>
      <c r="J2387" s="1">
        <v>0.59470076699999996</v>
      </c>
      <c r="K2387" s="1">
        <v>0.49415677200000002</v>
      </c>
      <c r="L2387" s="1">
        <v>0.62090818999999997</v>
      </c>
      <c r="M2387" s="3">
        <v>0.63381026900000004</v>
      </c>
      <c r="N2387" s="1" t="s">
        <v>24</v>
      </c>
      <c r="O2387" s="1">
        <v>1.141304348</v>
      </c>
      <c r="P2387" s="1">
        <v>44.4</v>
      </c>
      <c r="Q2387" s="1">
        <v>101.2</v>
      </c>
      <c r="R2387" s="1">
        <v>0.58295841033333329</v>
      </c>
      <c r="S2387" s="1">
        <v>3.5038585746945898E-2</v>
      </c>
      <c r="T2387" t="s">
        <v>2534</v>
      </c>
      <c r="U2387" s="1">
        <v>10415</v>
      </c>
      <c r="V2387">
        <f t="shared" si="148"/>
        <v>0.44640658603152938</v>
      </c>
      <c r="W2387" s="1">
        <f t="shared" si="149"/>
        <v>10.699999999999996</v>
      </c>
      <c r="X2387">
        <f t="shared" si="150"/>
        <v>0.73043478199999989</v>
      </c>
      <c r="Y2387">
        <f t="shared" si="151"/>
        <v>55.2</v>
      </c>
      <c r="Z2387" s="1">
        <v>9</v>
      </c>
      <c r="AA2387">
        <v>91</v>
      </c>
      <c r="AB2387">
        <v>9.8900000000000002E-2</v>
      </c>
      <c r="AC2387">
        <v>11</v>
      </c>
      <c r="AD2387">
        <v>90</v>
      </c>
      <c r="AE2387">
        <v>0.1222</v>
      </c>
      <c r="AF2387" t="s">
        <v>2590</v>
      </c>
      <c r="AG2387" t="s">
        <v>2590</v>
      </c>
    </row>
    <row r="2388" spans="1:33">
      <c r="A2388" s="2" t="s">
        <v>27</v>
      </c>
      <c r="B2388" s="2" t="s">
        <v>25</v>
      </c>
      <c r="C2388" s="1">
        <v>0.518608662</v>
      </c>
      <c r="D2388">
        <v>0.64320369700000002</v>
      </c>
      <c r="E2388">
        <v>0.62228994199999998</v>
      </c>
      <c r="F2388" s="1" t="s">
        <v>28</v>
      </c>
      <c r="G2388" s="1">
        <v>1.8717391299999999</v>
      </c>
      <c r="H2388" s="1">
        <v>33.700000000000003</v>
      </c>
      <c r="I2388" s="1">
        <v>46</v>
      </c>
      <c r="J2388" s="1">
        <v>0.59470076699999996</v>
      </c>
      <c r="K2388" s="1">
        <v>0.53959274199999996</v>
      </c>
      <c r="L2388" s="1">
        <v>0.64971567399999997</v>
      </c>
      <c r="M2388" s="3">
        <v>0.65028459999999999</v>
      </c>
      <c r="N2388" s="1" t="s">
        <v>26</v>
      </c>
      <c r="O2388" s="1">
        <v>1.623046875</v>
      </c>
      <c r="P2388" s="1">
        <v>34.700000000000003</v>
      </c>
      <c r="Q2388" s="1">
        <v>51.2</v>
      </c>
      <c r="R2388" s="1">
        <v>0.61319767199999997</v>
      </c>
      <c r="S2388" s="1">
        <v>3.5587052904559137E-2</v>
      </c>
      <c r="T2388" t="s">
        <v>2535</v>
      </c>
      <c r="U2388" s="1">
        <v>478</v>
      </c>
      <c r="V2388">
        <f t="shared" si="148"/>
        <v>0.29771421073467985</v>
      </c>
      <c r="W2388" s="1">
        <f t="shared" si="149"/>
        <v>1</v>
      </c>
      <c r="X2388">
        <f t="shared" si="150"/>
        <v>0.24869225499999992</v>
      </c>
      <c r="Y2388">
        <f t="shared" si="151"/>
        <v>5.2000000000000028</v>
      </c>
      <c r="Z2388" s="1">
        <v>0</v>
      </c>
      <c r="AA2388">
        <v>100</v>
      </c>
      <c r="AB2388">
        <v>0</v>
      </c>
      <c r="AC2388">
        <v>0</v>
      </c>
      <c r="AD2388">
        <v>103</v>
      </c>
      <c r="AE2388">
        <v>0</v>
      </c>
      <c r="AF2388" t="s">
        <v>2590</v>
      </c>
      <c r="AG2388" t="s">
        <v>2594</v>
      </c>
    </row>
    <row r="2389" spans="1:33">
      <c r="A2389" s="2" t="s">
        <v>25</v>
      </c>
      <c r="B2389" s="2" t="s">
        <v>10</v>
      </c>
      <c r="C2389" s="1">
        <v>0.53959274199999996</v>
      </c>
      <c r="D2389">
        <v>0.64971567399999997</v>
      </c>
      <c r="E2389">
        <v>0.65028459999999999</v>
      </c>
      <c r="F2389" s="1" t="s">
        <v>26</v>
      </c>
      <c r="G2389" s="1">
        <v>1.623046875</v>
      </c>
      <c r="H2389" s="1">
        <v>34.700000000000003</v>
      </c>
      <c r="I2389" s="1">
        <v>51.2</v>
      </c>
      <c r="J2389" s="1">
        <v>0.61319767199999997</v>
      </c>
      <c r="K2389" s="1">
        <v>0.52456325500000001</v>
      </c>
      <c r="L2389" s="1">
        <v>0.61925627999999999</v>
      </c>
      <c r="M2389" s="3">
        <v>0.72111139899999999</v>
      </c>
      <c r="N2389" s="1" t="s">
        <v>12</v>
      </c>
      <c r="O2389" s="1">
        <v>0.61690647499999995</v>
      </c>
      <c r="P2389" s="1">
        <v>30</v>
      </c>
      <c r="Q2389" s="1">
        <v>111.2</v>
      </c>
      <c r="R2389" s="1">
        <v>0.62164364466666666</v>
      </c>
      <c r="S2389" s="1">
        <v>7.8549956199330889E-2</v>
      </c>
      <c r="T2389" t="s">
        <v>2536</v>
      </c>
      <c r="U2389" s="1">
        <v>241</v>
      </c>
      <c r="V2389">
        <f t="shared" si="148"/>
        <v>0.26466856028609648</v>
      </c>
      <c r="W2389" s="1">
        <f t="shared" si="149"/>
        <v>4.7000000000000028</v>
      </c>
      <c r="X2389">
        <f t="shared" si="150"/>
        <v>1.0061404</v>
      </c>
      <c r="Y2389">
        <f t="shared" si="151"/>
        <v>60</v>
      </c>
      <c r="Z2389" s="1">
        <v>0</v>
      </c>
      <c r="AA2389">
        <v>100</v>
      </c>
      <c r="AB2389">
        <v>0</v>
      </c>
      <c r="AC2389">
        <v>0</v>
      </c>
      <c r="AD2389">
        <v>155</v>
      </c>
      <c r="AE2389">
        <v>0</v>
      </c>
      <c r="AF2389" t="s">
        <v>2594</v>
      </c>
      <c r="AG2389" t="s">
        <v>2588</v>
      </c>
    </row>
    <row r="2390" spans="1:33">
      <c r="A2390" s="2" t="s">
        <v>25</v>
      </c>
      <c r="B2390" s="2" t="s">
        <v>13</v>
      </c>
      <c r="C2390" s="1">
        <v>0.53959274199999996</v>
      </c>
      <c r="D2390">
        <v>0.64971567399999997</v>
      </c>
      <c r="E2390">
        <v>0.65028459999999999</v>
      </c>
      <c r="F2390" s="1" t="s">
        <v>26</v>
      </c>
      <c r="G2390" s="1">
        <v>1.623046875</v>
      </c>
      <c r="H2390" s="1">
        <v>34.700000000000003</v>
      </c>
      <c r="I2390" s="1">
        <v>51.2</v>
      </c>
      <c r="J2390" s="1">
        <v>0.61319767199999997</v>
      </c>
      <c r="K2390" s="1">
        <v>0.48695497399999998</v>
      </c>
      <c r="L2390" s="1">
        <v>0.54991327199999995</v>
      </c>
      <c r="M2390" s="3">
        <v>0.67282609299999996</v>
      </c>
      <c r="N2390" s="1" t="s">
        <v>14</v>
      </c>
      <c r="O2390" s="1">
        <v>1.6052009460000001</v>
      </c>
      <c r="P2390" s="1">
        <v>26.6</v>
      </c>
      <c r="Q2390" s="1">
        <v>42.3</v>
      </c>
      <c r="R2390" s="1">
        <v>0.56989811299999993</v>
      </c>
      <c r="S2390" s="1">
        <v>0.11506247421144948</v>
      </c>
      <c r="T2390" t="s">
        <v>2537</v>
      </c>
      <c r="U2390" s="1">
        <v>140</v>
      </c>
      <c r="V2390">
        <f t="shared" si="148"/>
        <v>0.23845867063091536</v>
      </c>
      <c r="W2390" s="1">
        <f t="shared" si="149"/>
        <v>8.1000000000000014</v>
      </c>
      <c r="X2390">
        <f t="shared" si="150"/>
        <v>1.7845928999999927E-2</v>
      </c>
      <c r="Y2390">
        <f t="shared" si="151"/>
        <v>8.9000000000000057</v>
      </c>
      <c r="Z2390" s="1">
        <v>0</v>
      </c>
      <c r="AA2390">
        <v>100</v>
      </c>
      <c r="AB2390">
        <v>0</v>
      </c>
      <c r="AC2390">
        <v>0</v>
      </c>
      <c r="AD2390">
        <v>102</v>
      </c>
      <c r="AE2390">
        <v>0</v>
      </c>
      <c r="AF2390" t="s">
        <v>2594</v>
      </c>
      <c r="AG2390" t="s">
        <v>2590</v>
      </c>
    </row>
    <row r="2391" spans="1:33">
      <c r="A2391" s="2" t="s">
        <v>25</v>
      </c>
      <c r="B2391" s="2" t="s">
        <v>15</v>
      </c>
      <c r="C2391" s="1">
        <v>0.53959274199999996</v>
      </c>
      <c r="D2391">
        <v>0.64971567399999997</v>
      </c>
      <c r="E2391">
        <v>0.65028459999999999</v>
      </c>
      <c r="F2391" s="1" t="s">
        <v>26</v>
      </c>
      <c r="G2391" s="1">
        <v>1.623046875</v>
      </c>
      <c r="H2391" s="1">
        <v>34.700000000000003</v>
      </c>
      <c r="I2391" s="1">
        <v>51.2</v>
      </c>
      <c r="J2391" s="1">
        <v>0.61319767199999997</v>
      </c>
      <c r="K2391" s="1">
        <v>0.54560998800000005</v>
      </c>
      <c r="L2391" s="1">
        <v>0.66721428400000005</v>
      </c>
      <c r="M2391" s="3">
        <v>0.72650398400000005</v>
      </c>
      <c r="N2391" s="1" t="s">
        <v>16</v>
      </c>
      <c r="O2391" s="1">
        <v>5.1392405060000002</v>
      </c>
      <c r="P2391" s="1">
        <v>35.9</v>
      </c>
      <c r="Q2391" s="1">
        <v>15.8</v>
      </c>
      <c r="R2391" s="1">
        <v>0.64644275200000012</v>
      </c>
      <c r="S2391" s="1">
        <v>7.8433431001685011E-2</v>
      </c>
      <c r="T2391" t="s">
        <v>2538</v>
      </c>
      <c r="U2391" s="1">
        <v>343</v>
      </c>
      <c r="V2391">
        <f t="shared" si="148"/>
        <v>0.28169934667141894</v>
      </c>
      <c r="W2391" s="1">
        <f t="shared" si="149"/>
        <v>1.1999999999999957</v>
      </c>
      <c r="X2391">
        <f t="shared" si="150"/>
        <v>3.5161936310000002</v>
      </c>
      <c r="Y2391">
        <f t="shared" si="151"/>
        <v>35.400000000000006</v>
      </c>
      <c r="Z2391" s="1">
        <v>0</v>
      </c>
      <c r="AA2391">
        <v>100</v>
      </c>
      <c r="AB2391">
        <v>0</v>
      </c>
      <c r="AC2391">
        <v>0</v>
      </c>
      <c r="AD2391">
        <v>98</v>
      </c>
      <c r="AE2391">
        <v>0</v>
      </c>
      <c r="AF2391" t="s">
        <v>2594</v>
      </c>
      <c r="AG2391" t="s">
        <v>2591</v>
      </c>
    </row>
    <row r="2392" spans="1:33">
      <c r="A2392" s="2" t="s">
        <v>25</v>
      </c>
      <c r="B2392" s="2" t="s">
        <v>17</v>
      </c>
      <c r="C2392" s="1">
        <v>0.53959274199999996</v>
      </c>
      <c r="D2392">
        <v>0.64971567399999997</v>
      </c>
      <c r="E2392">
        <v>0.65028459999999999</v>
      </c>
      <c r="F2392" s="1" t="s">
        <v>26</v>
      </c>
      <c r="G2392" s="1">
        <v>1.623046875</v>
      </c>
      <c r="H2392" s="1">
        <v>34.700000000000003</v>
      </c>
      <c r="I2392" s="1">
        <v>51.2</v>
      </c>
      <c r="J2392" s="1">
        <v>0.61319767199999997</v>
      </c>
      <c r="K2392" s="1">
        <v>0.659112378</v>
      </c>
      <c r="L2392" s="1">
        <v>0.68333493499999998</v>
      </c>
      <c r="M2392" s="3">
        <v>0.70345495199999997</v>
      </c>
      <c r="N2392" s="1" t="s">
        <v>18</v>
      </c>
      <c r="O2392" s="1">
        <v>1.9463955639999999</v>
      </c>
      <c r="P2392" s="1">
        <v>46.3</v>
      </c>
      <c r="Q2392" s="1">
        <v>54.1</v>
      </c>
      <c r="R2392" s="1">
        <v>0.68196742166666668</v>
      </c>
      <c r="S2392" s="1">
        <v>0.13506400124223528</v>
      </c>
      <c r="T2392" t="s">
        <v>2539</v>
      </c>
      <c r="U2392" s="1">
        <v>426</v>
      </c>
      <c r="V2392">
        <f t="shared" si="148"/>
        <v>0.2921566221225243</v>
      </c>
      <c r="W2392" s="1">
        <f t="shared" si="149"/>
        <v>11.599999999999994</v>
      </c>
      <c r="X2392">
        <f t="shared" si="150"/>
        <v>0.32334868899999991</v>
      </c>
      <c r="Y2392">
        <f t="shared" si="151"/>
        <v>2.8999999999999986</v>
      </c>
      <c r="Z2392" s="1">
        <v>0</v>
      </c>
      <c r="AA2392">
        <v>100</v>
      </c>
      <c r="AB2392">
        <v>0</v>
      </c>
      <c r="AC2392">
        <v>0</v>
      </c>
      <c r="AD2392">
        <v>112</v>
      </c>
      <c r="AE2392">
        <v>0</v>
      </c>
      <c r="AF2392" t="s">
        <v>2594</v>
      </c>
      <c r="AG2392" t="s">
        <v>2591</v>
      </c>
    </row>
    <row r="2393" spans="1:33">
      <c r="A2393" s="2" t="s">
        <v>25</v>
      </c>
      <c r="B2393" s="2" t="s">
        <v>19</v>
      </c>
      <c r="C2393" s="1">
        <v>0.53959274199999996</v>
      </c>
      <c r="D2393">
        <v>0.64971567399999997</v>
      </c>
      <c r="E2393">
        <v>0.65028459999999999</v>
      </c>
      <c r="F2393" s="1" t="s">
        <v>26</v>
      </c>
      <c r="G2393" s="1">
        <v>1.623046875</v>
      </c>
      <c r="H2393" s="1">
        <v>34.700000000000003</v>
      </c>
      <c r="I2393" s="1">
        <v>51.2</v>
      </c>
      <c r="J2393" s="1">
        <v>0.61319767199999997</v>
      </c>
      <c r="K2393" s="1">
        <v>0.49391595300000002</v>
      </c>
      <c r="L2393" s="1">
        <v>0.603599314</v>
      </c>
      <c r="M2393" s="3">
        <v>0.63481471599999995</v>
      </c>
      <c r="N2393" s="1" t="s">
        <v>20</v>
      </c>
      <c r="O2393" s="1">
        <v>1.2140902870000001</v>
      </c>
      <c r="P2393" s="1">
        <v>64.900000000000006</v>
      </c>
      <c r="Q2393" s="1">
        <v>146.19999999999999</v>
      </c>
      <c r="R2393" s="1">
        <v>0.57744332766666662</v>
      </c>
      <c r="S2393" s="1">
        <v>6.672634430248349E-2</v>
      </c>
      <c r="T2393" t="s">
        <v>2540</v>
      </c>
      <c r="U2393" s="1">
        <v>979</v>
      </c>
      <c r="V2393">
        <f t="shared" si="148"/>
        <v>0.33230918797812642</v>
      </c>
      <c r="W2393" s="1">
        <f t="shared" si="149"/>
        <v>30.200000000000003</v>
      </c>
      <c r="X2393">
        <f t="shared" si="150"/>
        <v>0.4089565879999999</v>
      </c>
      <c r="Y2393">
        <f t="shared" si="151"/>
        <v>94.999999999999986</v>
      </c>
      <c r="Z2393" s="1">
        <v>0</v>
      </c>
      <c r="AA2393">
        <v>100</v>
      </c>
      <c r="AB2393">
        <v>0</v>
      </c>
      <c r="AC2393">
        <v>0</v>
      </c>
      <c r="AD2393">
        <v>92</v>
      </c>
      <c r="AE2393">
        <v>0</v>
      </c>
      <c r="AF2393" t="s">
        <v>2594</v>
      </c>
      <c r="AG2393" t="s">
        <v>2593</v>
      </c>
    </row>
    <row r="2394" spans="1:33">
      <c r="A2394" s="2" t="s">
        <v>25</v>
      </c>
      <c r="B2394" s="2" t="s">
        <v>21</v>
      </c>
      <c r="C2394" s="1">
        <v>0.53959274199999996</v>
      </c>
      <c r="D2394">
        <v>0.64971567399999997</v>
      </c>
      <c r="E2394">
        <v>0.65028459999999999</v>
      </c>
      <c r="F2394" s="1" t="s">
        <v>26</v>
      </c>
      <c r="G2394" s="1">
        <v>1.623046875</v>
      </c>
      <c r="H2394" s="1">
        <v>34.700000000000003</v>
      </c>
      <c r="I2394" s="1">
        <v>51.2</v>
      </c>
      <c r="J2394" s="1">
        <v>0.61319767199999997</v>
      </c>
      <c r="K2394" s="1">
        <v>0.53276376800000003</v>
      </c>
      <c r="L2394" s="1">
        <v>0.65428149899999999</v>
      </c>
      <c r="M2394" s="3">
        <v>0.70160154799999996</v>
      </c>
      <c r="N2394" s="1" t="s">
        <v>22</v>
      </c>
      <c r="O2394" s="1">
        <v>1.2440604749999999</v>
      </c>
      <c r="P2394" s="1">
        <v>24.6</v>
      </c>
      <c r="Q2394" s="1">
        <v>46.3</v>
      </c>
      <c r="R2394" s="1">
        <v>0.62954893833333336</v>
      </c>
      <c r="S2394" s="1">
        <v>5.197028762531531E-2</v>
      </c>
      <c r="T2394" t="s">
        <v>2541</v>
      </c>
      <c r="U2394" s="1">
        <v>3332</v>
      </c>
      <c r="V2394">
        <f t="shared" si="148"/>
        <v>0.39141166585941667</v>
      </c>
      <c r="W2394" s="1">
        <f t="shared" si="149"/>
        <v>10.100000000000001</v>
      </c>
      <c r="X2394">
        <f t="shared" si="150"/>
        <v>0.37898640000000006</v>
      </c>
      <c r="Y2394">
        <f t="shared" si="151"/>
        <v>4.9000000000000057</v>
      </c>
      <c r="Z2394" s="1">
        <v>0</v>
      </c>
      <c r="AA2394">
        <v>100</v>
      </c>
      <c r="AB2394">
        <v>0</v>
      </c>
      <c r="AC2394">
        <v>0</v>
      </c>
      <c r="AD2394">
        <v>98</v>
      </c>
      <c r="AE2394">
        <v>0</v>
      </c>
      <c r="AF2394" t="s">
        <v>2594</v>
      </c>
      <c r="AG2394" t="s">
        <v>2589</v>
      </c>
    </row>
    <row r="2395" spans="1:33">
      <c r="A2395" s="2" t="s">
        <v>25</v>
      </c>
      <c r="B2395" s="2" t="s">
        <v>23</v>
      </c>
      <c r="C2395" s="1">
        <v>0.53959274199999996</v>
      </c>
      <c r="D2395">
        <v>0.64971567399999997</v>
      </c>
      <c r="E2395">
        <v>0.65028459999999999</v>
      </c>
      <c r="F2395" s="1" t="s">
        <v>26</v>
      </c>
      <c r="G2395" s="1">
        <v>1.623046875</v>
      </c>
      <c r="H2395" s="1">
        <v>34.700000000000003</v>
      </c>
      <c r="I2395" s="1">
        <v>51.2</v>
      </c>
      <c r="J2395" s="1">
        <v>0.61319767199999997</v>
      </c>
      <c r="K2395" s="1">
        <v>0.49415677200000002</v>
      </c>
      <c r="L2395" s="1">
        <v>0.62090818999999997</v>
      </c>
      <c r="M2395" s="3">
        <v>0.63381026900000004</v>
      </c>
      <c r="N2395" s="1" t="s">
        <v>24</v>
      </c>
      <c r="O2395" s="1">
        <v>1.141304348</v>
      </c>
      <c r="P2395" s="1">
        <v>44.4</v>
      </c>
      <c r="Q2395" s="1">
        <v>101.2</v>
      </c>
      <c r="R2395" s="1">
        <v>0.58295841033333329</v>
      </c>
      <c r="S2395" s="1">
        <v>5.6264572211549867E-2</v>
      </c>
      <c r="T2395" t="s">
        <v>2542</v>
      </c>
      <c r="U2395" s="1">
        <v>282</v>
      </c>
      <c r="V2395">
        <f t="shared" si="148"/>
        <v>0.27224990092437346</v>
      </c>
      <c r="W2395" s="1">
        <f t="shared" si="149"/>
        <v>9.6999999999999957</v>
      </c>
      <c r="X2395">
        <f t="shared" si="150"/>
        <v>0.48174252699999998</v>
      </c>
      <c r="Y2395">
        <f t="shared" si="151"/>
        <v>50</v>
      </c>
      <c r="Z2395" s="1">
        <v>0</v>
      </c>
      <c r="AA2395">
        <v>100</v>
      </c>
      <c r="AB2395">
        <v>0</v>
      </c>
      <c r="AC2395">
        <v>0</v>
      </c>
      <c r="AD2395">
        <v>94</v>
      </c>
      <c r="AE2395">
        <v>0</v>
      </c>
      <c r="AF2395" t="s">
        <v>2594</v>
      </c>
      <c r="AG2395" t="s">
        <v>2590</v>
      </c>
    </row>
    <row r="2396" spans="1:33">
      <c r="A2396" s="2" t="s">
        <v>23</v>
      </c>
      <c r="B2396" s="2" t="s">
        <v>10</v>
      </c>
      <c r="C2396" s="1">
        <v>0.49415677200000002</v>
      </c>
      <c r="D2396">
        <v>0.62090818999999997</v>
      </c>
      <c r="E2396">
        <v>0.63381026900000004</v>
      </c>
      <c r="F2396" s="1" t="s">
        <v>24</v>
      </c>
      <c r="G2396" s="1">
        <v>1.141304348</v>
      </c>
      <c r="H2396" s="1">
        <v>44.4</v>
      </c>
      <c r="I2396" s="1">
        <v>101.2</v>
      </c>
      <c r="J2396" s="1">
        <v>0.58295841033333329</v>
      </c>
      <c r="K2396" s="1">
        <v>0.52456325500000001</v>
      </c>
      <c r="L2396" s="1">
        <v>0.61925627999999999</v>
      </c>
      <c r="M2396" s="3">
        <v>0.72111139899999999</v>
      </c>
      <c r="N2396" s="1" t="s">
        <v>12</v>
      </c>
      <c r="O2396" s="1">
        <v>0.61690647499999995</v>
      </c>
      <c r="P2396" s="1">
        <v>30</v>
      </c>
      <c r="Q2396" s="1">
        <v>111.2</v>
      </c>
      <c r="R2396" s="1">
        <v>0.62164364466666666</v>
      </c>
      <c r="S2396" s="1">
        <v>9.2459560427001167E-2</v>
      </c>
      <c r="T2396" t="s">
        <v>2543</v>
      </c>
      <c r="U2396" s="1">
        <v>336</v>
      </c>
      <c r="V2396">
        <f t="shared" si="148"/>
        <v>0.28070436415442712</v>
      </c>
      <c r="W2396" s="1">
        <f t="shared" si="149"/>
        <v>14.399999999999999</v>
      </c>
      <c r="X2396">
        <f t="shared" si="150"/>
        <v>0.52439787300000007</v>
      </c>
      <c r="Y2396">
        <f t="shared" si="151"/>
        <v>10</v>
      </c>
      <c r="Z2396" s="1">
        <v>4</v>
      </c>
      <c r="AA2396">
        <v>96</v>
      </c>
      <c r="AB2396">
        <v>4.1700000000000001E-2</v>
      </c>
      <c r="AC2396">
        <v>6</v>
      </c>
      <c r="AD2396">
        <v>147</v>
      </c>
      <c r="AE2396">
        <v>4.0800000000000003E-2</v>
      </c>
      <c r="AF2396" t="s">
        <v>2590</v>
      </c>
      <c r="AG2396" t="s">
        <v>2588</v>
      </c>
    </row>
    <row r="2397" spans="1:33">
      <c r="A2397" s="2" t="s">
        <v>23</v>
      </c>
      <c r="B2397" s="2" t="s">
        <v>13</v>
      </c>
      <c r="C2397" s="1">
        <v>0.49415677200000002</v>
      </c>
      <c r="D2397">
        <v>0.62090818999999997</v>
      </c>
      <c r="E2397">
        <v>0.63381026900000004</v>
      </c>
      <c r="F2397" s="1" t="s">
        <v>24</v>
      </c>
      <c r="G2397" s="1">
        <v>1.141304348</v>
      </c>
      <c r="H2397" s="1">
        <v>44.4</v>
      </c>
      <c r="I2397" s="1">
        <v>101.2</v>
      </c>
      <c r="J2397" s="1">
        <v>0.58295841033333329</v>
      </c>
      <c r="K2397" s="1">
        <v>0.48695497399999998</v>
      </c>
      <c r="L2397" s="1">
        <v>0.54991327199999995</v>
      </c>
      <c r="M2397" s="3">
        <v>0.67282609299999996</v>
      </c>
      <c r="N2397" s="1" t="s">
        <v>14</v>
      </c>
      <c r="O2397" s="1">
        <v>1.6052009460000001</v>
      </c>
      <c r="P2397" s="1">
        <v>26.6</v>
      </c>
      <c r="Q2397" s="1">
        <v>42.3</v>
      </c>
      <c r="R2397" s="1">
        <v>0.56989811299999993</v>
      </c>
      <c r="S2397" s="1">
        <v>8.1328831287917208E-2</v>
      </c>
      <c r="T2397" t="s">
        <v>2544</v>
      </c>
      <c r="U2397" s="1">
        <v>26112</v>
      </c>
      <c r="V2397">
        <f t="shared" si="148"/>
        <v>0.49076001523041857</v>
      </c>
      <c r="W2397" s="1">
        <f t="shared" si="149"/>
        <v>17.799999999999997</v>
      </c>
      <c r="X2397">
        <f t="shared" si="150"/>
        <v>0.46389659800000005</v>
      </c>
      <c r="Y2397">
        <f t="shared" si="151"/>
        <v>58.900000000000006</v>
      </c>
      <c r="Z2397" s="1">
        <v>8</v>
      </c>
      <c r="AA2397">
        <v>92</v>
      </c>
      <c r="AB2397">
        <v>8.6999999999999994E-2</v>
      </c>
      <c r="AC2397">
        <v>8</v>
      </c>
      <c r="AD2397">
        <v>92</v>
      </c>
      <c r="AE2397">
        <v>8.6999999999999994E-2</v>
      </c>
      <c r="AF2397" t="s">
        <v>2590</v>
      </c>
      <c r="AG2397" t="s">
        <v>2590</v>
      </c>
    </row>
    <row r="2398" spans="1:33">
      <c r="A2398" s="2" t="s">
        <v>23</v>
      </c>
      <c r="B2398" s="2" t="s">
        <v>15</v>
      </c>
      <c r="C2398" s="1">
        <v>0.49415677200000002</v>
      </c>
      <c r="D2398">
        <v>0.62090818999999997</v>
      </c>
      <c r="E2398">
        <v>0.63381026900000004</v>
      </c>
      <c r="F2398" s="1" t="s">
        <v>24</v>
      </c>
      <c r="G2398" s="1">
        <v>1.141304348</v>
      </c>
      <c r="H2398" s="1">
        <v>44.4</v>
      </c>
      <c r="I2398" s="1">
        <v>101.2</v>
      </c>
      <c r="J2398" s="1">
        <v>0.58295841033333329</v>
      </c>
      <c r="K2398" s="1">
        <v>0.54560998800000005</v>
      </c>
      <c r="L2398" s="1">
        <v>0.66721428400000005</v>
      </c>
      <c r="M2398" s="3">
        <v>0.72650398400000005</v>
      </c>
      <c r="N2398" s="1" t="s">
        <v>16</v>
      </c>
      <c r="O2398" s="1">
        <v>5.1392405060000002</v>
      </c>
      <c r="P2398" s="1">
        <v>35.9</v>
      </c>
      <c r="Q2398" s="1">
        <v>15.8</v>
      </c>
      <c r="R2398" s="1">
        <v>0.64644275200000012</v>
      </c>
      <c r="S2398" s="1">
        <v>0.11568842888889419</v>
      </c>
      <c r="T2398" t="s">
        <v>2545</v>
      </c>
      <c r="U2398" s="1">
        <v>117</v>
      </c>
      <c r="V2398">
        <f t="shared" si="148"/>
        <v>0.22979842908290685</v>
      </c>
      <c r="W2398" s="1">
        <f t="shared" si="149"/>
        <v>8.5</v>
      </c>
      <c r="X2398">
        <f t="shared" si="150"/>
        <v>3.9979361579999999</v>
      </c>
      <c r="Y2398">
        <f t="shared" si="151"/>
        <v>85.4</v>
      </c>
      <c r="Z2398" s="1">
        <v>3</v>
      </c>
      <c r="AA2398">
        <v>97</v>
      </c>
      <c r="AB2398">
        <v>3.09E-2</v>
      </c>
      <c r="AC2398">
        <v>3</v>
      </c>
      <c r="AD2398">
        <v>93</v>
      </c>
      <c r="AE2398">
        <v>3.2300000000000002E-2</v>
      </c>
      <c r="AF2398" t="s">
        <v>2590</v>
      </c>
      <c r="AG2398" t="s">
        <v>2591</v>
      </c>
    </row>
    <row r="2399" spans="1:33">
      <c r="A2399" s="2" t="s">
        <v>23</v>
      </c>
      <c r="B2399" s="2" t="s">
        <v>17</v>
      </c>
      <c r="C2399" s="1">
        <v>0.49415677200000002</v>
      </c>
      <c r="D2399">
        <v>0.62090818999999997</v>
      </c>
      <c r="E2399">
        <v>0.63381026900000004</v>
      </c>
      <c r="F2399" s="1" t="s">
        <v>24</v>
      </c>
      <c r="G2399" s="1">
        <v>1.141304348</v>
      </c>
      <c r="H2399" s="1">
        <v>44.4</v>
      </c>
      <c r="I2399" s="1">
        <v>101.2</v>
      </c>
      <c r="J2399" s="1">
        <v>0.58295841033333329</v>
      </c>
      <c r="K2399" s="1">
        <v>0.659112378</v>
      </c>
      <c r="L2399" s="1">
        <v>0.68333493499999998</v>
      </c>
      <c r="M2399" s="3">
        <v>0.70345495199999997</v>
      </c>
      <c r="N2399" s="1" t="s">
        <v>18</v>
      </c>
      <c r="O2399" s="1">
        <v>1.9463955639999999</v>
      </c>
      <c r="P2399" s="1">
        <v>46.3</v>
      </c>
      <c r="Q2399" s="1">
        <v>54.1</v>
      </c>
      <c r="R2399" s="1">
        <v>0.68196742166666668</v>
      </c>
      <c r="S2399" s="1">
        <v>0.18962550543714507</v>
      </c>
      <c r="T2399" t="s">
        <v>2546</v>
      </c>
      <c r="U2399" s="1">
        <v>221</v>
      </c>
      <c r="V2399">
        <f t="shared" si="148"/>
        <v>0.26048803040945673</v>
      </c>
      <c r="W2399" s="1">
        <f t="shared" si="149"/>
        <v>1.8999999999999986</v>
      </c>
      <c r="X2399">
        <f t="shared" si="150"/>
        <v>0.80509121599999989</v>
      </c>
      <c r="Y2399">
        <f t="shared" si="151"/>
        <v>47.1</v>
      </c>
      <c r="Z2399" s="1">
        <v>1</v>
      </c>
      <c r="AA2399">
        <v>99</v>
      </c>
      <c r="AB2399">
        <v>1.01E-2</v>
      </c>
      <c r="AC2399">
        <v>1</v>
      </c>
      <c r="AD2399">
        <v>109</v>
      </c>
      <c r="AE2399">
        <v>9.1999999999999998E-3</v>
      </c>
      <c r="AF2399" t="s">
        <v>2590</v>
      </c>
      <c r="AG2399" t="s">
        <v>2591</v>
      </c>
    </row>
    <row r="2400" spans="1:33">
      <c r="A2400" s="2" t="s">
        <v>23</v>
      </c>
      <c r="B2400" s="2" t="s">
        <v>19</v>
      </c>
      <c r="C2400" s="1">
        <v>0.49415677200000002</v>
      </c>
      <c r="D2400">
        <v>0.62090818999999997</v>
      </c>
      <c r="E2400">
        <v>0.63381026900000004</v>
      </c>
      <c r="F2400" s="1" t="s">
        <v>24</v>
      </c>
      <c r="G2400" s="1">
        <v>1.141304348</v>
      </c>
      <c r="H2400" s="1">
        <v>44.4</v>
      </c>
      <c r="I2400" s="1">
        <v>101.2</v>
      </c>
      <c r="J2400" s="1">
        <v>0.58295841033333329</v>
      </c>
      <c r="K2400" s="1">
        <v>0.49391595300000002</v>
      </c>
      <c r="L2400" s="1">
        <v>0.603599314</v>
      </c>
      <c r="M2400" s="3">
        <v>0.63481471599999995</v>
      </c>
      <c r="N2400" s="1" t="s">
        <v>20</v>
      </c>
      <c r="O2400" s="1">
        <v>1.2140902870000001</v>
      </c>
      <c r="P2400" s="1">
        <v>64.900000000000006</v>
      </c>
      <c r="Q2400" s="1">
        <v>146.19999999999999</v>
      </c>
      <c r="R2400" s="1">
        <v>0.57744332766666662</v>
      </c>
      <c r="S2400" s="1">
        <v>1.7339668276813856E-2</v>
      </c>
      <c r="T2400" t="s">
        <v>2547</v>
      </c>
      <c r="U2400" s="1">
        <v>2626</v>
      </c>
      <c r="V2400">
        <f t="shared" si="148"/>
        <v>0.37992163575038451</v>
      </c>
      <c r="W2400" s="1">
        <f t="shared" si="149"/>
        <v>20.500000000000007</v>
      </c>
      <c r="X2400">
        <f t="shared" si="150"/>
        <v>7.2785939000000077E-2</v>
      </c>
      <c r="Y2400">
        <f t="shared" si="151"/>
        <v>44.999999999999986</v>
      </c>
      <c r="Z2400" s="1">
        <v>5</v>
      </c>
      <c r="AA2400">
        <v>95</v>
      </c>
      <c r="AB2400">
        <v>5.2600000000000001E-2</v>
      </c>
      <c r="AC2400">
        <v>8</v>
      </c>
      <c r="AD2400">
        <v>82</v>
      </c>
      <c r="AE2400">
        <v>9.7600000000000006E-2</v>
      </c>
      <c r="AF2400" t="s">
        <v>2590</v>
      </c>
      <c r="AG2400" t="s">
        <v>2593</v>
      </c>
    </row>
    <row r="2401" spans="1:33">
      <c r="A2401" s="2" t="s">
        <v>23</v>
      </c>
      <c r="B2401" s="2" t="s">
        <v>21</v>
      </c>
      <c r="C2401" s="1">
        <v>0.49415677200000002</v>
      </c>
      <c r="D2401">
        <v>0.62090818999999997</v>
      </c>
      <c r="E2401">
        <v>0.63381026900000004</v>
      </c>
      <c r="F2401" s="1" t="s">
        <v>24</v>
      </c>
      <c r="G2401" s="1">
        <v>1.141304348</v>
      </c>
      <c r="H2401" s="1">
        <v>44.4</v>
      </c>
      <c r="I2401" s="1">
        <v>101.2</v>
      </c>
      <c r="J2401" s="1">
        <v>0.58295841033333329</v>
      </c>
      <c r="K2401" s="1">
        <v>0.53276376800000003</v>
      </c>
      <c r="L2401" s="1">
        <v>0.65428149899999999</v>
      </c>
      <c r="M2401" s="3">
        <v>0.70160154799999996</v>
      </c>
      <c r="N2401" s="1" t="s">
        <v>22</v>
      </c>
      <c r="O2401" s="1">
        <v>1.2440604749999999</v>
      </c>
      <c r="P2401" s="1">
        <v>24.6</v>
      </c>
      <c r="Q2401" s="1">
        <v>46.3</v>
      </c>
      <c r="R2401" s="1">
        <v>0.62954893833333336</v>
      </c>
      <c r="S2401" s="1">
        <v>8.4852433095399971E-2</v>
      </c>
      <c r="T2401" t="s">
        <v>2548</v>
      </c>
      <c r="U2401" s="1">
        <v>185</v>
      </c>
      <c r="V2401">
        <f t="shared" si="148"/>
        <v>0.25190796982255709</v>
      </c>
      <c r="W2401" s="1">
        <f t="shared" si="149"/>
        <v>19.799999999999997</v>
      </c>
      <c r="X2401">
        <f t="shared" si="150"/>
        <v>0.10275612699999992</v>
      </c>
      <c r="Y2401">
        <f t="shared" si="151"/>
        <v>54.900000000000006</v>
      </c>
      <c r="Z2401" s="1">
        <v>2</v>
      </c>
      <c r="AA2401">
        <v>98</v>
      </c>
      <c r="AB2401">
        <v>2.0400000000000001E-2</v>
      </c>
      <c r="AC2401">
        <v>3</v>
      </c>
      <c r="AD2401">
        <v>93</v>
      </c>
      <c r="AE2401">
        <v>3.2300000000000002E-2</v>
      </c>
      <c r="AF2401" t="s">
        <v>2590</v>
      </c>
      <c r="AG2401" t="s">
        <v>2589</v>
      </c>
    </row>
    <row r="2402" spans="1:33">
      <c r="A2402" s="2" t="s">
        <v>21</v>
      </c>
      <c r="B2402" s="2" t="s">
        <v>10</v>
      </c>
      <c r="C2402" s="1">
        <v>0.53276376800000003</v>
      </c>
      <c r="D2402">
        <v>0.65428149899999999</v>
      </c>
      <c r="E2402">
        <v>0.70160154799999996</v>
      </c>
      <c r="F2402" s="1" t="s">
        <v>22</v>
      </c>
      <c r="G2402" s="1">
        <v>1.2440604749999999</v>
      </c>
      <c r="H2402" s="1">
        <v>24.6</v>
      </c>
      <c r="I2402" s="1">
        <v>46.3</v>
      </c>
      <c r="J2402" s="1">
        <v>0.62954893833333336</v>
      </c>
      <c r="K2402" s="1">
        <v>0.52456325500000001</v>
      </c>
      <c r="L2402" s="1">
        <v>0.61925627999999999</v>
      </c>
      <c r="M2402" s="3">
        <v>0.72111139899999999</v>
      </c>
      <c r="N2402" s="1" t="s">
        <v>12</v>
      </c>
      <c r="O2402" s="1">
        <v>0.61690647499999995</v>
      </c>
      <c r="P2402" s="1">
        <v>30</v>
      </c>
      <c r="Q2402" s="1">
        <v>111.2</v>
      </c>
      <c r="R2402" s="1">
        <v>0.62164364466666666</v>
      </c>
      <c r="S2402" s="1">
        <v>4.0922471400238428E-2</v>
      </c>
      <c r="T2402" t="s">
        <v>2549</v>
      </c>
      <c r="U2402" s="1">
        <v>352</v>
      </c>
      <c r="V2402">
        <f t="shared" si="148"/>
        <v>0.28294918483090348</v>
      </c>
      <c r="W2402" s="1">
        <f t="shared" si="149"/>
        <v>5.3999999999999986</v>
      </c>
      <c r="X2402">
        <f t="shared" si="150"/>
        <v>0.62715399999999999</v>
      </c>
      <c r="Y2402">
        <f t="shared" si="151"/>
        <v>64.900000000000006</v>
      </c>
      <c r="Z2402" s="1">
        <v>1</v>
      </c>
      <c r="AA2402">
        <v>99</v>
      </c>
      <c r="AB2402">
        <v>1.01E-2</v>
      </c>
      <c r="AC2402">
        <v>2</v>
      </c>
      <c r="AD2402">
        <v>155</v>
      </c>
      <c r="AE2402">
        <v>1.29E-2</v>
      </c>
      <c r="AF2402" t="s">
        <v>2589</v>
      </c>
      <c r="AG2402" t="s">
        <v>2588</v>
      </c>
    </row>
    <row r="2403" spans="1:33">
      <c r="A2403" s="2" t="s">
        <v>21</v>
      </c>
      <c r="B2403" s="2" t="s">
        <v>13</v>
      </c>
      <c r="C2403" s="1">
        <v>0.53276376800000003</v>
      </c>
      <c r="D2403">
        <v>0.65428149899999999</v>
      </c>
      <c r="E2403">
        <v>0.70160154799999996</v>
      </c>
      <c r="F2403" s="1" t="s">
        <v>22</v>
      </c>
      <c r="G2403" s="1">
        <v>1.2440604749999999</v>
      </c>
      <c r="H2403" s="1">
        <v>24.6</v>
      </c>
      <c r="I2403" s="1">
        <v>46.3</v>
      </c>
      <c r="J2403" s="1">
        <v>0.62954893833333336</v>
      </c>
      <c r="K2403" s="1">
        <v>0.48695497399999998</v>
      </c>
      <c r="L2403" s="1">
        <v>0.54991327199999995</v>
      </c>
      <c r="M2403" s="3">
        <v>0.67282609299999996</v>
      </c>
      <c r="N2403" s="1" t="s">
        <v>14</v>
      </c>
      <c r="O2403" s="1">
        <v>1.6052009460000001</v>
      </c>
      <c r="P2403" s="1">
        <v>26.6</v>
      </c>
      <c r="Q2403" s="1">
        <v>42.3</v>
      </c>
      <c r="R2403" s="1">
        <v>0.56989811299999993</v>
      </c>
      <c r="S2403" s="1">
        <v>0.11755509017186369</v>
      </c>
      <c r="T2403" t="s">
        <v>2550</v>
      </c>
      <c r="U2403" s="1">
        <v>153</v>
      </c>
      <c r="V2403">
        <f t="shared" si="148"/>
        <v>0.24274349231306655</v>
      </c>
      <c r="W2403" s="1">
        <f t="shared" si="149"/>
        <v>2</v>
      </c>
      <c r="X2403">
        <f t="shared" si="150"/>
        <v>0.36114047100000013</v>
      </c>
      <c r="Y2403">
        <f t="shared" si="151"/>
        <v>4</v>
      </c>
      <c r="Z2403" s="1">
        <v>1</v>
      </c>
      <c r="AA2403">
        <v>99</v>
      </c>
      <c r="AB2403">
        <v>1.01E-2</v>
      </c>
      <c r="AC2403">
        <v>2</v>
      </c>
      <c r="AD2403">
        <v>102</v>
      </c>
      <c r="AE2403">
        <v>1.9599999999999999E-2</v>
      </c>
      <c r="AF2403" t="s">
        <v>2589</v>
      </c>
      <c r="AG2403" t="s">
        <v>2590</v>
      </c>
    </row>
    <row r="2404" spans="1:33">
      <c r="A2404" s="2" t="s">
        <v>21</v>
      </c>
      <c r="B2404" s="2" t="s">
        <v>15</v>
      </c>
      <c r="C2404" s="1">
        <v>0.53276376800000003</v>
      </c>
      <c r="D2404">
        <v>0.65428149899999999</v>
      </c>
      <c r="E2404">
        <v>0.70160154799999996</v>
      </c>
      <c r="F2404" s="1" t="s">
        <v>22</v>
      </c>
      <c r="G2404" s="1">
        <v>1.2440604749999999</v>
      </c>
      <c r="H2404" s="1">
        <v>24.6</v>
      </c>
      <c r="I2404" s="1">
        <v>46.3</v>
      </c>
      <c r="J2404" s="1">
        <v>0.62954893833333336</v>
      </c>
      <c r="K2404" s="1">
        <v>0.54560998800000005</v>
      </c>
      <c r="L2404" s="1">
        <v>0.66721428400000005</v>
      </c>
      <c r="M2404" s="3">
        <v>0.72650398400000005</v>
      </c>
      <c r="N2404" s="1" t="s">
        <v>16</v>
      </c>
      <c r="O2404" s="1">
        <v>5.1392405060000002</v>
      </c>
      <c r="P2404" s="1">
        <v>35.9</v>
      </c>
      <c r="Q2404" s="1">
        <v>15.8</v>
      </c>
      <c r="R2404" s="1">
        <v>0.64644275200000012</v>
      </c>
      <c r="S2404" s="1">
        <v>3.086119918082781E-2</v>
      </c>
      <c r="T2404" t="s">
        <v>2551</v>
      </c>
      <c r="U2404" s="1">
        <v>608</v>
      </c>
      <c r="V2404">
        <f t="shared" si="148"/>
        <v>0.3093226199191928</v>
      </c>
      <c r="W2404" s="1">
        <f t="shared" si="149"/>
        <v>11.299999999999997</v>
      </c>
      <c r="X2404">
        <f t="shared" si="150"/>
        <v>3.8951800310000002</v>
      </c>
      <c r="Y2404">
        <f t="shared" si="151"/>
        <v>30.499999999999996</v>
      </c>
      <c r="Z2404" s="1">
        <v>0</v>
      </c>
      <c r="AA2404">
        <v>100</v>
      </c>
      <c r="AB2404">
        <v>0</v>
      </c>
      <c r="AC2404">
        <v>0</v>
      </c>
      <c r="AD2404">
        <v>100</v>
      </c>
      <c r="AE2404">
        <v>0</v>
      </c>
      <c r="AF2404" t="s">
        <v>2589</v>
      </c>
      <c r="AG2404" t="s">
        <v>2591</v>
      </c>
    </row>
    <row r="2405" spans="1:33">
      <c r="A2405" s="2" t="s">
        <v>21</v>
      </c>
      <c r="B2405" s="2" t="s">
        <v>17</v>
      </c>
      <c r="C2405" s="1">
        <v>0.53276376800000003</v>
      </c>
      <c r="D2405">
        <v>0.65428149899999999</v>
      </c>
      <c r="E2405">
        <v>0.70160154799999996</v>
      </c>
      <c r="F2405" s="1" t="s">
        <v>22</v>
      </c>
      <c r="G2405" s="1">
        <v>1.2440604749999999</v>
      </c>
      <c r="H2405" s="1">
        <v>24.6</v>
      </c>
      <c r="I2405" s="1">
        <v>46.3</v>
      </c>
      <c r="J2405" s="1">
        <v>0.62954893833333336</v>
      </c>
      <c r="K2405" s="1">
        <v>0.659112378</v>
      </c>
      <c r="L2405" s="1">
        <v>0.68333493499999998</v>
      </c>
      <c r="M2405" s="3">
        <v>0.70345495199999997</v>
      </c>
      <c r="N2405" s="1" t="s">
        <v>18</v>
      </c>
      <c r="O2405" s="1">
        <v>1.9463955639999999</v>
      </c>
      <c r="P2405" s="1">
        <v>46.3</v>
      </c>
      <c r="Q2405" s="1">
        <v>54.1</v>
      </c>
      <c r="R2405" s="1">
        <v>0.68196742166666668</v>
      </c>
      <c r="S2405" s="1">
        <v>0.12965920136544651</v>
      </c>
      <c r="T2405" t="s">
        <v>2552</v>
      </c>
      <c r="U2405" s="1">
        <v>746</v>
      </c>
      <c r="V2405">
        <f t="shared" si="148"/>
        <v>0.31919320305251875</v>
      </c>
      <c r="W2405" s="1">
        <f t="shared" si="149"/>
        <v>21.699999999999996</v>
      </c>
      <c r="X2405">
        <f t="shared" si="150"/>
        <v>0.70233508899999997</v>
      </c>
      <c r="Y2405">
        <f t="shared" si="151"/>
        <v>7.8000000000000043</v>
      </c>
      <c r="Z2405" s="1">
        <v>0</v>
      </c>
      <c r="AA2405">
        <v>100</v>
      </c>
      <c r="AB2405">
        <v>0</v>
      </c>
      <c r="AC2405">
        <v>0</v>
      </c>
      <c r="AD2405">
        <v>114</v>
      </c>
      <c r="AE2405">
        <v>0</v>
      </c>
      <c r="AF2405" t="s">
        <v>2589</v>
      </c>
      <c r="AG2405" t="s">
        <v>2591</v>
      </c>
    </row>
    <row r="2406" spans="1:33">
      <c r="A2406" s="2" t="s">
        <v>21</v>
      </c>
      <c r="B2406" s="2" t="s">
        <v>19</v>
      </c>
      <c r="C2406" s="1">
        <v>0.53276376800000003</v>
      </c>
      <c r="D2406">
        <v>0.65428149899999999</v>
      </c>
      <c r="E2406">
        <v>0.70160154799999996</v>
      </c>
      <c r="F2406" s="1" t="s">
        <v>22</v>
      </c>
      <c r="G2406" s="1">
        <v>1.2440604749999999</v>
      </c>
      <c r="H2406" s="1">
        <v>24.6</v>
      </c>
      <c r="I2406" s="1">
        <v>46.3</v>
      </c>
      <c r="J2406" s="1">
        <v>0.62954893833333336</v>
      </c>
      <c r="K2406" s="1">
        <v>0.49391595300000002</v>
      </c>
      <c r="L2406" s="1">
        <v>0.603599314</v>
      </c>
      <c r="M2406" s="3">
        <v>0.63481471599999995</v>
      </c>
      <c r="N2406" s="1" t="s">
        <v>20</v>
      </c>
      <c r="O2406" s="1">
        <v>1.2140902870000001</v>
      </c>
      <c r="P2406" s="1">
        <v>64.900000000000006</v>
      </c>
      <c r="Q2406" s="1">
        <v>146.19999999999999</v>
      </c>
      <c r="R2406" s="1">
        <v>0.57744332766666662</v>
      </c>
      <c r="S2406" s="1">
        <v>9.2403016916357633E-2</v>
      </c>
      <c r="T2406" t="s">
        <v>2553</v>
      </c>
      <c r="U2406" s="1">
        <v>3308</v>
      </c>
      <c r="V2406">
        <f t="shared" si="148"/>
        <v>0.39106283343116766</v>
      </c>
      <c r="W2406" s="1">
        <f t="shared" si="149"/>
        <v>40.300000000000004</v>
      </c>
      <c r="X2406">
        <f t="shared" si="150"/>
        <v>2.9970187999999842E-2</v>
      </c>
      <c r="Y2406">
        <f t="shared" si="151"/>
        <v>99.899999999999991</v>
      </c>
      <c r="Z2406" s="1">
        <v>3</v>
      </c>
      <c r="AA2406">
        <v>97</v>
      </c>
      <c r="AB2406">
        <v>3.09E-2</v>
      </c>
      <c r="AC2406">
        <v>5</v>
      </c>
      <c r="AD2406">
        <v>89</v>
      </c>
      <c r="AE2406">
        <v>5.62E-2</v>
      </c>
      <c r="AF2406" t="s">
        <v>2589</v>
      </c>
      <c r="AG2406" t="s">
        <v>2593</v>
      </c>
    </row>
    <row r="2407" spans="1:33">
      <c r="A2407" s="2" t="s">
        <v>19</v>
      </c>
      <c r="B2407" s="2" t="s">
        <v>10</v>
      </c>
      <c r="C2407" s="1">
        <v>0.49391595300000002</v>
      </c>
      <c r="D2407">
        <v>0.603599314</v>
      </c>
      <c r="E2407">
        <v>0.63481471599999995</v>
      </c>
      <c r="F2407" s="1" t="s">
        <v>20</v>
      </c>
      <c r="G2407" s="1">
        <v>1.2140902870000001</v>
      </c>
      <c r="H2407" s="1">
        <v>64.900000000000006</v>
      </c>
      <c r="I2407" s="1">
        <v>146.19999999999999</v>
      </c>
      <c r="J2407" s="1">
        <v>0.57744332766666662</v>
      </c>
      <c r="K2407" s="1">
        <v>0.52456325500000001</v>
      </c>
      <c r="L2407" s="1">
        <v>0.61925627999999999</v>
      </c>
      <c r="M2407" s="3">
        <v>0.72111139899999999</v>
      </c>
      <c r="N2407" s="1" t="s">
        <v>12</v>
      </c>
      <c r="O2407" s="1">
        <v>0.61690647499999995</v>
      </c>
      <c r="P2407" s="1">
        <v>30</v>
      </c>
      <c r="Q2407" s="1">
        <v>111.2</v>
      </c>
      <c r="R2407" s="1">
        <v>0.62164364466666666</v>
      </c>
      <c r="S2407" s="1">
        <v>9.2905948146536105E-2</v>
      </c>
      <c r="T2407" t="s">
        <v>2554</v>
      </c>
      <c r="U2407" s="1">
        <v>1401</v>
      </c>
      <c r="V2407">
        <f t="shared" si="148"/>
        <v>0.34960423725397494</v>
      </c>
      <c r="W2407" s="1">
        <f t="shared" si="149"/>
        <v>34.900000000000006</v>
      </c>
      <c r="X2407">
        <f t="shared" si="150"/>
        <v>0.59718381200000015</v>
      </c>
      <c r="Y2407">
        <f t="shared" si="151"/>
        <v>34.999999999999986</v>
      </c>
      <c r="Z2407" s="1">
        <v>6</v>
      </c>
      <c r="AA2407">
        <v>94</v>
      </c>
      <c r="AB2407">
        <v>6.3799999999999996E-2</v>
      </c>
      <c r="AC2407">
        <v>8</v>
      </c>
      <c r="AD2407">
        <v>143</v>
      </c>
      <c r="AE2407">
        <v>5.5899999999999998E-2</v>
      </c>
      <c r="AF2407" t="s">
        <v>2593</v>
      </c>
      <c r="AG2407" t="s">
        <v>2588</v>
      </c>
    </row>
    <row r="2408" spans="1:33">
      <c r="A2408" s="2" t="s">
        <v>19</v>
      </c>
      <c r="B2408" s="2" t="s">
        <v>13</v>
      </c>
      <c r="C2408" s="1">
        <v>0.49391595300000002</v>
      </c>
      <c r="D2408">
        <v>0.603599314</v>
      </c>
      <c r="E2408">
        <v>0.63481471599999995</v>
      </c>
      <c r="F2408" s="1" t="s">
        <v>20</v>
      </c>
      <c r="G2408" s="1">
        <v>1.2140902870000001</v>
      </c>
      <c r="H2408" s="1">
        <v>64.900000000000006</v>
      </c>
      <c r="I2408" s="1">
        <v>146.19999999999999</v>
      </c>
      <c r="J2408" s="1">
        <v>0.57744332766666662</v>
      </c>
      <c r="K2408" s="1">
        <v>0.48695497399999998</v>
      </c>
      <c r="L2408" s="1">
        <v>0.54991327199999995</v>
      </c>
      <c r="M2408" s="3">
        <v>0.67282609299999996</v>
      </c>
      <c r="N2408" s="1" t="s">
        <v>14</v>
      </c>
      <c r="O2408" s="1">
        <v>1.6052009460000001</v>
      </c>
      <c r="P2408" s="1">
        <v>26.6</v>
      </c>
      <c r="Q2408" s="1">
        <v>42.3</v>
      </c>
      <c r="R2408" s="1">
        <v>0.56989811299999993</v>
      </c>
      <c r="S2408" s="1">
        <v>6.6147646335303123E-2</v>
      </c>
      <c r="T2408" t="s">
        <v>2555</v>
      </c>
      <c r="U2408" s="1">
        <v>1792</v>
      </c>
      <c r="V2408">
        <f t="shared" si="148"/>
        <v>0.36148200059178959</v>
      </c>
      <c r="W2408" s="1">
        <f t="shared" si="149"/>
        <v>38.300000000000004</v>
      </c>
      <c r="X2408">
        <f t="shared" si="150"/>
        <v>0.39111065899999997</v>
      </c>
      <c r="Y2408">
        <f t="shared" si="151"/>
        <v>103.89999999999999</v>
      </c>
      <c r="Z2408" s="1">
        <v>1</v>
      </c>
      <c r="AA2408">
        <v>99</v>
      </c>
      <c r="AB2408">
        <v>1.01E-2</v>
      </c>
      <c r="AC2408">
        <v>2</v>
      </c>
      <c r="AD2408">
        <v>96</v>
      </c>
      <c r="AE2408">
        <v>2.0799999999999999E-2</v>
      </c>
      <c r="AF2408" t="s">
        <v>2593</v>
      </c>
      <c r="AG2408" t="s">
        <v>2590</v>
      </c>
    </row>
    <row r="2409" spans="1:33">
      <c r="A2409" s="2" t="s">
        <v>19</v>
      </c>
      <c r="B2409" s="2" t="s">
        <v>15</v>
      </c>
      <c r="C2409" s="1">
        <v>0.49391595300000002</v>
      </c>
      <c r="D2409">
        <v>0.603599314</v>
      </c>
      <c r="E2409">
        <v>0.63481471599999995</v>
      </c>
      <c r="F2409" s="1" t="s">
        <v>20</v>
      </c>
      <c r="G2409" s="1">
        <v>1.2140902870000001</v>
      </c>
      <c r="H2409" s="1">
        <v>64.900000000000006</v>
      </c>
      <c r="I2409" s="1">
        <v>146.19999999999999</v>
      </c>
      <c r="J2409" s="1">
        <v>0.57744332766666662</v>
      </c>
      <c r="K2409" s="1">
        <v>0.54560998800000005</v>
      </c>
      <c r="L2409" s="1">
        <v>0.66721428400000005</v>
      </c>
      <c r="M2409" s="3">
        <v>0.72650398400000005</v>
      </c>
      <c r="N2409" s="1" t="s">
        <v>16</v>
      </c>
      <c r="O2409" s="1">
        <v>5.1392405060000002</v>
      </c>
      <c r="P2409" s="1">
        <v>35.9</v>
      </c>
      <c r="Q2409" s="1">
        <v>15.8</v>
      </c>
      <c r="R2409" s="1">
        <v>0.64644275200000012</v>
      </c>
      <c r="S2409" s="1">
        <v>0.1229880462852304</v>
      </c>
      <c r="T2409" t="s">
        <v>2556</v>
      </c>
      <c r="U2409" s="1">
        <v>19220</v>
      </c>
      <c r="V2409">
        <f t="shared" si="148"/>
        <v>0.47597259814805848</v>
      </c>
      <c r="W2409" s="1">
        <f t="shared" si="149"/>
        <v>29.000000000000007</v>
      </c>
      <c r="X2409">
        <f t="shared" si="150"/>
        <v>3.9251502189999998</v>
      </c>
      <c r="Y2409">
        <f t="shared" si="151"/>
        <v>130.39999999999998</v>
      </c>
      <c r="Z2409" s="1">
        <v>1</v>
      </c>
      <c r="AA2409">
        <v>99</v>
      </c>
      <c r="AB2409">
        <v>1.01E-2</v>
      </c>
      <c r="AC2409">
        <v>1</v>
      </c>
      <c r="AD2409">
        <v>93</v>
      </c>
      <c r="AE2409">
        <v>1.0800000000000001E-2</v>
      </c>
      <c r="AF2409" t="s">
        <v>2593</v>
      </c>
      <c r="AG2409" t="s">
        <v>2591</v>
      </c>
    </row>
    <row r="2410" spans="1:33">
      <c r="A2410" s="2" t="s">
        <v>19</v>
      </c>
      <c r="B2410" s="2" t="s">
        <v>17</v>
      </c>
      <c r="C2410" s="1">
        <v>0.49391595300000002</v>
      </c>
      <c r="D2410">
        <v>0.603599314</v>
      </c>
      <c r="E2410">
        <v>0.63481471599999995</v>
      </c>
      <c r="F2410" s="1" t="s">
        <v>20</v>
      </c>
      <c r="G2410" s="1">
        <v>1.2140902870000001</v>
      </c>
      <c r="H2410" s="1">
        <v>64.900000000000006</v>
      </c>
      <c r="I2410" s="1">
        <v>146.19999999999999</v>
      </c>
      <c r="J2410" s="1">
        <v>0.57744332766666662</v>
      </c>
      <c r="K2410" s="1">
        <v>0.659112378</v>
      </c>
      <c r="L2410" s="1">
        <v>0.68333493499999998</v>
      </c>
      <c r="M2410" s="3">
        <v>0.70345495199999997</v>
      </c>
      <c r="N2410" s="1" t="s">
        <v>18</v>
      </c>
      <c r="O2410" s="1">
        <v>1.9463955639999999</v>
      </c>
      <c r="P2410" s="1">
        <v>46.3</v>
      </c>
      <c r="Q2410" s="1">
        <v>54.1</v>
      </c>
      <c r="R2410" s="1">
        <v>0.68196742166666668</v>
      </c>
      <c r="S2410" s="1">
        <v>0.19585481890209377</v>
      </c>
      <c r="T2410" t="s">
        <v>2557</v>
      </c>
      <c r="U2410" s="1">
        <v>4458</v>
      </c>
      <c r="V2410">
        <f t="shared" si="148"/>
        <v>0.40546000712713542</v>
      </c>
      <c r="W2410" s="1">
        <f t="shared" si="149"/>
        <v>18.600000000000009</v>
      </c>
      <c r="X2410">
        <f t="shared" si="150"/>
        <v>0.73230527699999981</v>
      </c>
      <c r="Y2410">
        <f t="shared" si="151"/>
        <v>92.1</v>
      </c>
      <c r="Z2410" s="1">
        <v>1</v>
      </c>
      <c r="AA2410">
        <v>99</v>
      </c>
      <c r="AB2410">
        <v>1.01E-2</v>
      </c>
      <c r="AC2410">
        <v>1</v>
      </c>
      <c r="AD2410">
        <v>107</v>
      </c>
      <c r="AE2410">
        <v>9.2999999999999992E-3</v>
      </c>
      <c r="AF2410" t="s">
        <v>2593</v>
      </c>
      <c r="AG2410" t="s">
        <v>2591</v>
      </c>
    </row>
    <row r="2411" spans="1:33">
      <c r="A2411" s="2" t="s">
        <v>17</v>
      </c>
      <c r="B2411" s="2" t="s">
        <v>10</v>
      </c>
      <c r="C2411" s="1">
        <v>0.659112378</v>
      </c>
      <c r="D2411">
        <v>0.68333493499999998</v>
      </c>
      <c r="E2411">
        <v>0.70345495199999997</v>
      </c>
      <c r="F2411" s="1" t="s">
        <v>18</v>
      </c>
      <c r="G2411" s="1">
        <v>1.9463955639999999</v>
      </c>
      <c r="H2411" s="1">
        <v>46.3</v>
      </c>
      <c r="I2411" s="1">
        <v>54.1</v>
      </c>
      <c r="J2411" s="1">
        <v>0.68196742166666668</v>
      </c>
      <c r="K2411" s="1">
        <v>0.52456325500000001</v>
      </c>
      <c r="L2411" s="1">
        <v>0.61925627999999999</v>
      </c>
      <c r="M2411" s="3">
        <v>0.72111139899999999</v>
      </c>
      <c r="N2411" s="1" t="s">
        <v>12</v>
      </c>
      <c r="O2411" s="1">
        <v>0.61690647499999995</v>
      </c>
      <c r="P2411" s="1">
        <v>30</v>
      </c>
      <c r="Q2411" s="1">
        <v>111.2</v>
      </c>
      <c r="R2411" s="1">
        <v>0.62164364466666666</v>
      </c>
      <c r="S2411" s="1">
        <v>0.15007095204383145</v>
      </c>
      <c r="T2411" t="s">
        <v>2558</v>
      </c>
      <c r="U2411" s="1">
        <v>211</v>
      </c>
      <c r="V2411">
        <f t="shared" si="148"/>
        <v>0.25825360614418807</v>
      </c>
      <c r="W2411" s="1">
        <f t="shared" si="149"/>
        <v>16.299999999999997</v>
      </c>
      <c r="X2411">
        <f t="shared" si="150"/>
        <v>1.329489089</v>
      </c>
      <c r="Y2411">
        <f t="shared" si="151"/>
        <v>57.1</v>
      </c>
      <c r="Z2411" s="1">
        <v>0</v>
      </c>
      <c r="AA2411">
        <v>100</v>
      </c>
      <c r="AB2411">
        <v>0</v>
      </c>
      <c r="AC2411">
        <v>0</v>
      </c>
      <c r="AD2411">
        <v>171</v>
      </c>
      <c r="AE2411">
        <v>0</v>
      </c>
      <c r="AF2411" t="s">
        <v>2591</v>
      </c>
      <c r="AG2411" t="s">
        <v>2588</v>
      </c>
    </row>
    <row r="2412" spans="1:33">
      <c r="A2412" s="2" t="s">
        <v>17</v>
      </c>
      <c r="B2412" s="2" t="s">
        <v>13</v>
      </c>
      <c r="C2412" s="1">
        <v>0.659112378</v>
      </c>
      <c r="D2412">
        <v>0.68333493499999998</v>
      </c>
      <c r="E2412">
        <v>0.70345495199999997</v>
      </c>
      <c r="F2412" s="1" t="s">
        <v>18</v>
      </c>
      <c r="G2412" s="1">
        <v>1.9463955639999999</v>
      </c>
      <c r="H2412" s="1">
        <v>46.3</v>
      </c>
      <c r="I2412" s="1">
        <v>54.1</v>
      </c>
      <c r="J2412" s="1">
        <v>0.68196742166666668</v>
      </c>
      <c r="K2412" s="1">
        <v>0.48695497399999998</v>
      </c>
      <c r="L2412" s="1">
        <v>0.54991327199999995</v>
      </c>
      <c r="M2412" s="3">
        <v>0.67282609299999996</v>
      </c>
      <c r="N2412" s="1" t="s">
        <v>14</v>
      </c>
      <c r="O2412" s="1">
        <v>1.6052009460000001</v>
      </c>
      <c r="P2412" s="1">
        <v>26.6</v>
      </c>
      <c r="Q2412" s="1">
        <v>42.3</v>
      </c>
      <c r="R2412" s="1">
        <v>0.56989811299999993</v>
      </c>
      <c r="S2412" s="1">
        <v>0.21994917347729834</v>
      </c>
      <c r="T2412" t="s">
        <v>2559</v>
      </c>
      <c r="U2412" s="1">
        <v>137</v>
      </c>
      <c r="V2412">
        <f t="shared" si="148"/>
        <v>0.23741339635071185</v>
      </c>
      <c r="W2412" s="1">
        <f t="shared" si="149"/>
        <v>19.699999999999996</v>
      </c>
      <c r="X2412">
        <f t="shared" si="150"/>
        <v>0.34119461799999984</v>
      </c>
      <c r="Y2412">
        <f t="shared" si="151"/>
        <v>11.800000000000004</v>
      </c>
      <c r="Z2412" s="1">
        <v>1</v>
      </c>
      <c r="AA2412">
        <v>99</v>
      </c>
      <c r="AB2412">
        <v>1.01E-2</v>
      </c>
      <c r="AC2412">
        <v>1</v>
      </c>
      <c r="AD2412">
        <v>117</v>
      </c>
      <c r="AE2412">
        <v>8.5000000000000006E-3</v>
      </c>
      <c r="AF2412" t="s">
        <v>2591</v>
      </c>
      <c r="AG2412" t="s">
        <v>2590</v>
      </c>
    </row>
    <row r="2413" spans="1:33">
      <c r="A2413" s="2" t="s">
        <v>17</v>
      </c>
      <c r="B2413" s="2" t="s">
        <v>15</v>
      </c>
      <c r="C2413" s="1">
        <v>0.659112378</v>
      </c>
      <c r="D2413">
        <v>0.68333493499999998</v>
      </c>
      <c r="E2413">
        <v>0.70345495199999997</v>
      </c>
      <c r="F2413" s="1" t="s">
        <v>18</v>
      </c>
      <c r="G2413" s="1">
        <v>1.9463955639999999</v>
      </c>
      <c r="H2413" s="1">
        <v>46.3</v>
      </c>
      <c r="I2413" s="1">
        <v>54.1</v>
      </c>
      <c r="J2413" s="1">
        <v>0.68196742166666668</v>
      </c>
      <c r="K2413" s="1">
        <v>0.54560998800000005</v>
      </c>
      <c r="L2413" s="1">
        <v>0.66721428400000005</v>
      </c>
      <c r="M2413" s="3">
        <v>0.72650398400000005</v>
      </c>
      <c r="N2413" s="1" t="s">
        <v>16</v>
      </c>
      <c r="O2413" s="1">
        <v>5.1392405060000002</v>
      </c>
      <c r="P2413" s="1">
        <v>35.9</v>
      </c>
      <c r="Q2413" s="1">
        <v>15.8</v>
      </c>
      <c r="R2413" s="1">
        <v>0.64644275200000012</v>
      </c>
      <c r="S2413" s="1">
        <v>0.11693556259971949</v>
      </c>
      <c r="T2413" t="s">
        <v>2560</v>
      </c>
      <c r="U2413" s="1">
        <v>27222</v>
      </c>
      <c r="V2413">
        <f t="shared" si="148"/>
        <v>0.49276889218329561</v>
      </c>
      <c r="W2413" s="1">
        <f t="shared" si="149"/>
        <v>10.399999999999999</v>
      </c>
      <c r="X2413">
        <f t="shared" si="150"/>
        <v>3.1928449420000002</v>
      </c>
      <c r="Y2413">
        <f t="shared" si="151"/>
        <v>38.299999999999997</v>
      </c>
      <c r="Z2413" s="1">
        <v>20</v>
      </c>
      <c r="AA2413">
        <v>80</v>
      </c>
      <c r="AB2413">
        <v>0.25</v>
      </c>
      <c r="AC2413">
        <v>22</v>
      </c>
      <c r="AD2413">
        <v>92</v>
      </c>
      <c r="AE2413">
        <v>0.23910000000000001</v>
      </c>
      <c r="AF2413" t="s">
        <v>2591</v>
      </c>
      <c r="AG2413" t="s">
        <v>2591</v>
      </c>
    </row>
    <row r="2414" spans="1:33">
      <c r="A2414" s="2" t="s">
        <v>15</v>
      </c>
      <c r="B2414" s="2" t="s">
        <v>10</v>
      </c>
      <c r="C2414" s="1">
        <v>0.54560998800000005</v>
      </c>
      <c r="D2414">
        <v>0.66721428400000005</v>
      </c>
      <c r="E2414">
        <v>0.72650398400000005</v>
      </c>
      <c r="F2414" s="1" t="s">
        <v>16</v>
      </c>
      <c r="G2414" s="1">
        <v>5.1392405060000002</v>
      </c>
      <c r="H2414" s="1">
        <v>35.9</v>
      </c>
      <c r="I2414" s="1">
        <v>15.8</v>
      </c>
      <c r="J2414" s="1">
        <v>0.64644275200000012</v>
      </c>
      <c r="K2414" s="1">
        <v>0.52456325500000001</v>
      </c>
      <c r="L2414" s="1">
        <v>0.61925627999999999</v>
      </c>
      <c r="M2414" s="3">
        <v>0.72111139899999999</v>
      </c>
      <c r="N2414" s="1" t="s">
        <v>12</v>
      </c>
      <c r="O2414" s="1">
        <v>0.61690647499999995</v>
      </c>
      <c r="P2414" s="1">
        <v>30</v>
      </c>
      <c r="Q2414" s="1">
        <v>111.2</v>
      </c>
      <c r="R2414" s="1">
        <v>0.62164364466666666</v>
      </c>
      <c r="S2414" s="1">
        <v>5.2649929635466157E-2</v>
      </c>
      <c r="T2414" t="s">
        <v>2561</v>
      </c>
      <c r="U2414" s="1">
        <v>206</v>
      </c>
      <c r="V2414">
        <f t="shared" si="148"/>
        <v>0.25709635781879481</v>
      </c>
      <c r="W2414" s="1">
        <f t="shared" si="149"/>
        <v>5.8999999999999986</v>
      </c>
      <c r="X2414">
        <f t="shared" si="150"/>
        <v>4.5223340309999998</v>
      </c>
      <c r="Y2414">
        <f t="shared" si="151"/>
        <v>95.4</v>
      </c>
      <c r="Z2414" s="1">
        <v>0</v>
      </c>
      <c r="AA2414">
        <v>100</v>
      </c>
      <c r="AB2414">
        <v>0</v>
      </c>
      <c r="AC2414">
        <v>0</v>
      </c>
      <c r="AD2414">
        <v>157</v>
      </c>
      <c r="AE2414">
        <v>0</v>
      </c>
      <c r="AF2414" t="s">
        <v>2591</v>
      </c>
      <c r="AG2414" t="s">
        <v>2588</v>
      </c>
    </row>
    <row r="2415" spans="1:33">
      <c r="A2415" s="2" t="s">
        <v>15</v>
      </c>
      <c r="B2415" s="2" t="s">
        <v>13</v>
      </c>
      <c r="C2415" s="1">
        <v>0.54560998800000005</v>
      </c>
      <c r="D2415">
        <v>0.66721428400000005</v>
      </c>
      <c r="E2415">
        <v>0.72650398400000005</v>
      </c>
      <c r="F2415" s="1" t="s">
        <v>16</v>
      </c>
      <c r="G2415" s="1">
        <v>5.1392405060000002</v>
      </c>
      <c r="H2415" s="1">
        <v>35.9</v>
      </c>
      <c r="I2415" s="1">
        <v>15.8</v>
      </c>
      <c r="J2415" s="1">
        <v>0.64644275200000012</v>
      </c>
      <c r="K2415" s="1">
        <v>0.48695497399999998</v>
      </c>
      <c r="L2415" s="1">
        <v>0.54991327199999995</v>
      </c>
      <c r="M2415" s="3">
        <v>0.67282609299999996</v>
      </c>
      <c r="N2415" s="1" t="s">
        <v>14</v>
      </c>
      <c r="O2415" s="1">
        <v>1.6052009460000001</v>
      </c>
      <c r="P2415" s="1">
        <v>26.6</v>
      </c>
      <c r="Q2415" s="1">
        <v>42.3</v>
      </c>
      <c r="R2415" s="1">
        <v>0.56989811299999993</v>
      </c>
      <c r="S2415" s="1">
        <v>0.14170834155324893</v>
      </c>
      <c r="T2415" t="s">
        <v>2562</v>
      </c>
      <c r="U2415" s="1">
        <v>335</v>
      </c>
      <c r="V2415">
        <f t="shared" si="148"/>
        <v>0.28056053411520504</v>
      </c>
      <c r="W2415" s="1">
        <f t="shared" si="149"/>
        <v>9.2999999999999972</v>
      </c>
      <c r="X2415">
        <f t="shared" si="150"/>
        <v>3.5340395600000001</v>
      </c>
      <c r="Y2415">
        <f t="shared" si="151"/>
        <v>26.499999999999996</v>
      </c>
      <c r="Z2415" s="1">
        <v>2</v>
      </c>
      <c r="AA2415">
        <v>98</v>
      </c>
      <c r="AB2415">
        <v>2.0400000000000001E-2</v>
      </c>
      <c r="AC2415">
        <v>2</v>
      </c>
      <c r="AD2415">
        <v>102</v>
      </c>
      <c r="AE2415">
        <v>1.9599999999999999E-2</v>
      </c>
      <c r="AF2415" t="s">
        <v>2591</v>
      </c>
      <c r="AG2415" t="s">
        <v>2590</v>
      </c>
    </row>
    <row r="2416" spans="1:33">
      <c r="A2416" s="2" t="s">
        <v>13</v>
      </c>
      <c r="B2416" s="2" t="s">
        <v>10</v>
      </c>
      <c r="C2416" s="1">
        <v>0.48695497399999998</v>
      </c>
      <c r="D2416">
        <v>0.54991327199999995</v>
      </c>
      <c r="E2416">
        <v>0.67282609299999996</v>
      </c>
      <c r="F2416" s="1" t="s">
        <v>14</v>
      </c>
      <c r="G2416" s="1">
        <v>1.6052009460000001</v>
      </c>
      <c r="H2416" s="1">
        <v>26.6</v>
      </c>
      <c r="I2416" s="1">
        <v>42.3</v>
      </c>
      <c r="J2416" s="1">
        <v>0.56989811299999993</v>
      </c>
      <c r="K2416" s="1">
        <v>0.52456325500000001</v>
      </c>
      <c r="L2416" s="1">
        <v>0.61925627999999999</v>
      </c>
      <c r="M2416" s="3">
        <v>0.72111139899999999</v>
      </c>
      <c r="N2416" s="1" t="s">
        <v>12</v>
      </c>
      <c r="O2416" s="1">
        <v>0.61690647499999995</v>
      </c>
      <c r="P2416" s="1">
        <v>30</v>
      </c>
      <c r="Q2416" s="1">
        <v>111.2</v>
      </c>
      <c r="R2416" s="1">
        <v>0.62164364466666666</v>
      </c>
      <c r="S2416" s="1">
        <v>9.2489493099360595E-2</v>
      </c>
      <c r="T2416" t="s">
        <v>2563</v>
      </c>
      <c r="U2416" s="1">
        <v>330</v>
      </c>
      <c r="V2416">
        <f t="shared" si="148"/>
        <v>0.27983488220865416</v>
      </c>
      <c r="W2416" s="1">
        <f t="shared" si="149"/>
        <v>3.3999999999999986</v>
      </c>
      <c r="X2416">
        <f t="shared" si="150"/>
        <v>0.98829447100000012</v>
      </c>
      <c r="Y2416">
        <f t="shared" si="151"/>
        <v>68.900000000000006</v>
      </c>
      <c r="Z2416" s="1">
        <v>1</v>
      </c>
      <c r="AA2416">
        <v>99</v>
      </c>
      <c r="AB2416">
        <v>1.01E-2</v>
      </c>
      <c r="AC2416">
        <v>2</v>
      </c>
      <c r="AD2416">
        <v>159</v>
      </c>
      <c r="AE2416">
        <v>1.26E-2</v>
      </c>
      <c r="AF2416" t="s">
        <v>2590</v>
      </c>
      <c r="AG2416" t="s">
        <v>2588</v>
      </c>
    </row>
  </sheetData>
  <sortState xmlns:xlrd2="http://schemas.microsoft.com/office/spreadsheetml/2017/richdata2" ref="A2:AE2416">
    <sortCondition ref="A2:A2416"/>
    <sortCondition descending="1" ref="B2:B2416"/>
  </sortState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E9E8B0-8EE0-47F0-9081-81A5D23EB7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Rzeszotarska</dc:creator>
  <cp:lastModifiedBy>Maja Rzeszotarska</cp:lastModifiedBy>
  <dcterms:created xsi:type="dcterms:W3CDTF">2026-04-11T22:29:50Z</dcterms:created>
  <dcterms:modified xsi:type="dcterms:W3CDTF">2026-04-20T18:54:49Z</dcterms:modified>
</cp:coreProperties>
</file>